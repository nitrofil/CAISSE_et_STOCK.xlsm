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L12CP\Desktop\"/>
    </mc:Choice>
  </mc:AlternateContent>
  <xr:revisionPtr revIDLastSave="0" documentId="13_ncr:1_{40A61E4F-8C24-4EB7-9E6B-7D26A1E64767}" xr6:coauthVersionLast="47" xr6:coauthVersionMax="47" xr10:uidLastSave="{00000000-0000-0000-0000-000000000000}"/>
  <bookViews>
    <workbookView minimized="1" xWindow="2925" yWindow="1095" windowWidth="23895" windowHeight="12615" firstSheet="1" activeTab="4" xr2:uid="{00000000-000D-0000-FFFF-FFFF00000000}"/>
  </bookViews>
  <sheets>
    <sheet name="USERS" sheetId="10" state="hidden" r:id="rId1"/>
    <sheet name="Imprim" sheetId="9" r:id="rId2"/>
    <sheet name="Recap" sheetId="7" r:id="rId3"/>
    <sheet name="&gt;" sheetId="4" r:id="rId4"/>
    <sheet name="Histo" sheetId="6" r:id="rId5"/>
    <sheet name="&lt;" sheetId="5" r:id="rId6"/>
    <sheet name="Temp" sheetId="2" r:id="rId7"/>
    <sheet name="BDD" sheetId="3" r:id="rId8"/>
    <sheet name="Dispo" sheetId="12" r:id="rId9"/>
    <sheet name="QF" sheetId="14" r:id="rId10"/>
    <sheet name="RecapJ" sheetId="15" r:id="rId11"/>
  </sheets>
  <functionGroups builtInGroupCount="19"/>
  <definedNames>
    <definedName name="_xlnm._FilterDatabase" localSheetId="9" hidden="1">QF!$A$1:$G$743</definedName>
    <definedName name="Articles">OFFSET(Histo!$C$1,1,,COUNTA(Histo!$A:$A)-1,)</definedName>
    <definedName name="bdd">OFFSET(BDD!$B$1,1,,COUNTA(BDD!$B:$B)-1,2)</definedName>
    <definedName name="Lesdates">OFFSET(Histo!$A$1,1,,COUNTA(Histo!$A:$A)-1,)</definedName>
    <definedName name="Quantitee">OFFSET(Histo!$B$1,1,,COUNTA(Histo!$A:$A)-1,)</definedName>
    <definedName name="Total">OFFSET(Histo!$D$1,1,,COUNTA(Histo!$A:$A)-1,)</definedName>
    <definedName name="Utilisateurs">USERS!$A$2:$A$15</definedName>
  </definedNames>
  <calcPr calcId="191029"/>
</workbook>
</file>

<file path=xl/calcChain.xml><?xml version="1.0" encoding="utf-8"?>
<calcChain xmlns="http://schemas.openxmlformats.org/spreadsheetml/2006/main">
  <c r="F2" i="10" l="1"/>
  <c r="M5543" i="6"/>
  <c r="M5544" i="6"/>
  <c r="M5545" i="6"/>
  <c r="M5546" i="6"/>
  <c r="M5547" i="6"/>
  <c r="M5548" i="6"/>
  <c r="M5549" i="6"/>
  <c r="M5550" i="6"/>
  <c r="M5551" i="6"/>
  <c r="M5552" i="6"/>
  <c r="M5553" i="6"/>
  <c r="M5554" i="6"/>
  <c r="M5555" i="6"/>
  <c r="M5556" i="6"/>
  <c r="M5557" i="6"/>
  <c r="M5558" i="6"/>
  <c r="M5559" i="6"/>
  <c r="M5560" i="6"/>
  <c r="M5561" i="6"/>
  <c r="M5562" i="6"/>
  <c r="M5563" i="6"/>
  <c r="M5564" i="6"/>
  <c r="M5565" i="6"/>
  <c r="M5566" i="6"/>
  <c r="M5567" i="6"/>
  <c r="M5568" i="6"/>
  <c r="M5569" i="6"/>
  <c r="M5570" i="6"/>
  <c r="M5571" i="6"/>
  <c r="M5572" i="6"/>
  <c r="M5573" i="6"/>
  <c r="M5574" i="6"/>
  <c r="M5575" i="6"/>
  <c r="M5576" i="6"/>
  <c r="M5577" i="6"/>
  <c r="M5578" i="6"/>
  <c r="M5579" i="6"/>
  <c r="M5580" i="6"/>
  <c r="M5581" i="6"/>
  <c r="M5582" i="6"/>
  <c r="M5583" i="6"/>
  <c r="M5584" i="6"/>
  <c r="M5585" i="6"/>
  <c r="M5586" i="6"/>
  <c r="M5587" i="6"/>
  <c r="M5588" i="6"/>
  <c r="M5589" i="6"/>
  <c r="M5590" i="6"/>
  <c r="M5591" i="6"/>
  <c r="M5592" i="6"/>
  <c r="M5593" i="6"/>
  <c r="M5594" i="6"/>
  <c r="M5595" i="6"/>
  <c r="M5596" i="6"/>
  <c r="M5597" i="6"/>
  <c r="M5598" i="6"/>
  <c r="M5599" i="6"/>
  <c r="M5600" i="6"/>
  <c r="M5601" i="6"/>
  <c r="M5602" i="6"/>
  <c r="M5603" i="6"/>
  <c r="M5604" i="6"/>
  <c r="M5605" i="6"/>
  <c r="M5606" i="6"/>
  <c r="M5607" i="6"/>
  <c r="M5608" i="6"/>
  <c r="M5609" i="6"/>
  <c r="M5610" i="6"/>
  <c r="M5611" i="6"/>
  <c r="M5612" i="6"/>
  <c r="M5613" i="6"/>
  <c r="M5614" i="6"/>
  <c r="M5615" i="6"/>
  <c r="M5616" i="6"/>
  <c r="M5617" i="6"/>
  <c r="M5618" i="6"/>
  <c r="M5619" i="6"/>
  <c r="M5620" i="6"/>
  <c r="M5621" i="6"/>
  <c r="M5622" i="6"/>
  <c r="M5623" i="6"/>
  <c r="M5624" i="6"/>
  <c r="M5625" i="6"/>
  <c r="M5626" i="6"/>
  <c r="M5627" i="6"/>
  <c r="M5628" i="6"/>
  <c r="M5629" i="6"/>
  <c r="M5630" i="6"/>
  <c r="M5631" i="6"/>
  <c r="M5632" i="6"/>
  <c r="M5633" i="6"/>
  <c r="M5634" i="6"/>
  <c r="M5635" i="6"/>
  <c r="M5636" i="6"/>
  <c r="M5637" i="6"/>
  <c r="M5638" i="6"/>
  <c r="M5639" i="6"/>
  <c r="M5640" i="6"/>
  <c r="M5641" i="6"/>
  <c r="M5642" i="6"/>
  <c r="M5643" i="6"/>
  <c r="M5644" i="6"/>
  <c r="M5645" i="6"/>
  <c r="M5646" i="6"/>
  <c r="M5647" i="6"/>
  <c r="M5648" i="6"/>
  <c r="M5649" i="6"/>
  <c r="M5650" i="6"/>
  <c r="M5651" i="6"/>
  <c r="M5652" i="6"/>
  <c r="M5653" i="6"/>
  <c r="M5654" i="6"/>
  <c r="M5655" i="6"/>
  <c r="M5656" i="6"/>
  <c r="M5657" i="6"/>
  <c r="M5658" i="6"/>
  <c r="M5659" i="6"/>
  <c r="M5660" i="6"/>
  <c r="M5661" i="6"/>
  <c r="M5662" i="6"/>
  <c r="M5663" i="6"/>
  <c r="M5664" i="6"/>
  <c r="M5665" i="6"/>
  <c r="M5666" i="6"/>
  <c r="M5667" i="6"/>
  <c r="M5668" i="6"/>
  <c r="M5669" i="6"/>
  <c r="M5670" i="6"/>
  <c r="M5671" i="6"/>
  <c r="M5672" i="6"/>
  <c r="M5673" i="6"/>
  <c r="M5674" i="6"/>
  <c r="M5675" i="6"/>
  <c r="M5676" i="6"/>
  <c r="M5677" i="6"/>
  <c r="M5678" i="6"/>
  <c r="M5679" i="6"/>
  <c r="M5680" i="6"/>
  <c r="M5681" i="6"/>
  <c r="M5682" i="6"/>
  <c r="M5683" i="6"/>
  <c r="M5684" i="6"/>
  <c r="M5685" i="6"/>
  <c r="M5686" i="6"/>
  <c r="M5687" i="6"/>
  <c r="M5688" i="6"/>
  <c r="M5689" i="6"/>
  <c r="M5690" i="6"/>
  <c r="M5691" i="6"/>
  <c r="M5692" i="6"/>
  <c r="M5693" i="6"/>
  <c r="M5694" i="6"/>
  <c r="M5695" i="6"/>
  <c r="M5696" i="6"/>
  <c r="M5697" i="6"/>
  <c r="M5698" i="6"/>
  <c r="M5699" i="6"/>
  <c r="M5700" i="6"/>
  <c r="M5701" i="6"/>
  <c r="M5702" i="6"/>
  <c r="M5703" i="6"/>
  <c r="M5704" i="6"/>
  <c r="M5705" i="6"/>
  <c r="M5706" i="6"/>
  <c r="M5707" i="6"/>
  <c r="M5708" i="6"/>
  <c r="M5709" i="6"/>
  <c r="M5710" i="6"/>
  <c r="M5711" i="6"/>
  <c r="M5712" i="6"/>
  <c r="M5713" i="6"/>
  <c r="M5714" i="6"/>
  <c r="M5715" i="6"/>
  <c r="M5716" i="6"/>
  <c r="M5717" i="6"/>
  <c r="M5718" i="6"/>
  <c r="M5719" i="6"/>
  <c r="M5720" i="6"/>
  <c r="M5721" i="6"/>
  <c r="M5722" i="6"/>
  <c r="M5723" i="6"/>
  <c r="M5724" i="6"/>
  <c r="M5725" i="6"/>
  <c r="M5726" i="6"/>
  <c r="M5727" i="6"/>
  <c r="M5728" i="6"/>
  <c r="M5729" i="6"/>
  <c r="M5730" i="6"/>
  <c r="M5731" i="6"/>
  <c r="M5732" i="6"/>
  <c r="M5733" i="6"/>
  <c r="M5734" i="6"/>
  <c r="M5735" i="6"/>
  <c r="M5736" i="6"/>
  <c r="M5737" i="6"/>
  <c r="M5738" i="6"/>
  <c r="M5739" i="6"/>
  <c r="M5740" i="6"/>
  <c r="M5741" i="6"/>
  <c r="M5742" i="6"/>
  <c r="M5743" i="6"/>
  <c r="M5744" i="6"/>
  <c r="M5745" i="6"/>
  <c r="M5746" i="6"/>
  <c r="M5747" i="6"/>
  <c r="M5748" i="6"/>
  <c r="M5749" i="6"/>
  <c r="M5750" i="6"/>
  <c r="M5751" i="6"/>
  <c r="M5752" i="6"/>
  <c r="M5753" i="6"/>
  <c r="M5754" i="6"/>
  <c r="M5755" i="6"/>
  <c r="M5756" i="6"/>
  <c r="M5757" i="6"/>
  <c r="M5758" i="6"/>
  <c r="M5759" i="6"/>
  <c r="M5760" i="6"/>
  <c r="M5761" i="6"/>
  <c r="M5762" i="6"/>
  <c r="M5763" i="6"/>
  <c r="M5764" i="6"/>
  <c r="M5765" i="6"/>
  <c r="M5766" i="6"/>
  <c r="M5767" i="6"/>
  <c r="M5768" i="6"/>
  <c r="M5769" i="6"/>
  <c r="M5770" i="6"/>
  <c r="M5771" i="6"/>
  <c r="M5772" i="6"/>
  <c r="M5773" i="6"/>
  <c r="M5774" i="6"/>
  <c r="M5775" i="6"/>
  <c r="M5776" i="6"/>
  <c r="M5777" i="6"/>
  <c r="M5778" i="6"/>
  <c r="M5779" i="6"/>
  <c r="M5780" i="6"/>
  <c r="M5781" i="6"/>
  <c r="M5782" i="6"/>
  <c r="M5783" i="6"/>
  <c r="M5784" i="6"/>
  <c r="M5785" i="6"/>
  <c r="M5786" i="6"/>
  <c r="M5787" i="6"/>
  <c r="M5788" i="6"/>
  <c r="M5789" i="6"/>
  <c r="M5790" i="6"/>
  <c r="M5791" i="6"/>
  <c r="M5792" i="6"/>
  <c r="M5793" i="6"/>
  <c r="M5794" i="6"/>
  <c r="M5795" i="6"/>
  <c r="M5796" i="6"/>
  <c r="M5797" i="6"/>
  <c r="M5798" i="6"/>
  <c r="M5799" i="6"/>
  <c r="M5800" i="6"/>
  <c r="M5801" i="6"/>
  <c r="M5802" i="6"/>
  <c r="M5803" i="6"/>
  <c r="M5804" i="6"/>
  <c r="M5805" i="6"/>
  <c r="M5806" i="6"/>
  <c r="M5807" i="6"/>
  <c r="M5808" i="6"/>
  <c r="M5809" i="6"/>
  <c r="M5810" i="6"/>
  <c r="M5811" i="6"/>
  <c r="M5812" i="6"/>
  <c r="M5813" i="6"/>
  <c r="M5814" i="6"/>
  <c r="M5815" i="6"/>
  <c r="M5816" i="6"/>
  <c r="M5817" i="6"/>
  <c r="M5818" i="6"/>
  <c r="M5819" i="6"/>
  <c r="M5820" i="6"/>
  <c r="M5821" i="6"/>
  <c r="M5822" i="6"/>
  <c r="M5823" i="6"/>
  <c r="M5824" i="6"/>
  <c r="M5825" i="6"/>
  <c r="M5826" i="6"/>
  <c r="M5827" i="6"/>
  <c r="M5828" i="6"/>
  <c r="M5829" i="6"/>
  <c r="M5830" i="6"/>
  <c r="M5831" i="6"/>
  <c r="M5832" i="6"/>
  <c r="M5833" i="6"/>
  <c r="M5834" i="6"/>
  <c r="M5835" i="6"/>
  <c r="M5836" i="6"/>
  <c r="M5837" i="6"/>
  <c r="M5838" i="6"/>
  <c r="M5839" i="6"/>
  <c r="M5840" i="6"/>
  <c r="M5841" i="6"/>
  <c r="M5842" i="6"/>
  <c r="M5843" i="6"/>
  <c r="M5844" i="6"/>
  <c r="M5845" i="6"/>
  <c r="M5846" i="6"/>
  <c r="M5847" i="6"/>
  <c r="M5848" i="6"/>
  <c r="M5849" i="6"/>
  <c r="M5850" i="6"/>
  <c r="M5851" i="6"/>
  <c r="M5852" i="6"/>
  <c r="M5853" i="6"/>
  <c r="M5854" i="6"/>
  <c r="M5855" i="6"/>
  <c r="M5856" i="6"/>
  <c r="M5857" i="6"/>
  <c r="M5858" i="6"/>
  <c r="M5859" i="6"/>
  <c r="M5860" i="6"/>
  <c r="M5861" i="6"/>
  <c r="M5862" i="6"/>
  <c r="M5863" i="6"/>
  <c r="M5864" i="6"/>
  <c r="M5865" i="6"/>
  <c r="M5866" i="6"/>
  <c r="M5867" i="6"/>
  <c r="M5868" i="6"/>
  <c r="M5869" i="6"/>
  <c r="M5870" i="6"/>
  <c r="M5871" i="6"/>
  <c r="M5872" i="6"/>
  <c r="M5873" i="6"/>
  <c r="M5874" i="6"/>
  <c r="M5875" i="6"/>
  <c r="M5876" i="6"/>
  <c r="M5877" i="6"/>
  <c r="M5878" i="6"/>
  <c r="M5879" i="6"/>
  <c r="M5880" i="6"/>
  <c r="M5881" i="6"/>
  <c r="M5882" i="6"/>
  <c r="M5883" i="6"/>
  <c r="M5884" i="6"/>
  <c r="M5885" i="6"/>
  <c r="M5886" i="6"/>
  <c r="M5887" i="6"/>
  <c r="M5888" i="6"/>
  <c r="M5889" i="6"/>
  <c r="M5890" i="6"/>
  <c r="M5891" i="6"/>
  <c r="M5892" i="6"/>
  <c r="M5893" i="6"/>
  <c r="M5894" i="6"/>
  <c r="M5895" i="6"/>
  <c r="M5896" i="6"/>
  <c r="M5897" i="6"/>
  <c r="M5898" i="6"/>
  <c r="M5899" i="6"/>
  <c r="M5900" i="6"/>
  <c r="M5901" i="6"/>
  <c r="M5902" i="6"/>
  <c r="M5903" i="6"/>
  <c r="M5904" i="6"/>
  <c r="M5905" i="6"/>
  <c r="M5906" i="6"/>
  <c r="M5907" i="6"/>
  <c r="M5908" i="6"/>
  <c r="M5909" i="6"/>
  <c r="M5910" i="6"/>
  <c r="M5911" i="6"/>
  <c r="M5912" i="6"/>
  <c r="M5913" i="6"/>
  <c r="M5914" i="6"/>
  <c r="M5915" i="6"/>
  <c r="M5916" i="6"/>
  <c r="M5917" i="6"/>
  <c r="M5918" i="6"/>
  <c r="M5919" i="6"/>
  <c r="M5920" i="6"/>
  <c r="M5921" i="6"/>
  <c r="M5922" i="6"/>
  <c r="M5923" i="6"/>
  <c r="M5924" i="6"/>
  <c r="M5925" i="6"/>
  <c r="M5926" i="6"/>
  <c r="M5927" i="6"/>
  <c r="M5928" i="6"/>
  <c r="M5929" i="6"/>
  <c r="M5930" i="6"/>
  <c r="M5931" i="6"/>
  <c r="M5932" i="6"/>
  <c r="M5933" i="6"/>
  <c r="M5934" i="6"/>
  <c r="M5935" i="6"/>
  <c r="M5936" i="6"/>
  <c r="M5937" i="6"/>
  <c r="M5938" i="6"/>
  <c r="M5939" i="6"/>
  <c r="M5940" i="6"/>
  <c r="M5941" i="6"/>
  <c r="M5942" i="6"/>
  <c r="M5943" i="6"/>
  <c r="M5944" i="6"/>
  <c r="M5945" i="6"/>
  <c r="M5946" i="6"/>
  <c r="M5947" i="6"/>
  <c r="M5948" i="6"/>
  <c r="M5949" i="6"/>
  <c r="M5950" i="6"/>
  <c r="M5951" i="6"/>
  <c r="M5952" i="6"/>
  <c r="M5953" i="6"/>
  <c r="M5954" i="6"/>
  <c r="M5955" i="6"/>
  <c r="M5956" i="6"/>
  <c r="M5957" i="6"/>
  <c r="M5958" i="6"/>
  <c r="M5959" i="6"/>
  <c r="M5960" i="6"/>
  <c r="M5961" i="6"/>
  <c r="M5962" i="6"/>
  <c r="M5963" i="6"/>
  <c r="M5964" i="6"/>
  <c r="M5965" i="6"/>
  <c r="M5966" i="6"/>
  <c r="M5967" i="6"/>
  <c r="M5968" i="6"/>
  <c r="M5969" i="6"/>
  <c r="M5970" i="6"/>
  <c r="M5971" i="6"/>
  <c r="M5972" i="6"/>
  <c r="M5973" i="6"/>
  <c r="M5974" i="6"/>
  <c r="M5975" i="6"/>
  <c r="M5976" i="6"/>
  <c r="M5977" i="6"/>
  <c r="M5978" i="6"/>
  <c r="M5979" i="6"/>
  <c r="M5980" i="6"/>
  <c r="M5981" i="6"/>
  <c r="M5982" i="6"/>
  <c r="M5983" i="6"/>
  <c r="M5984" i="6"/>
  <c r="M5985" i="6"/>
  <c r="M5986" i="6"/>
  <c r="M5987" i="6"/>
  <c r="M5988" i="6"/>
  <c r="M5989" i="6"/>
  <c r="M5990" i="6"/>
  <c r="M5991" i="6"/>
  <c r="M5992" i="6"/>
  <c r="M5993" i="6"/>
  <c r="M5994" i="6"/>
  <c r="M5995" i="6"/>
  <c r="M5996" i="6"/>
  <c r="M5997" i="6"/>
  <c r="M5998" i="6"/>
  <c r="M5999" i="6"/>
  <c r="M6000" i="6"/>
  <c r="M6001" i="6"/>
  <c r="M6002" i="6"/>
  <c r="M6003" i="6"/>
  <c r="M6004" i="6"/>
  <c r="M6005" i="6"/>
  <c r="M6006" i="6"/>
  <c r="M6007" i="6"/>
  <c r="M6008" i="6"/>
  <c r="M6009" i="6"/>
  <c r="M6010" i="6"/>
  <c r="M6011" i="6"/>
  <c r="M6012" i="6"/>
  <c r="M6013" i="6"/>
  <c r="M6014" i="6"/>
  <c r="M6015" i="6"/>
  <c r="M6016" i="6"/>
  <c r="M6017" i="6"/>
  <c r="M6018" i="6"/>
  <c r="M6019" i="6"/>
  <c r="M6020" i="6"/>
  <c r="M6021" i="6"/>
  <c r="M6022" i="6"/>
  <c r="M6023" i="6"/>
  <c r="M6024" i="6"/>
  <c r="M6025" i="6"/>
  <c r="M6026" i="6"/>
  <c r="M6027" i="6"/>
  <c r="M6028" i="6"/>
  <c r="M6029" i="6"/>
  <c r="M6030" i="6"/>
  <c r="M6031" i="6"/>
  <c r="M6032" i="6"/>
  <c r="M6033" i="6"/>
  <c r="M6034" i="6"/>
  <c r="M6035" i="6"/>
  <c r="M6036" i="6"/>
  <c r="M6037" i="6"/>
  <c r="M6038" i="6"/>
  <c r="M6039" i="6"/>
  <c r="M6040" i="6"/>
  <c r="M6041" i="6"/>
  <c r="M6042" i="6"/>
  <c r="M6043" i="6"/>
  <c r="M6044" i="6"/>
  <c r="M6045" i="6"/>
  <c r="M6046" i="6"/>
  <c r="M6047" i="6"/>
  <c r="M6048" i="6"/>
  <c r="M6049" i="6"/>
  <c r="M6050" i="6"/>
  <c r="M6051" i="6"/>
  <c r="M6052" i="6"/>
  <c r="M6053" i="6"/>
  <c r="M6054" i="6"/>
  <c r="M6055" i="6"/>
  <c r="M6056" i="6"/>
  <c r="M6057" i="6"/>
  <c r="M6058" i="6"/>
  <c r="M6059" i="6"/>
  <c r="M6060" i="6"/>
  <c r="M6061" i="6"/>
  <c r="M6062" i="6"/>
  <c r="M6063" i="6"/>
  <c r="M6064" i="6"/>
  <c r="M6065" i="6"/>
  <c r="M6066" i="6"/>
  <c r="M6067" i="6"/>
  <c r="M6068" i="6"/>
  <c r="M6069" i="6"/>
  <c r="M6070" i="6"/>
  <c r="M6071" i="6"/>
  <c r="M6072" i="6"/>
  <c r="M6073" i="6"/>
  <c r="M6074" i="6"/>
  <c r="M6075" i="6"/>
  <c r="M6076" i="6"/>
  <c r="M6077" i="6"/>
  <c r="M6078" i="6"/>
  <c r="M6079" i="6"/>
  <c r="M6080" i="6"/>
  <c r="M6081" i="6"/>
  <c r="M6082" i="6"/>
  <c r="M6083" i="6"/>
  <c r="M6084" i="6"/>
  <c r="M6085" i="6"/>
  <c r="M6086" i="6"/>
  <c r="M6087" i="6"/>
  <c r="M6088" i="6"/>
  <c r="M6089" i="6"/>
  <c r="M6090" i="6"/>
  <c r="M6091" i="6"/>
  <c r="M6092" i="6"/>
  <c r="M6093" i="6"/>
  <c r="M6094" i="6"/>
  <c r="M6095" i="6"/>
  <c r="M6096" i="6"/>
  <c r="M6097" i="6"/>
  <c r="M6098" i="6"/>
  <c r="M6099" i="6"/>
  <c r="M6100" i="6"/>
  <c r="M6101" i="6"/>
  <c r="M6102" i="6"/>
  <c r="M6103" i="6"/>
  <c r="M6104" i="6"/>
  <c r="M6105" i="6"/>
  <c r="M6106" i="6"/>
  <c r="M6107" i="6"/>
  <c r="M6108" i="6"/>
  <c r="M6109" i="6"/>
  <c r="M6110" i="6"/>
  <c r="M6111" i="6"/>
  <c r="M6112" i="6"/>
  <c r="M6113" i="6"/>
  <c r="M6114" i="6"/>
  <c r="M6115" i="6"/>
  <c r="M6116" i="6"/>
  <c r="M6117" i="6"/>
  <c r="M6118" i="6"/>
  <c r="M6119" i="6"/>
  <c r="M6120" i="6"/>
  <c r="M6121" i="6"/>
  <c r="M6122" i="6"/>
  <c r="M6123" i="6"/>
  <c r="M6124" i="6"/>
  <c r="M6125" i="6"/>
  <c r="M6126" i="6"/>
  <c r="M6127" i="6"/>
  <c r="M6128" i="6"/>
  <c r="M6129" i="6"/>
  <c r="M6130" i="6"/>
  <c r="M6131" i="6"/>
  <c r="M6132" i="6"/>
  <c r="M6133" i="6"/>
  <c r="M6134" i="6"/>
  <c r="M6135" i="6"/>
  <c r="M6136" i="6"/>
  <c r="M6137" i="6"/>
  <c r="M6138" i="6"/>
  <c r="M6139" i="6"/>
  <c r="M6140" i="6"/>
  <c r="M6141" i="6"/>
  <c r="M6142" i="6"/>
  <c r="M6143" i="6"/>
  <c r="M6144" i="6"/>
  <c r="M6145" i="6"/>
  <c r="M6146" i="6"/>
  <c r="M6147" i="6"/>
  <c r="M6148" i="6"/>
  <c r="M6149" i="6"/>
  <c r="M6150" i="6"/>
  <c r="M6151" i="6"/>
  <c r="M6152" i="6"/>
  <c r="M6153" i="6"/>
  <c r="M6154" i="6"/>
  <c r="M6155" i="6"/>
  <c r="M6156" i="6"/>
  <c r="M6157" i="6"/>
  <c r="M6158" i="6"/>
  <c r="M6159" i="6"/>
  <c r="M6160" i="6"/>
  <c r="M6161" i="6"/>
  <c r="M6162" i="6"/>
  <c r="M6163" i="6"/>
  <c r="M6164" i="6"/>
  <c r="M6165" i="6"/>
  <c r="M6166" i="6"/>
  <c r="M6167" i="6"/>
  <c r="M6168" i="6"/>
  <c r="M6169" i="6"/>
  <c r="M6170" i="6"/>
  <c r="M6171" i="6"/>
  <c r="M6172" i="6"/>
  <c r="M6173" i="6"/>
  <c r="M6174" i="6"/>
  <c r="M6175" i="6"/>
  <c r="M6176" i="6"/>
  <c r="M6177" i="6"/>
  <c r="M6178" i="6"/>
  <c r="M6179" i="6"/>
  <c r="M6180" i="6"/>
  <c r="M6181" i="6"/>
  <c r="M6182" i="6"/>
  <c r="M6183" i="6"/>
  <c r="M6184" i="6"/>
  <c r="M6185" i="6"/>
  <c r="M6186" i="6"/>
  <c r="M6187" i="6"/>
  <c r="M6188" i="6"/>
  <c r="M6189" i="6"/>
  <c r="M6190" i="6"/>
  <c r="M6191" i="6"/>
  <c r="M6192" i="6"/>
  <c r="M6193" i="6"/>
  <c r="M6194" i="6"/>
  <c r="M6195" i="6"/>
  <c r="M6196" i="6"/>
  <c r="M6197" i="6"/>
  <c r="M6198" i="6"/>
  <c r="M6199" i="6"/>
  <c r="M6200" i="6"/>
  <c r="M6201" i="6"/>
  <c r="M6202" i="6"/>
  <c r="M6203" i="6"/>
  <c r="M6204" i="6"/>
  <c r="M6205" i="6"/>
  <c r="M6206" i="6"/>
  <c r="M6207" i="6"/>
  <c r="M6208" i="6"/>
  <c r="M6209" i="6"/>
  <c r="M6210" i="6"/>
  <c r="M6211" i="6"/>
  <c r="M6212" i="6"/>
  <c r="M6213" i="6"/>
  <c r="M6214" i="6"/>
  <c r="M6215" i="6"/>
  <c r="M6216" i="6"/>
  <c r="M6217" i="6"/>
  <c r="M6218" i="6"/>
  <c r="M6219" i="6"/>
  <c r="M6220" i="6"/>
  <c r="M6221" i="6"/>
  <c r="M6222" i="6"/>
  <c r="M6223" i="6"/>
  <c r="M6224" i="6"/>
  <c r="M6225" i="6"/>
  <c r="M6226" i="6"/>
  <c r="M6227" i="6"/>
  <c r="M6228" i="6"/>
  <c r="M6229" i="6"/>
  <c r="M6230" i="6"/>
  <c r="M6231" i="6"/>
  <c r="M6232" i="6"/>
  <c r="M6233" i="6"/>
  <c r="M6234" i="6"/>
  <c r="M6235" i="6"/>
  <c r="M6236" i="6"/>
  <c r="M6237" i="6"/>
  <c r="M6238" i="6"/>
  <c r="M6239" i="6"/>
  <c r="M6240" i="6"/>
  <c r="M6241" i="6"/>
  <c r="M6242" i="6"/>
  <c r="M6243" i="6"/>
  <c r="M6244" i="6"/>
  <c r="M6245" i="6"/>
  <c r="M6246" i="6"/>
  <c r="M6247" i="6"/>
  <c r="M6248" i="6"/>
  <c r="M6249" i="6"/>
  <c r="M6250" i="6"/>
  <c r="M6251" i="6"/>
  <c r="M6252" i="6"/>
  <c r="M6253" i="6"/>
  <c r="M6254" i="6"/>
  <c r="M6255" i="6"/>
  <c r="M6256" i="6"/>
  <c r="M6257" i="6"/>
  <c r="M6258" i="6"/>
  <c r="M6259" i="6"/>
  <c r="M6260" i="6"/>
  <c r="M6261" i="6"/>
  <c r="M6262" i="6"/>
  <c r="M6263" i="6"/>
  <c r="M6264" i="6"/>
  <c r="M6265" i="6"/>
  <c r="M6266" i="6"/>
  <c r="M6267" i="6"/>
  <c r="M6268" i="6"/>
  <c r="M6269" i="6"/>
  <c r="M6270" i="6"/>
  <c r="M6271" i="6"/>
  <c r="M6272" i="6"/>
  <c r="M6273" i="6"/>
  <c r="M6274" i="6"/>
  <c r="M6275" i="6"/>
  <c r="M6276" i="6"/>
  <c r="M6277" i="6"/>
  <c r="M6278" i="6"/>
  <c r="M6279" i="6"/>
  <c r="M6280" i="6"/>
  <c r="M6281" i="6"/>
  <c r="M6282" i="6"/>
  <c r="M6283" i="6"/>
  <c r="M6284" i="6"/>
  <c r="M6285" i="6"/>
  <c r="M6286" i="6"/>
  <c r="M6287" i="6"/>
  <c r="M6288" i="6"/>
  <c r="M6289" i="6"/>
  <c r="M6290" i="6"/>
  <c r="M6291" i="6"/>
  <c r="M6292" i="6"/>
  <c r="M6293" i="6"/>
  <c r="M6294" i="6"/>
  <c r="M6295" i="6"/>
  <c r="M6296" i="6"/>
  <c r="M6297" i="6"/>
  <c r="M6298" i="6"/>
  <c r="M6299" i="6"/>
  <c r="M6300" i="6"/>
  <c r="M6301" i="6"/>
  <c r="M6302" i="6"/>
  <c r="M6303" i="6"/>
  <c r="M6304" i="6"/>
  <c r="M6305" i="6"/>
  <c r="M6306" i="6"/>
  <c r="M6307" i="6"/>
  <c r="M6308" i="6"/>
  <c r="M6309" i="6"/>
  <c r="M6310" i="6"/>
  <c r="M6311" i="6"/>
  <c r="M6312" i="6"/>
  <c r="M6313" i="6"/>
  <c r="M6314" i="6"/>
  <c r="M6315" i="6"/>
  <c r="M6316" i="6"/>
  <c r="M6317" i="6"/>
  <c r="M6318" i="6"/>
  <c r="M6319" i="6"/>
  <c r="M6320" i="6"/>
  <c r="M6321" i="6"/>
  <c r="M6322" i="6"/>
  <c r="M6323" i="6"/>
  <c r="M6324" i="6"/>
  <c r="M6325" i="6"/>
  <c r="M6326" i="6"/>
  <c r="M6327" i="6"/>
  <c r="M6328" i="6"/>
  <c r="M6329" i="6"/>
  <c r="M6330" i="6"/>
  <c r="M6331" i="6"/>
  <c r="M6332" i="6"/>
  <c r="M6333" i="6"/>
  <c r="M6334" i="6"/>
  <c r="M6335" i="6"/>
  <c r="M6336" i="6"/>
  <c r="M6337" i="6"/>
  <c r="M6338" i="6"/>
  <c r="M6339" i="6"/>
  <c r="M6340" i="6"/>
  <c r="M6341" i="6"/>
  <c r="M6342" i="6"/>
  <c r="M6343" i="6"/>
  <c r="M6344" i="6"/>
  <c r="M6345" i="6"/>
  <c r="M6346" i="6"/>
  <c r="M6347" i="6"/>
  <c r="M6348" i="6"/>
  <c r="M6349" i="6"/>
  <c r="M6350" i="6"/>
  <c r="M6351" i="6"/>
  <c r="M6352" i="6"/>
  <c r="M6353" i="6"/>
  <c r="M6354" i="6"/>
  <c r="M6355" i="6"/>
  <c r="M6356" i="6"/>
  <c r="M6357" i="6"/>
  <c r="M6358" i="6"/>
  <c r="M6359" i="6"/>
  <c r="M6360" i="6"/>
  <c r="M6361" i="6"/>
  <c r="M6362" i="6"/>
  <c r="M6363" i="6"/>
  <c r="M6364" i="6"/>
  <c r="M6365" i="6"/>
  <c r="M6366" i="6"/>
  <c r="M6367" i="6"/>
  <c r="M6368" i="6"/>
  <c r="M6369" i="6"/>
  <c r="M6370" i="6"/>
  <c r="M6371" i="6"/>
  <c r="M6372" i="6"/>
  <c r="M6373" i="6"/>
  <c r="M6374" i="6"/>
  <c r="M6375" i="6"/>
  <c r="M6376" i="6"/>
  <c r="M6377" i="6"/>
  <c r="M6378" i="6"/>
  <c r="M6379" i="6"/>
  <c r="M6380" i="6"/>
  <c r="M6381" i="6"/>
  <c r="M6382" i="6"/>
  <c r="M6383" i="6"/>
  <c r="M6384" i="6"/>
  <c r="M6385" i="6"/>
  <c r="M6386" i="6"/>
  <c r="M6387" i="6"/>
  <c r="M6388" i="6"/>
  <c r="M6389" i="6"/>
  <c r="M6390" i="6"/>
  <c r="M6391" i="6"/>
  <c r="M6392" i="6"/>
  <c r="M6393" i="6"/>
  <c r="M6394" i="6"/>
  <c r="M6395" i="6"/>
  <c r="M6396" i="6"/>
  <c r="M6397" i="6"/>
  <c r="M6398" i="6"/>
  <c r="M6399" i="6"/>
  <c r="M6400" i="6"/>
  <c r="M6401" i="6"/>
  <c r="M6402" i="6"/>
  <c r="M6403" i="6"/>
  <c r="M6404" i="6"/>
  <c r="M6405" i="6"/>
  <c r="M6406" i="6"/>
  <c r="M6407" i="6"/>
  <c r="M6408" i="6"/>
  <c r="M6409" i="6"/>
  <c r="M6410" i="6"/>
  <c r="M6411" i="6"/>
  <c r="M6412" i="6"/>
  <c r="M6413" i="6"/>
  <c r="M6414" i="6"/>
  <c r="M6415" i="6"/>
  <c r="M6416" i="6"/>
  <c r="M6417" i="6"/>
  <c r="M6418" i="6"/>
  <c r="M6419" i="6"/>
  <c r="M6420" i="6"/>
  <c r="M6421" i="6"/>
  <c r="M6422" i="6"/>
  <c r="M6423" i="6"/>
  <c r="M6424" i="6"/>
  <c r="M6425" i="6"/>
  <c r="M6426" i="6"/>
  <c r="M6427" i="6"/>
  <c r="M6428" i="6"/>
  <c r="M6429" i="6"/>
  <c r="M6430" i="6"/>
  <c r="M6431" i="6"/>
  <c r="M6432" i="6"/>
  <c r="M6433" i="6"/>
  <c r="M6434" i="6"/>
  <c r="M6435" i="6"/>
  <c r="M6436" i="6"/>
  <c r="M6437" i="6"/>
  <c r="M6438" i="6"/>
  <c r="M6439" i="6"/>
  <c r="M6440" i="6"/>
  <c r="M6441" i="6"/>
  <c r="M6442" i="6"/>
  <c r="M6443" i="6"/>
  <c r="M6444" i="6"/>
  <c r="M6445" i="6"/>
  <c r="M6446" i="6"/>
  <c r="M6447" i="6"/>
  <c r="M6448" i="6"/>
  <c r="M6449" i="6"/>
  <c r="M6450" i="6"/>
  <c r="M6451" i="6"/>
  <c r="M6452" i="6"/>
  <c r="M6453" i="6"/>
  <c r="M6454" i="6"/>
  <c r="M6455" i="6"/>
  <c r="M6456" i="6"/>
  <c r="M6457" i="6"/>
  <c r="M6458" i="6"/>
  <c r="M6459" i="6"/>
  <c r="M6460" i="6"/>
  <c r="M6461" i="6"/>
  <c r="M6462" i="6"/>
  <c r="M6463" i="6"/>
  <c r="M6464" i="6"/>
  <c r="M6465" i="6"/>
  <c r="M6466" i="6"/>
  <c r="M6467" i="6"/>
  <c r="M6468" i="6"/>
  <c r="M6469" i="6"/>
  <c r="M6470" i="6"/>
  <c r="M6471" i="6"/>
  <c r="M6472" i="6"/>
  <c r="M6473" i="6"/>
  <c r="M6474" i="6"/>
  <c r="M6475" i="6"/>
  <c r="M6476" i="6"/>
  <c r="M6477" i="6"/>
  <c r="M6478" i="6"/>
  <c r="M6479" i="6"/>
  <c r="M6480" i="6"/>
  <c r="M6481" i="6"/>
  <c r="M6482" i="6"/>
  <c r="M6483" i="6"/>
  <c r="M6484" i="6"/>
  <c r="M6485" i="6"/>
  <c r="M6486" i="6"/>
  <c r="M6487" i="6"/>
  <c r="M6488" i="6"/>
  <c r="M6489" i="6"/>
  <c r="M6490" i="6"/>
  <c r="M6491" i="6"/>
  <c r="M6492" i="6"/>
  <c r="M6493" i="6"/>
  <c r="M6494" i="6"/>
  <c r="M6495" i="6"/>
  <c r="M6496" i="6"/>
  <c r="M6497" i="6"/>
  <c r="M6498" i="6"/>
  <c r="M6499" i="6"/>
  <c r="M6500" i="6"/>
  <c r="M6501" i="6"/>
  <c r="M6502" i="6"/>
  <c r="M6503" i="6"/>
  <c r="M6504" i="6"/>
  <c r="M6505" i="6"/>
  <c r="M6506" i="6"/>
  <c r="M6507" i="6"/>
  <c r="M6508" i="6"/>
  <c r="M6509" i="6"/>
  <c r="M6510" i="6"/>
  <c r="M6511" i="6"/>
  <c r="M6512" i="6"/>
  <c r="M6513" i="6"/>
  <c r="M6514" i="6"/>
  <c r="M6515" i="6"/>
  <c r="M6516" i="6"/>
  <c r="M6517" i="6"/>
  <c r="M6518" i="6"/>
  <c r="M6519" i="6"/>
  <c r="M6520" i="6"/>
  <c r="M6521" i="6"/>
  <c r="M6522" i="6"/>
  <c r="M6523" i="6"/>
  <c r="M6524" i="6"/>
  <c r="M6525" i="6"/>
  <c r="M6526" i="6"/>
  <c r="M6527" i="6"/>
  <c r="M6528" i="6"/>
  <c r="M6529" i="6"/>
  <c r="M6530" i="6"/>
  <c r="M6531" i="6"/>
  <c r="M6532" i="6"/>
  <c r="M6533" i="6"/>
  <c r="M6534" i="6"/>
  <c r="M6535" i="6"/>
  <c r="M6536" i="6"/>
  <c r="M6537" i="6"/>
  <c r="M6538" i="6"/>
  <c r="M6539" i="6"/>
  <c r="M6540" i="6"/>
  <c r="M6541" i="6"/>
  <c r="M6542" i="6"/>
  <c r="M6543" i="6"/>
  <c r="M6544" i="6"/>
  <c r="M6545" i="6"/>
  <c r="M6546" i="6"/>
  <c r="M6547" i="6"/>
  <c r="M6548" i="6"/>
  <c r="M6549" i="6"/>
  <c r="M6550" i="6"/>
  <c r="M6551" i="6"/>
  <c r="M6552" i="6"/>
  <c r="M6553" i="6"/>
  <c r="M6554" i="6"/>
  <c r="M6555" i="6"/>
  <c r="M6556" i="6"/>
  <c r="M6557" i="6"/>
  <c r="M6558" i="6"/>
  <c r="M6559" i="6"/>
  <c r="M6560" i="6"/>
  <c r="M6561" i="6"/>
  <c r="M6562" i="6"/>
  <c r="M6563" i="6"/>
  <c r="M6564" i="6"/>
  <c r="M6565" i="6"/>
  <c r="M6566" i="6"/>
  <c r="M6567" i="6"/>
  <c r="M6568" i="6"/>
  <c r="M6569" i="6"/>
  <c r="M6570" i="6"/>
  <c r="M6571" i="6"/>
  <c r="M6572" i="6"/>
  <c r="M6573" i="6"/>
  <c r="M6574" i="6"/>
  <c r="M6575" i="6"/>
  <c r="M6576" i="6"/>
  <c r="M6577" i="6"/>
  <c r="M6578" i="6"/>
  <c r="M6579" i="6"/>
  <c r="M6580" i="6"/>
  <c r="M6581" i="6"/>
  <c r="M6582" i="6"/>
  <c r="M6583" i="6"/>
  <c r="M6584" i="6"/>
  <c r="M6585" i="6"/>
  <c r="M6586" i="6"/>
  <c r="M6587" i="6"/>
  <c r="M6588" i="6"/>
  <c r="M6589" i="6"/>
  <c r="M6590" i="6"/>
  <c r="M6591" i="6"/>
  <c r="M6592" i="6"/>
  <c r="M6593" i="6"/>
  <c r="M6594" i="6"/>
  <c r="M6595" i="6"/>
  <c r="M6596" i="6"/>
  <c r="M6597" i="6"/>
  <c r="M6598" i="6"/>
  <c r="M6599" i="6"/>
  <c r="M6600" i="6"/>
  <c r="M6601" i="6"/>
  <c r="M6602" i="6"/>
  <c r="M6603" i="6"/>
  <c r="M6604" i="6"/>
  <c r="M6605" i="6"/>
  <c r="M6606" i="6"/>
  <c r="M6607" i="6"/>
  <c r="M6608" i="6"/>
  <c r="M6609" i="6"/>
  <c r="M6610" i="6"/>
  <c r="M6611" i="6"/>
  <c r="M6612" i="6"/>
  <c r="M6613" i="6"/>
  <c r="M6614" i="6"/>
  <c r="M6615" i="6"/>
  <c r="M6616" i="6"/>
  <c r="M6617" i="6"/>
  <c r="M6618" i="6"/>
  <c r="M6619" i="6"/>
  <c r="M6620" i="6"/>
  <c r="M6621" i="6"/>
  <c r="M6622" i="6"/>
  <c r="M6623" i="6"/>
  <c r="M6624" i="6"/>
  <c r="M6625" i="6"/>
  <c r="M6626" i="6"/>
  <c r="M6627" i="6"/>
  <c r="M6628" i="6"/>
  <c r="M6629" i="6"/>
  <c r="M6630" i="6"/>
  <c r="M6631" i="6"/>
  <c r="M6632" i="6"/>
  <c r="M6633" i="6"/>
  <c r="M6634" i="6"/>
  <c r="M6635" i="6"/>
  <c r="M6636" i="6"/>
  <c r="M6637" i="6"/>
  <c r="M6638" i="6"/>
  <c r="M6639" i="6"/>
  <c r="M6640" i="6"/>
  <c r="M6641" i="6"/>
  <c r="M6642" i="6"/>
  <c r="M6643" i="6"/>
  <c r="M6644" i="6"/>
  <c r="M6645" i="6"/>
  <c r="M6646" i="6"/>
  <c r="M6647" i="6"/>
  <c r="M6648" i="6"/>
  <c r="M6649" i="6"/>
  <c r="M6650" i="6"/>
  <c r="M6651" i="6"/>
  <c r="M6652" i="6"/>
  <c r="M6653" i="6"/>
  <c r="M6654" i="6"/>
  <c r="M6655" i="6"/>
  <c r="M6656" i="6"/>
  <c r="M6657" i="6"/>
  <c r="M6658" i="6"/>
  <c r="M6659" i="6"/>
  <c r="M6660" i="6"/>
  <c r="M6661" i="6"/>
  <c r="M6662" i="6"/>
  <c r="M6663" i="6"/>
  <c r="M6664" i="6"/>
  <c r="M6665" i="6"/>
  <c r="M6666" i="6"/>
  <c r="M6667" i="6"/>
  <c r="M6668" i="6"/>
  <c r="M6669" i="6"/>
  <c r="M6670" i="6"/>
  <c r="M6671" i="6"/>
  <c r="M6672" i="6"/>
  <c r="M6673" i="6"/>
  <c r="M6674" i="6"/>
  <c r="M6675" i="6"/>
  <c r="M6676" i="6"/>
  <c r="M6677" i="6"/>
  <c r="M6678" i="6"/>
  <c r="M6679" i="6"/>
  <c r="M6680" i="6"/>
  <c r="M6681" i="6"/>
  <c r="M6682" i="6"/>
  <c r="M6683" i="6"/>
  <c r="M6684" i="6"/>
  <c r="M6685" i="6"/>
  <c r="M6686" i="6"/>
  <c r="M6687" i="6"/>
  <c r="M6688" i="6"/>
  <c r="M6689" i="6"/>
  <c r="M6690" i="6"/>
  <c r="M6691" i="6"/>
  <c r="M6692" i="6"/>
  <c r="M6693" i="6"/>
  <c r="M6694" i="6"/>
  <c r="M6695" i="6"/>
  <c r="M6696" i="6"/>
  <c r="M6697" i="6"/>
  <c r="M6698" i="6"/>
  <c r="M6699" i="6"/>
  <c r="M6700" i="6"/>
  <c r="M6701" i="6"/>
  <c r="M6702" i="6"/>
  <c r="M6703" i="6"/>
  <c r="M6704" i="6"/>
  <c r="M6705" i="6"/>
  <c r="M6706" i="6"/>
  <c r="M6707" i="6"/>
  <c r="M6708" i="6"/>
  <c r="M6709" i="6"/>
  <c r="M6710" i="6"/>
  <c r="M6711" i="6"/>
  <c r="M6712" i="6"/>
  <c r="M6713" i="6"/>
  <c r="M6714" i="6"/>
  <c r="M6715" i="6"/>
  <c r="M6716" i="6"/>
  <c r="M6717" i="6"/>
  <c r="M6718" i="6"/>
  <c r="M6719" i="6"/>
  <c r="M6720" i="6"/>
  <c r="M6721" i="6"/>
  <c r="M6722" i="6"/>
  <c r="M6723" i="6"/>
  <c r="M6724" i="6"/>
  <c r="M6725" i="6"/>
  <c r="M6726" i="6"/>
  <c r="M6727" i="6"/>
  <c r="M6728" i="6"/>
  <c r="M6729" i="6"/>
  <c r="M6730" i="6"/>
  <c r="M6731" i="6"/>
  <c r="M6732" i="6"/>
  <c r="M6733" i="6"/>
  <c r="M6734" i="6"/>
  <c r="M6735" i="6"/>
  <c r="M6736" i="6"/>
  <c r="M6737" i="6"/>
  <c r="M6738" i="6"/>
  <c r="M6739" i="6"/>
  <c r="M6740" i="6"/>
  <c r="M6741" i="6"/>
  <c r="M6742" i="6"/>
  <c r="M6743" i="6"/>
  <c r="M6744" i="6"/>
  <c r="M6745" i="6"/>
  <c r="M6746" i="6"/>
  <c r="M6747" i="6"/>
  <c r="M6748" i="6"/>
  <c r="M6749" i="6"/>
  <c r="M6750" i="6"/>
  <c r="M6751" i="6"/>
  <c r="M6752" i="6"/>
  <c r="M6753" i="6"/>
  <c r="M6754" i="6"/>
  <c r="M6755" i="6"/>
  <c r="M6756" i="6"/>
  <c r="M6757" i="6"/>
  <c r="M6758" i="6"/>
  <c r="M6759" i="6"/>
  <c r="M6760" i="6"/>
  <c r="M6761" i="6"/>
  <c r="M6762" i="6"/>
  <c r="M6763" i="6"/>
  <c r="M6764" i="6"/>
  <c r="M6765" i="6"/>
  <c r="M6766" i="6"/>
  <c r="M6767" i="6"/>
  <c r="M6768" i="6"/>
  <c r="M6769" i="6"/>
  <c r="M6770" i="6"/>
  <c r="M6771" i="6"/>
  <c r="M6772" i="6"/>
  <c r="M6773" i="6"/>
  <c r="M6774" i="6"/>
  <c r="M6775" i="6"/>
  <c r="M6776" i="6"/>
  <c r="M6777" i="6"/>
  <c r="M6778" i="6"/>
  <c r="M6779" i="6"/>
  <c r="M6780" i="6"/>
  <c r="M6781" i="6"/>
  <c r="M6782" i="6"/>
  <c r="M6783" i="6"/>
  <c r="M6784" i="6"/>
  <c r="M6785" i="6"/>
  <c r="M6786" i="6"/>
  <c r="M6787" i="6"/>
  <c r="M6788" i="6"/>
  <c r="M6789" i="6"/>
  <c r="M6790" i="6"/>
  <c r="M6791" i="6"/>
  <c r="M6792" i="6"/>
  <c r="M6793" i="6"/>
  <c r="M6794" i="6"/>
  <c r="M6795" i="6"/>
  <c r="M6796" i="6"/>
  <c r="M6797" i="6"/>
  <c r="M6798" i="6"/>
  <c r="M6799" i="6"/>
  <c r="M6800" i="6"/>
  <c r="M6801" i="6"/>
  <c r="M6802" i="6"/>
  <c r="M6803" i="6"/>
  <c r="M6804" i="6"/>
  <c r="M6805" i="6"/>
  <c r="M6806" i="6"/>
  <c r="M6807" i="6"/>
  <c r="M6808" i="6"/>
  <c r="M6809" i="6"/>
  <c r="M6810" i="6"/>
  <c r="M6811" i="6"/>
  <c r="M6812" i="6"/>
  <c r="M6813" i="6"/>
  <c r="M6814" i="6"/>
  <c r="M6815" i="6"/>
  <c r="M6816" i="6"/>
  <c r="M6817" i="6"/>
  <c r="M6818" i="6"/>
  <c r="M6819" i="6"/>
  <c r="M6820" i="6"/>
  <c r="M6821" i="6"/>
  <c r="M6822" i="6"/>
  <c r="M6823" i="6"/>
  <c r="M6824" i="6"/>
  <c r="M6825" i="6"/>
  <c r="M6826" i="6"/>
  <c r="M6827" i="6"/>
  <c r="M6828" i="6"/>
  <c r="M6829" i="6"/>
  <c r="M6830" i="6"/>
  <c r="M6831" i="6"/>
  <c r="M6832" i="6"/>
  <c r="M6833" i="6"/>
  <c r="M6834" i="6"/>
  <c r="M6835" i="6"/>
  <c r="M6836" i="6"/>
  <c r="M6837" i="6"/>
  <c r="M6838" i="6"/>
  <c r="M6839" i="6"/>
  <c r="M6840" i="6"/>
  <c r="M6841" i="6"/>
  <c r="M6842" i="6"/>
  <c r="M6843" i="6"/>
  <c r="M6844" i="6"/>
  <c r="M6845" i="6"/>
  <c r="M6846" i="6"/>
  <c r="M6847" i="6"/>
  <c r="M6848" i="6"/>
  <c r="M6849" i="6"/>
  <c r="M6850" i="6"/>
  <c r="M6851" i="6"/>
  <c r="M6852" i="6"/>
  <c r="M6853" i="6"/>
  <c r="M6854" i="6"/>
  <c r="M6855" i="6"/>
  <c r="M6856" i="6"/>
  <c r="M6857" i="6"/>
  <c r="M6858" i="6"/>
  <c r="M6859" i="6"/>
  <c r="M6860" i="6"/>
  <c r="M6861" i="6"/>
  <c r="M6862" i="6"/>
  <c r="M6863" i="6"/>
  <c r="M6864" i="6"/>
  <c r="M6865" i="6"/>
  <c r="M6866" i="6"/>
  <c r="M6867" i="6"/>
  <c r="M6868" i="6"/>
  <c r="M6869" i="6"/>
  <c r="M6870" i="6"/>
  <c r="M6871" i="6"/>
  <c r="M6872" i="6"/>
  <c r="M6873" i="6"/>
  <c r="M6874" i="6"/>
  <c r="M6875" i="6"/>
  <c r="M6876" i="6"/>
  <c r="M6877" i="6"/>
  <c r="M6878" i="6"/>
  <c r="M6879" i="6"/>
  <c r="M6880" i="6"/>
  <c r="M6881" i="6"/>
  <c r="M6882" i="6"/>
  <c r="M6883" i="6"/>
  <c r="M6884" i="6"/>
  <c r="M6885" i="6"/>
  <c r="M6886" i="6"/>
  <c r="M6887" i="6"/>
  <c r="M6888" i="6"/>
  <c r="M6889" i="6"/>
  <c r="M6890" i="6"/>
  <c r="M6891" i="6"/>
  <c r="M6892" i="6"/>
  <c r="M6893" i="6"/>
  <c r="M6894" i="6"/>
  <c r="M6895" i="6"/>
  <c r="M6896" i="6"/>
  <c r="M6897" i="6"/>
  <c r="M6898" i="6"/>
  <c r="M6899" i="6"/>
  <c r="M6900" i="6"/>
  <c r="M6901" i="6"/>
  <c r="M6902" i="6"/>
  <c r="M6903" i="6"/>
  <c r="M6904" i="6"/>
  <c r="M6905" i="6"/>
  <c r="M6906" i="6"/>
  <c r="M6907" i="6"/>
  <c r="M6908" i="6"/>
  <c r="M6909" i="6"/>
  <c r="M6910" i="6"/>
  <c r="M6911" i="6"/>
  <c r="M6912" i="6"/>
  <c r="M6913" i="6"/>
  <c r="M6914" i="6"/>
  <c r="M6915" i="6"/>
  <c r="M6916" i="6"/>
  <c r="M6917" i="6"/>
  <c r="M6918" i="6"/>
  <c r="M6919" i="6"/>
  <c r="M6920" i="6"/>
  <c r="M6921" i="6"/>
  <c r="M6922" i="6"/>
  <c r="M6923" i="6"/>
  <c r="M6924" i="6"/>
  <c r="M6925" i="6"/>
  <c r="M6926" i="6"/>
  <c r="M6927" i="6"/>
  <c r="M6928" i="6"/>
  <c r="M6929" i="6"/>
  <c r="M6930" i="6"/>
  <c r="M6931" i="6"/>
  <c r="M6932" i="6"/>
  <c r="M6933" i="6"/>
  <c r="M6934" i="6"/>
  <c r="M6935" i="6"/>
  <c r="M6936" i="6"/>
  <c r="M6937" i="6"/>
  <c r="M6938" i="6"/>
  <c r="M6939" i="6"/>
  <c r="M6940" i="6"/>
  <c r="M6941" i="6"/>
  <c r="M6942" i="6"/>
  <c r="M6943" i="6"/>
  <c r="M6944" i="6"/>
  <c r="M6945" i="6"/>
  <c r="M6946" i="6"/>
  <c r="M6947" i="6"/>
  <c r="M6948" i="6"/>
  <c r="M6949" i="6"/>
  <c r="M6950" i="6"/>
  <c r="M6951" i="6"/>
  <c r="M6952" i="6"/>
  <c r="M6953" i="6"/>
  <c r="M6954" i="6"/>
  <c r="M6955" i="6"/>
  <c r="M6956" i="6"/>
  <c r="M6957" i="6"/>
  <c r="M6958" i="6"/>
  <c r="M6959" i="6"/>
  <c r="M6960" i="6"/>
  <c r="M6961" i="6"/>
  <c r="M6962" i="6"/>
  <c r="M6963" i="6"/>
  <c r="M6964" i="6"/>
  <c r="M6965" i="6"/>
  <c r="M6966" i="6"/>
  <c r="M6967" i="6"/>
  <c r="M6968" i="6"/>
  <c r="M6969" i="6"/>
  <c r="M6970" i="6"/>
  <c r="M6971" i="6"/>
  <c r="M6972" i="6"/>
  <c r="M6973" i="6"/>
  <c r="M6974" i="6"/>
  <c r="M6975" i="6"/>
  <c r="M6976" i="6"/>
  <c r="M6977" i="6"/>
  <c r="M6978" i="6"/>
  <c r="M6979" i="6"/>
  <c r="M6980" i="6"/>
  <c r="M6981" i="6"/>
  <c r="M6982" i="6"/>
  <c r="M6983" i="6"/>
  <c r="M6984" i="6"/>
  <c r="M6985" i="6"/>
  <c r="M6986" i="6"/>
  <c r="M6987" i="6"/>
  <c r="M6988" i="6"/>
  <c r="M6989" i="6"/>
  <c r="M6990" i="6"/>
  <c r="M6991" i="6"/>
  <c r="M6992" i="6"/>
  <c r="M6993" i="6"/>
  <c r="M6994" i="6"/>
  <c r="M6995" i="6"/>
  <c r="M6996" i="6"/>
  <c r="M6997" i="6"/>
  <c r="M6998" i="6"/>
  <c r="M6999" i="6"/>
  <c r="M7000" i="6"/>
  <c r="M7001" i="6"/>
  <c r="M7002" i="6"/>
  <c r="M7003" i="6"/>
  <c r="M7004" i="6"/>
  <c r="M7005" i="6"/>
  <c r="M7006" i="6"/>
  <c r="M7007" i="6"/>
  <c r="M7008" i="6"/>
  <c r="M7009" i="6"/>
  <c r="M7010" i="6"/>
  <c r="M7011" i="6"/>
  <c r="M7012" i="6"/>
  <c r="M7013" i="6"/>
  <c r="M7014" i="6"/>
  <c r="M7015" i="6"/>
  <c r="M7016" i="6"/>
  <c r="M7017" i="6"/>
  <c r="M7018" i="6"/>
  <c r="M7019" i="6"/>
  <c r="M7020" i="6"/>
  <c r="M7021" i="6"/>
  <c r="M7022" i="6"/>
  <c r="M7023" i="6"/>
  <c r="M7024" i="6"/>
  <c r="M7025" i="6"/>
  <c r="M7026" i="6"/>
  <c r="M7027" i="6"/>
  <c r="M7028" i="6"/>
  <c r="M7029" i="6"/>
  <c r="M7030" i="6"/>
  <c r="M7031" i="6"/>
  <c r="M7032" i="6"/>
  <c r="M7033" i="6"/>
  <c r="M7034" i="6"/>
  <c r="M7035" i="6"/>
  <c r="M7036" i="6"/>
  <c r="M7037" i="6"/>
  <c r="M7038" i="6"/>
  <c r="M7039" i="6"/>
  <c r="M7040" i="6"/>
  <c r="M7041" i="6"/>
  <c r="M7042" i="6"/>
  <c r="M7043" i="6"/>
  <c r="M7044" i="6"/>
  <c r="M7045" i="6"/>
  <c r="M7046" i="6"/>
  <c r="M7047" i="6"/>
  <c r="M7048" i="6"/>
  <c r="M7049" i="6"/>
  <c r="M7050" i="6"/>
  <c r="M7051" i="6"/>
  <c r="M7052" i="6"/>
  <c r="M7053" i="6"/>
  <c r="M7054" i="6"/>
  <c r="M7055" i="6"/>
  <c r="M7056" i="6"/>
  <c r="M7057" i="6"/>
  <c r="M7058" i="6"/>
  <c r="M7059" i="6"/>
  <c r="M7060" i="6"/>
  <c r="M7061" i="6"/>
  <c r="M7062" i="6"/>
  <c r="M7063" i="6"/>
  <c r="M7064" i="6"/>
  <c r="M7065" i="6"/>
  <c r="M7066" i="6"/>
  <c r="M7067" i="6"/>
  <c r="M7068" i="6"/>
  <c r="M7069" i="6"/>
  <c r="M7070" i="6"/>
  <c r="M7071" i="6"/>
  <c r="M7072" i="6"/>
  <c r="M7073" i="6"/>
  <c r="M7074" i="6"/>
  <c r="M7075" i="6"/>
  <c r="M7076" i="6"/>
  <c r="M7077" i="6"/>
  <c r="M7078" i="6"/>
  <c r="M7079" i="6"/>
  <c r="M7080" i="6"/>
  <c r="M7081" i="6"/>
  <c r="M7082" i="6"/>
  <c r="M7083" i="6"/>
  <c r="M7084" i="6"/>
  <c r="M7085" i="6"/>
  <c r="M7086" i="6"/>
  <c r="M7087" i="6"/>
  <c r="M7088" i="6"/>
  <c r="M7089" i="6"/>
  <c r="M7090" i="6"/>
  <c r="M7091" i="6"/>
  <c r="M7092" i="6"/>
  <c r="M7093" i="6"/>
  <c r="M7094" i="6"/>
  <c r="M7095" i="6"/>
  <c r="M7096" i="6"/>
  <c r="M7097" i="6"/>
  <c r="M7098" i="6"/>
  <c r="M7099" i="6"/>
  <c r="M7100" i="6"/>
  <c r="M7101" i="6"/>
  <c r="M7102" i="6"/>
  <c r="M7103" i="6"/>
  <c r="M7104" i="6"/>
  <c r="M7105" i="6"/>
  <c r="M7106" i="6"/>
  <c r="M7107" i="6"/>
  <c r="M7108" i="6"/>
  <c r="M7109" i="6"/>
  <c r="M7110" i="6"/>
  <c r="M7111" i="6"/>
  <c r="M7112" i="6"/>
  <c r="M7113" i="6"/>
  <c r="M7114" i="6"/>
  <c r="M7115" i="6"/>
  <c r="M7116" i="6"/>
  <c r="M7117" i="6"/>
  <c r="M7118" i="6"/>
  <c r="M7119" i="6"/>
  <c r="M7120" i="6"/>
  <c r="M7121" i="6"/>
  <c r="M7122" i="6"/>
  <c r="M7123" i="6"/>
  <c r="M7124" i="6"/>
  <c r="M7125" i="6"/>
  <c r="M7126" i="6"/>
  <c r="M7127" i="6"/>
  <c r="M7128" i="6"/>
  <c r="M7129" i="6"/>
  <c r="M7130" i="6"/>
  <c r="M7131" i="6"/>
  <c r="M7132" i="6"/>
  <c r="M7133" i="6"/>
  <c r="M7134" i="6"/>
  <c r="M7135" i="6"/>
  <c r="M7136" i="6"/>
  <c r="M7137" i="6"/>
  <c r="M7138" i="6"/>
  <c r="M7139" i="6"/>
  <c r="M7140" i="6"/>
  <c r="M7141" i="6"/>
  <c r="M7142" i="6"/>
  <c r="M7143" i="6"/>
  <c r="M7144" i="6"/>
  <c r="M7145" i="6"/>
  <c r="M7146" i="6"/>
  <c r="M7147" i="6"/>
  <c r="M7148" i="6"/>
  <c r="M7149" i="6"/>
  <c r="M7150" i="6"/>
  <c r="M7151" i="6"/>
  <c r="M7152" i="6"/>
  <c r="M7153" i="6"/>
  <c r="M7154" i="6"/>
  <c r="M7155" i="6"/>
  <c r="M7156" i="6"/>
  <c r="M7157" i="6"/>
  <c r="M7158" i="6"/>
  <c r="M7159" i="6"/>
  <c r="M7160" i="6"/>
  <c r="M7161" i="6"/>
  <c r="M7162" i="6"/>
  <c r="M7163" i="6"/>
  <c r="M7164" i="6"/>
  <c r="M7165" i="6"/>
  <c r="M7166" i="6"/>
  <c r="M7167" i="6"/>
  <c r="M7168" i="6"/>
  <c r="M7169" i="6"/>
  <c r="M7170" i="6"/>
  <c r="M7171" i="6"/>
  <c r="M7172" i="6"/>
  <c r="M7173" i="6"/>
  <c r="M7174" i="6"/>
  <c r="M7175" i="6"/>
  <c r="M7176" i="6"/>
  <c r="M7177" i="6"/>
  <c r="M7178" i="6"/>
  <c r="M7179" i="6"/>
  <c r="M7180" i="6"/>
  <c r="M7181" i="6"/>
  <c r="M7182" i="6"/>
  <c r="M7183" i="6"/>
  <c r="M7184" i="6"/>
  <c r="M7185" i="6"/>
  <c r="M7186" i="6"/>
  <c r="M7187" i="6"/>
  <c r="M7188" i="6"/>
  <c r="M7189" i="6"/>
  <c r="M7190" i="6"/>
  <c r="M7191" i="6"/>
  <c r="M7192" i="6"/>
  <c r="M7193" i="6"/>
  <c r="M7194" i="6"/>
  <c r="M7195" i="6"/>
  <c r="M7196" i="6"/>
  <c r="M7197" i="6"/>
  <c r="M7198" i="6"/>
  <c r="M7199" i="6"/>
  <c r="M7200" i="6"/>
  <c r="M7201" i="6"/>
  <c r="M7202" i="6"/>
  <c r="M7203" i="6"/>
  <c r="M7204" i="6"/>
  <c r="M7205" i="6"/>
  <c r="M7206" i="6"/>
  <c r="M7207" i="6"/>
  <c r="M7208" i="6"/>
  <c r="M7209" i="6"/>
  <c r="M7210" i="6"/>
  <c r="M7211" i="6"/>
  <c r="M7212" i="6"/>
  <c r="M7213" i="6"/>
  <c r="M7214" i="6"/>
  <c r="M7215" i="6"/>
  <c r="M7216" i="6"/>
  <c r="M7217" i="6"/>
  <c r="M7218" i="6"/>
  <c r="M7219" i="6"/>
  <c r="M7220" i="6"/>
  <c r="M7221" i="6"/>
  <c r="M7222" i="6"/>
  <c r="M7223" i="6"/>
  <c r="M7224" i="6"/>
  <c r="M7225" i="6"/>
  <c r="M7226" i="6"/>
  <c r="M7227" i="6"/>
  <c r="M7228" i="6"/>
  <c r="M7229" i="6"/>
  <c r="M7230" i="6"/>
  <c r="M7231" i="6"/>
  <c r="M7232" i="6"/>
  <c r="M7233" i="6"/>
  <c r="M7234" i="6"/>
  <c r="M7235" i="6"/>
  <c r="M7236" i="6"/>
  <c r="M7237" i="6"/>
  <c r="M7238" i="6"/>
  <c r="M7239" i="6"/>
  <c r="M7240" i="6"/>
  <c r="M7241" i="6"/>
  <c r="M7242" i="6"/>
  <c r="M7243" i="6"/>
  <c r="M7244" i="6"/>
  <c r="M7245" i="6"/>
  <c r="M7246" i="6"/>
  <c r="M7247" i="6"/>
  <c r="M7248" i="6"/>
  <c r="M7249" i="6"/>
  <c r="M7250" i="6"/>
  <c r="M7251" i="6"/>
  <c r="M7252" i="6"/>
  <c r="M7253" i="6"/>
  <c r="M7254" i="6"/>
  <c r="M7255" i="6"/>
  <c r="M7256" i="6"/>
  <c r="M7257" i="6"/>
  <c r="M7258" i="6"/>
  <c r="M7259" i="6"/>
  <c r="M7260" i="6"/>
  <c r="M7261" i="6"/>
  <c r="M7262" i="6"/>
  <c r="M7263" i="6"/>
  <c r="M7264" i="6"/>
  <c r="M7265" i="6"/>
  <c r="M7266" i="6"/>
  <c r="M7267" i="6"/>
  <c r="M7268" i="6"/>
  <c r="M7269" i="6"/>
  <c r="M7270" i="6"/>
  <c r="M7271" i="6"/>
  <c r="M7272" i="6"/>
  <c r="M7273" i="6"/>
  <c r="M7274" i="6"/>
  <c r="M7275" i="6"/>
  <c r="M7276" i="6"/>
  <c r="M7277" i="6"/>
  <c r="M7278" i="6"/>
  <c r="M7279" i="6"/>
  <c r="M7280" i="6"/>
  <c r="M7281" i="6"/>
  <c r="M7282" i="6"/>
  <c r="M7283" i="6"/>
  <c r="M7284" i="6"/>
  <c r="M7285" i="6"/>
  <c r="M7286" i="6"/>
  <c r="M7287" i="6"/>
  <c r="M7288" i="6"/>
  <c r="M7289" i="6"/>
  <c r="M7290" i="6"/>
  <c r="M7291" i="6"/>
  <c r="M7292" i="6"/>
  <c r="M7293" i="6"/>
  <c r="M7294" i="6"/>
  <c r="M7295" i="6"/>
  <c r="M7296" i="6"/>
  <c r="M7297" i="6"/>
  <c r="M7298" i="6"/>
  <c r="M7299" i="6"/>
  <c r="M7300" i="6"/>
  <c r="M7301" i="6"/>
  <c r="M7302" i="6"/>
  <c r="M7303" i="6"/>
  <c r="M7304" i="6"/>
  <c r="M7305" i="6"/>
  <c r="M7306" i="6"/>
  <c r="M7307" i="6"/>
  <c r="M7308" i="6"/>
  <c r="M7309" i="6"/>
  <c r="M7310" i="6"/>
  <c r="M7311" i="6"/>
  <c r="M7312" i="6"/>
  <c r="M7313" i="6"/>
  <c r="M7314" i="6"/>
  <c r="M7315" i="6"/>
  <c r="M7316" i="6"/>
  <c r="M7317" i="6"/>
  <c r="M7318" i="6"/>
  <c r="M7319" i="6"/>
  <c r="M7320" i="6"/>
  <c r="M7321" i="6"/>
  <c r="M7322" i="6"/>
  <c r="M7323" i="6"/>
  <c r="M7324" i="6"/>
  <c r="M7325" i="6"/>
  <c r="M7326" i="6"/>
  <c r="M7327" i="6"/>
  <c r="M7328" i="6"/>
  <c r="M7329" i="6"/>
  <c r="M7330" i="6"/>
  <c r="M7331" i="6"/>
  <c r="M7332" i="6"/>
  <c r="M7333" i="6"/>
  <c r="M7334" i="6"/>
  <c r="M7335" i="6"/>
  <c r="M7336" i="6"/>
  <c r="M7337" i="6"/>
  <c r="M7338" i="6"/>
  <c r="M7339" i="6"/>
  <c r="M7340" i="6"/>
  <c r="M7341" i="6"/>
  <c r="M7342" i="6"/>
  <c r="M7343" i="6"/>
  <c r="M7344" i="6"/>
  <c r="M7345" i="6"/>
  <c r="M7346" i="6"/>
  <c r="M7347" i="6"/>
  <c r="M7348" i="6"/>
  <c r="M7349" i="6"/>
  <c r="M7350" i="6"/>
  <c r="M7351" i="6"/>
  <c r="M7352" i="6"/>
  <c r="M7353" i="6"/>
  <c r="M7354" i="6"/>
  <c r="M7355" i="6"/>
  <c r="M7356" i="6"/>
  <c r="M7357" i="6"/>
  <c r="M7358" i="6"/>
  <c r="M7359" i="6"/>
  <c r="M7360" i="6"/>
  <c r="M7361" i="6"/>
  <c r="M7362" i="6"/>
  <c r="M7363" i="6"/>
  <c r="M7364" i="6"/>
  <c r="M7365" i="6"/>
  <c r="M7366" i="6"/>
  <c r="M7367" i="6"/>
  <c r="M7368" i="6"/>
  <c r="M7369" i="6"/>
  <c r="M7370" i="6"/>
  <c r="M7371" i="6"/>
  <c r="M7372" i="6"/>
  <c r="M7373" i="6"/>
  <c r="M7374" i="6"/>
  <c r="M7375" i="6"/>
  <c r="M7376" i="6"/>
  <c r="M7377" i="6"/>
  <c r="M7378" i="6"/>
  <c r="M7379" i="6"/>
  <c r="M7380" i="6"/>
  <c r="M7381" i="6"/>
  <c r="M7382" i="6"/>
  <c r="M7383" i="6"/>
  <c r="M7384" i="6"/>
  <c r="M7385" i="6"/>
  <c r="M7386" i="6"/>
  <c r="M7387" i="6"/>
  <c r="M7388" i="6"/>
  <c r="M7389" i="6"/>
  <c r="M7390" i="6"/>
  <c r="M7391" i="6"/>
  <c r="M7392" i="6"/>
  <c r="M7393" i="6"/>
  <c r="M7394" i="6"/>
  <c r="M7395" i="6"/>
  <c r="M7396" i="6"/>
  <c r="M7397" i="6"/>
  <c r="M7398" i="6"/>
  <c r="M7399" i="6"/>
  <c r="M7400" i="6"/>
  <c r="M7401" i="6"/>
  <c r="M7402" i="6"/>
  <c r="M7403" i="6"/>
  <c r="M7404" i="6"/>
  <c r="M7405" i="6"/>
  <c r="M7406" i="6"/>
  <c r="M7407" i="6"/>
  <c r="M7408" i="6"/>
  <c r="M7409" i="6"/>
  <c r="M7410" i="6"/>
  <c r="M7411" i="6"/>
  <c r="M7412" i="6"/>
  <c r="M7413" i="6"/>
  <c r="M7414" i="6"/>
  <c r="M7415" i="6"/>
  <c r="M7416" i="6"/>
  <c r="M7417" i="6"/>
  <c r="M7418" i="6"/>
  <c r="M7419" i="6"/>
  <c r="M7420" i="6"/>
  <c r="M7421" i="6"/>
  <c r="M7422" i="6"/>
  <c r="M7423" i="6"/>
  <c r="M7424" i="6"/>
  <c r="M7425" i="6"/>
  <c r="M7426" i="6"/>
  <c r="M7427" i="6"/>
  <c r="M7428" i="6"/>
  <c r="M7429" i="6"/>
  <c r="M7430" i="6"/>
  <c r="M7431" i="6"/>
  <c r="M7432" i="6"/>
  <c r="M7433" i="6"/>
  <c r="M7434" i="6"/>
  <c r="M7435" i="6"/>
  <c r="M7436" i="6"/>
  <c r="M7437" i="6"/>
  <c r="M7438" i="6"/>
  <c r="M7439" i="6"/>
  <c r="M7440" i="6"/>
  <c r="M7441" i="6"/>
  <c r="M7442" i="6"/>
  <c r="M7443" i="6"/>
  <c r="M7444" i="6"/>
  <c r="M7445" i="6"/>
  <c r="M7446" i="6"/>
  <c r="M7447" i="6"/>
  <c r="M7448" i="6"/>
  <c r="M7449" i="6"/>
  <c r="M7450" i="6"/>
  <c r="M7451" i="6"/>
  <c r="M7452" i="6"/>
  <c r="M7453" i="6"/>
  <c r="M7454" i="6"/>
  <c r="M7455" i="6"/>
  <c r="M7456" i="6"/>
  <c r="M7457" i="6"/>
  <c r="M7458" i="6"/>
  <c r="M7459" i="6"/>
  <c r="M7460" i="6"/>
  <c r="M7461" i="6"/>
  <c r="M7462" i="6"/>
  <c r="M7463" i="6"/>
  <c r="M7464" i="6"/>
  <c r="M7465" i="6"/>
  <c r="M7466" i="6"/>
  <c r="M7467" i="6"/>
  <c r="M7468" i="6"/>
  <c r="M7469" i="6"/>
  <c r="M7470" i="6"/>
  <c r="M7471" i="6"/>
  <c r="M7472" i="6"/>
  <c r="M7473" i="6"/>
  <c r="M7474" i="6"/>
  <c r="M7475" i="6"/>
  <c r="M7476" i="6"/>
  <c r="M7477" i="6"/>
  <c r="M7478" i="6"/>
  <c r="M7479" i="6"/>
  <c r="M7480" i="6"/>
  <c r="M7481" i="6"/>
  <c r="M7482" i="6"/>
  <c r="M7483" i="6"/>
  <c r="M7484" i="6"/>
  <c r="M7485" i="6"/>
  <c r="M7486" i="6"/>
  <c r="M7487" i="6"/>
  <c r="M7488" i="6"/>
  <c r="M7489" i="6"/>
  <c r="M7490" i="6"/>
  <c r="M7491" i="6"/>
  <c r="M7492" i="6"/>
  <c r="M7493" i="6"/>
  <c r="M7494" i="6"/>
  <c r="M7495" i="6"/>
  <c r="M7496" i="6"/>
  <c r="M7497" i="6"/>
  <c r="M7498" i="6"/>
  <c r="M7499" i="6"/>
  <c r="M7500" i="6"/>
  <c r="M7501" i="6"/>
  <c r="M7502" i="6"/>
  <c r="M7503" i="6"/>
  <c r="M7504" i="6"/>
  <c r="M7505" i="6"/>
  <c r="M7506" i="6"/>
  <c r="M7507" i="6"/>
  <c r="M7508" i="6"/>
  <c r="M7509" i="6"/>
  <c r="M7510" i="6"/>
  <c r="M7511" i="6"/>
  <c r="M7512" i="6"/>
  <c r="M7513" i="6"/>
  <c r="M7514" i="6"/>
  <c r="M7515" i="6"/>
  <c r="M7516" i="6"/>
  <c r="M7517" i="6"/>
  <c r="M7518" i="6"/>
  <c r="M7519" i="6"/>
  <c r="M7520" i="6"/>
  <c r="M7521" i="6"/>
  <c r="M7522" i="6"/>
  <c r="M7523" i="6"/>
  <c r="M7524" i="6"/>
  <c r="M7525" i="6"/>
  <c r="M7526" i="6"/>
  <c r="M7527" i="6"/>
  <c r="M7528" i="6"/>
  <c r="M7529" i="6"/>
  <c r="M7530" i="6"/>
  <c r="M7531" i="6"/>
  <c r="M7532" i="6"/>
  <c r="M7533" i="6"/>
  <c r="M7534" i="6"/>
  <c r="M7535" i="6"/>
  <c r="M7536" i="6"/>
  <c r="M7537" i="6"/>
  <c r="M7538" i="6"/>
  <c r="M7539" i="6"/>
  <c r="M7540" i="6"/>
  <c r="M7541" i="6"/>
  <c r="M7542" i="6"/>
  <c r="M7543" i="6"/>
  <c r="M7544" i="6"/>
  <c r="M7545" i="6"/>
  <c r="M7546" i="6"/>
  <c r="M7547" i="6"/>
  <c r="M7548" i="6"/>
  <c r="M7549" i="6"/>
  <c r="M7550" i="6"/>
  <c r="M7551" i="6"/>
  <c r="M7552" i="6"/>
  <c r="M7553" i="6"/>
  <c r="M7554" i="6"/>
  <c r="M7555" i="6"/>
  <c r="M7556" i="6"/>
  <c r="M7557" i="6"/>
  <c r="M7558" i="6"/>
  <c r="M7559" i="6"/>
  <c r="M7560" i="6"/>
  <c r="M7561" i="6"/>
  <c r="M7562" i="6"/>
  <c r="M7563" i="6"/>
  <c r="M7564" i="6"/>
  <c r="M7565" i="6"/>
  <c r="M7566" i="6"/>
  <c r="M7567" i="6"/>
  <c r="M7568" i="6"/>
  <c r="M7569" i="6"/>
  <c r="M7570" i="6"/>
  <c r="M7571" i="6"/>
  <c r="M7572" i="6"/>
  <c r="M7573" i="6"/>
  <c r="M7574" i="6"/>
  <c r="M7575" i="6"/>
  <c r="M7576" i="6"/>
  <c r="M7577" i="6"/>
  <c r="M7578" i="6"/>
  <c r="M7579" i="6"/>
  <c r="M7580" i="6"/>
  <c r="M7581" i="6"/>
  <c r="M7582" i="6"/>
  <c r="M7583" i="6"/>
  <c r="M7584" i="6"/>
  <c r="M7585" i="6"/>
  <c r="M7586" i="6"/>
  <c r="M7587" i="6"/>
  <c r="M7588" i="6"/>
  <c r="M7589" i="6"/>
  <c r="M7590" i="6"/>
  <c r="M7591" i="6"/>
  <c r="M7592" i="6"/>
  <c r="M7593" i="6"/>
  <c r="M7594" i="6"/>
  <c r="M7595" i="6"/>
  <c r="M7596" i="6"/>
  <c r="M7597" i="6"/>
  <c r="M7598" i="6"/>
  <c r="M7599" i="6"/>
  <c r="M7600" i="6"/>
  <c r="M7601" i="6"/>
  <c r="M7602" i="6"/>
  <c r="M7603" i="6"/>
  <c r="M7604" i="6"/>
  <c r="M7605" i="6"/>
  <c r="M7606" i="6"/>
  <c r="M7607" i="6"/>
  <c r="M7608" i="6"/>
  <c r="M7609" i="6"/>
  <c r="M7610" i="6"/>
  <c r="M7611" i="6"/>
  <c r="M7612" i="6"/>
  <c r="M7613" i="6"/>
  <c r="M7614" i="6"/>
  <c r="M7615" i="6"/>
  <c r="M7616" i="6"/>
  <c r="M7617" i="6"/>
  <c r="M7618" i="6"/>
  <c r="M7619" i="6"/>
  <c r="M7620" i="6"/>
  <c r="M7621" i="6"/>
  <c r="M7622" i="6"/>
  <c r="M7623" i="6"/>
  <c r="M7624" i="6"/>
  <c r="M7625" i="6"/>
  <c r="M7626" i="6"/>
  <c r="M7627" i="6"/>
  <c r="M7628" i="6"/>
  <c r="M7629" i="6"/>
  <c r="M7630" i="6"/>
  <c r="M7631" i="6"/>
  <c r="M7632" i="6"/>
  <c r="M7633" i="6"/>
  <c r="M7634" i="6"/>
  <c r="M7635" i="6"/>
  <c r="M7636" i="6"/>
  <c r="M7637" i="6"/>
  <c r="M7638" i="6"/>
  <c r="M7639" i="6"/>
  <c r="M7640" i="6"/>
  <c r="M7641" i="6"/>
  <c r="M7642" i="6"/>
  <c r="M7643" i="6"/>
  <c r="M7644" i="6"/>
  <c r="M7645" i="6"/>
  <c r="M7646" i="6"/>
  <c r="M7647" i="6"/>
  <c r="M7648" i="6"/>
  <c r="M7649" i="6"/>
  <c r="M7650" i="6"/>
  <c r="M7651" i="6"/>
  <c r="M7652" i="6"/>
  <c r="M7653" i="6"/>
  <c r="M7654" i="6"/>
  <c r="M7655" i="6"/>
  <c r="M7656" i="6"/>
  <c r="M7657" i="6"/>
  <c r="M7658" i="6"/>
  <c r="M7659" i="6"/>
  <c r="M7660" i="6"/>
  <c r="M7661" i="6"/>
  <c r="M7662" i="6"/>
  <c r="M7663" i="6"/>
  <c r="M7664" i="6"/>
  <c r="M7665" i="6"/>
  <c r="M7666" i="6"/>
  <c r="M7667" i="6"/>
  <c r="M7668" i="6"/>
  <c r="M7669" i="6"/>
  <c r="M7670" i="6"/>
  <c r="M7671" i="6"/>
  <c r="M7672" i="6"/>
  <c r="M7673" i="6"/>
  <c r="M7674" i="6"/>
  <c r="M7675" i="6"/>
  <c r="M7676" i="6"/>
  <c r="M7677" i="6"/>
  <c r="M7678" i="6"/>
  <c r="M7679" i="6"/>
  <c r="M7680" i="6"/>
  <c r="M7681" i="6"/>
  <c r="M7682" i="6"/>
  <c r="M7683" i="6"/>
  <c r="M7684" i="6"/>
  <c r="M7685" i="6"/>
  <c r="M7686" i="6"/>
  <c r="M7687" i="6"/>
  <c r="M7688" i="6"/>
  <c r="M7689" i="6"/>
  <c r="M7690" i="6"/>
  <c r="M7691" i="6"/>
  <c r="M7692" i="6"/>
  <c r="M7693" i="6"/>
  <c r="M7694" i="6"/>
  <c r="M7695" i="6"/>
  <c r="M7696" i="6"/>
  <c r="M7697" i="6"/>
  <c r="M7698" i="6"/>
  <c r="M7699" i="6"/>
  <c r="M7700" i="6"/>
  <c r="M7701" i="6"/>
  <c r="M7702" i="6"/>
  <c r="M7703" i="6"/>
  <c r="M7704" i="6"/>
  <c r="M7705" i="6"/>
  <c r="M7706" i="6"/>
  <c r="M7707" i="6"/>
  <c r="M7708" i="6"/>
  <c r="M7709" i="6"/>
  <c r="M7710" i="6"/>
  <c r="M7711" i="6"/>
  <c r="M7712" i="6"/>
  <c r="M7713" i="6"/>
  <c r="M7714" i="6"/>
  <c r="M7715" i="6"/>
  <c r="M7716" i="6"/>
  <c r="M7717" i="6"/>
  <c r="M7718" i="6"/>
  <c r="M7719" i="6"/>
  <c r="M7720" i="6"/>
  <c r="M7721" i="6"/>
  <c r="M7722" i="6"/>
  <c r="M7723" i="6"/>
  <c r="M7724" i="6"/>
  <c r="M7725" i="6"/>
  <c r="M7726" i="6"/>
  <c r="M7727" i="6"/>
  <c r="M7728" i="6"/>
  <c r="M7729" i="6"/>
  <c r="M7730" i="6"/>
  <c r="M7731" i="6"/>
  <c r="M7732" i="6"/>
  <c r="M7733" i="6"/>
  <c r="M7734" i="6"/>
  <c r="M7735" i="6"/>
  <c r="M7736" i="6"/>
  <c r="M7737" i="6"/>
  <c r="M7738" i="6"/>
  <c r="M7739" i="6"/>
  <c r="M7740" i="6"/>
  <c r="M7741" i="6"/>
  <c r="M7742" i="6"/>
  <c r="M7743" i="6"/>
  <c r="M7744" i="6"/>
  <c r="M7745" i="6"/>
  <c r="M7746" i="6"/>
  <c r="M7747" i="6"/>
  <c r="M7748" i="6"/>
  <c r="M7749" i="6"/>
  <c r="M7750" i="6"/>
  <c r="M7751" i="6"/>
  <c r="M7752" i="6"/>
  <c r="M7753" i="6"/>
  <c r="M7754" i="6"/>
  <c r="M7755" i="6"/>
  <c r="M7756" i="6"/>
  <c r="M7757" i="6"/>
  <c r="M7758" i="6"/>
  <c r="M7759" i="6"/>
  <c r="M7760" i="6"/>
  <c r="M7761" i="6"/>
  <c r="M7762" i="6"/>
  <c r="M7763" i="6"/>
  <c r="M7764" i="6"/>
  <c r="M7765" i="6"/>
  <c r="M7766" i="6"/>
  <c r="M7767" i="6"/>
  <c r="M7768" i="6"/>
  <c r="M7769" i="6"/>
  <c r="M7770" i="6"/>
  <c r="M7771" i="6"/>
  <c r="M7772" i="6"/>
  <c r="M7773" i="6"/>
  <c r="M7774" i="6"/>
  <c r="M7775" i="6"/>
  <c r="M7776" i="6"/>
  <c r="M7777" i="6"/>
  <c r="M7778" i="6"/>
  <c r="M7779" i="6"/>
  <c r="M7780" i="6"/>
  <c r="M7781" i="6"/>
  <c r="M7782" i="6"/>
  <c r="M7783" i="6"/>
  <c r="M7784" i="6"/>
  <c r="M7785" i="6"/>
  <c r="M7786" i="6"/>
  <c r="M7787" i="6"/>
  <c r="M7788" i="6"/>
  <c r="M7789" i="6"/>
  <c r="M7790" i="6"/>
  <c r="M7791" i="6"/>
  <c r="M7792" i="6"/>
  <c r="M7793" i="6"/>
  <c r="M7794" i="6"/>
  <c r="M7795" i="6"/>
  <c r="M7796" i="6"/>
  <c r="M7797" i="6"/>
  <c r="M7798" i="6"/>
  <c r="M7799" i="6"/>
  <c r="M7800" i="6"/>
  <c r="M7801" i="6"/>
  <c r="M7802" i="6"/>
  <c r="M7803" i="6"/>
  <c r="M7804" i="6"/>
  <c r="M7805" i="6"/>
  <c r="M7806" i="6"/>
  <c r="M7807" i="6"/>
  <c r="M7808" i="6"/>
  <c r="M7809" i="6"/>
  <c r="M7810" i="6"/>
  <c r="M7811" i="6"/>
  <c r="M7812" i="6"/>
  <c r="M7813" i="6"/>
  <c r="M7814" i="6"/>
  <c r="M7815" i="6"/>
  <c r="M7816" i="6"/>
  <c r="M7817" i="6"/>
  <c r="M7818" i="6"/>
  <c r="M7819" i="6"/>
  <c r="M7820" i="6"/>
  <c r="M7821" i="6"/>
  <c r="M7822" i="6"/>
  <c r="M7823" i="6"/>
  <c r="M7824" i="6"/>
  <c r="M7825" i="6"/>
  <c r="M7826" i="6"/>
  <c r="M7827" i="6"/>
  <c r="M7828" i="6"/>
  <c r="M7829" i="6"/>
  <c r="M7830" i="6"/>
  <c r="M7831" i="6"/>
  <c r="M7832" i="6"/>
  <c r="M7833" i="6"/>
  <c r="M7834" i="6"/>
  <c r="M7835" i="6"/>
  <c r="M7836" i="6"/>
  <c r="M7837" i="6"/>
  <c r="M7838" i="6"/>
  <c r="M7839" i="6"/>
  <c r="M7840" i="6"/>
  <c r="M7841" i="6"/>
  <c r="M7842" i="6"/>
  <c r="M7843" i="6"/>
  <c r="M7844" i="6"/>
  <c r="M7845" i="6"/>
  <c r="M7846" i="6"/>
  <c r="M7847" i="6"/>
  <c r="M7848" i="6"/>
  <c r="M7849" i="6"/>
  <c r="M7850" i="6"/>
  <c r="M7851" i="6"/>
  <c r="M7852" i="6"/>
  <c r="M7853" i="6"/>
  <c r="M7854" i="6"/>
  <c r="M7855" i="6"/>
  <c r="M7856" i="6"/>
  <c r="M7857" i="6"/>
  <c r="M7858" i="6"/>
  <c r="M7859" i="6"/>
  <c r="M7860" i="6"/>
  <c r="M7861" i="6"/>
  <c r="M7862" i="6"/>
  <c r="M7863" i="6"/>
  <c r="M7864" i="6"/>
  <c r="M7865" i="6"/>
  <c r="M7866" i="6"/>
  <c r="M7867" i="6"/>
  <c r="M7868" i="6"/>
  <c r="M7869" i="6"/>
  <c r="M7870" i="6"/>
  <c r="M7871" i="6"/>
  <c r="M7872" i="6"/>
  <c r="M7873" i="6"/>
  <c r="M7874" i="6"/>
  <c r="M7875" i="6"/>
  <c r="M7876" i="6"/>
  <c r="M7877" i="6"/>
  <c r="M7878" i="6"/>
  <c r="M7879" i="6"/>
  <c r="M7880" i="6"/>
  <c r="M7881" i="6"/>
  <c r="M7882" i="6"/>
  <c r="M7883" i="6"/>
  <c r="M7884" i="6"/>
  <c r="M7885" i="6"/>
  <c r="M7886" i="6"/>
  <c r="M7887" i="6"/>
  <c r="M7888" i="6"/>
  <c r="M7889" i="6"/>
  <c r="M7890" i="6"/>
  <c r="M7891" i="6"/>
  <c r="M7892" i="6"/>
  <c r="M7893" i="6"/>
  <c r="M7894" i="6"/>
  <c r="M7895" i="6"/>
  <c r="M7896" i="6"/>
  <c r="M7897" i="6"/>
  <c r="M7898" i="6"/>
  <c r="M7899" i="6"/>
  <c r="M7900" i="6"/>
  <c r="M7901" i="6"/>
  <c r="M7902" i="6"/>
  <c r="M7903" i="6"/>
  <c r="M7904" i="6"/>
  <c r="M7905" i="6"/>
  <c r="M7906" i="6"/>
  <c r="M7907" i="6"/>
  <c r="M7908" i="6"/>
  <c r="M7909" i="6"/>
  <c r="M7910" i="6"/>
  <c r="M7911" i="6"/>
  <c r="M7912" i="6"/>
  <c r="M7913" i="6"/>
  <c r="M7914" i="6"/>
  <c r="M7915" i="6"/>
  <c r="M7916" i="6"/>
  <c r="M7917" i="6"/>
  <c r="M7918" i="6"/>
  <c r="M7919" i="6"/>
  <c r="M7920" i="6"/>
  <c r="M7921" i="6"/>
  <c r="M7922" i="6"/>
  <c r="M7923" i="6"/>
  <c r="M7924" i="6"/>
  <c r="M7925" i="6"/>
  <c r="M7926" i="6"/>
  <c r="M7927" i="6"/>
  <c r="M7928" i="6"/>
  <c r="M7929" i="6"/>
  <c r="M7930" i="6"/>
  <c r="M7931" i="6"/>
  <c r="M7932" i="6"/>
  <c r="M7933" i="6"/>
  <c r="M7934" i="6"/>
  <c r="M7935" i="6"/>
  <c r="M7936" i="6"/>
  <c r="M7937" i="6"/>
  <c r="M7938" i="6"/>
  <c r="M7939" i="6"/>
  <c r="M7940" i="6"/>
  <c r="M7941" i="6"/>
  <c r="M7942" i="6"/>
  <c r="M7943" i="6"/>
  <c r="M7944" i="6"/>
  <c r="M7945" i="6"/>
  <c r="M7946" i="6"/>
  <c r="M7947" i="6"/>
  <c r="M7948" i="6"/>
  <c r="M7949" i="6"/>
  <c r="M7950" i="6"/>
  <c r="M7951" i="6"/>
  <c r="M7952" i="6"/>
  <c r="M7953" i="6"/>
  <c r="M7954" i="6"/>
  <c r="M7955" i="6"/>
  <c r="M7956" i="6"/>
  <c r="M7957" i="6"/>
  <c r="M7958" i="6"/>
  <c r="M7959" i="6"/>
  <c r="M7960" i="6"/>
  <c r="M7961" i="6"/>
  <c r="M7962" i="6"/>
  <c r="M7963" i="6"/>
  <c r="M7964" i="6"/>
  <c r="M7965" i="6"/>
  <c r="M7966" i="6"/>
  <c r="M7967" i="6"/>
  <c r="M7968" i="6"/>
  <c r="M7969" i="6"/>
  <c r="M7970" i="6"/>
  <c r="M7971" i="6"/>
  <c r="M7972" i="6"/>
  <c r="M7973" i="6"/>
  <c r="M7974" i="6"/>
  <c r="M7975" i="6"/>
  <c r="M7976" i="6"/>
  <c r="M7977" i="6"/>
  <c r="M7978" i="6"/>
  <c r="M7979" i="6"/>
  <c r="M7980" i="6"/>
  <c r="M7981" i="6"/>
  <c r="M7982" i="6"/>
  <c r="M7983" i="6"/>
  <c r="M7984" i="6"/>
  <c r="M7985" i="6"/>
  <c r="M7986" i="6"/>
  <c r="M7987" i="6"/>
  <c r="M7988" i="6"/>
  <c r="M7989" i="6"/>
  <c r="M7990" i="6"/>
  <c r="M7991" i="6"/>
  <c r="M7992" i="6"/>
  <c r="M7993" i="6"/>
  <c r="M7994" i="6"/>
  <c r="M7995" i="6"/>
  <c r="M7996" i="6"/>
  <c r="M7997" i="6"/>
  <c r="M7998" i="6"/>
  <c r="M7999" i="6"/>
  <c r="M8000" i="6"/>
  <c r="M8001" i="6"/>
  <c r="M8002" i="6"/>
  <c r="M8003" i="6"/>
  <c r="M8004" i="6"/>
  <c r="M8005" i="6"/>
  <c r="M8006" i="6"/>
  <c r="M8007" i="6"/>
  <c r="M8008" i="6"/>
  <c r="M8009" i="6"/>
  <c r="M8010" i="6"/>
  <c r="M8011" i="6"/>
  <c r="M8012" i="6"/>
  <c r="M8013" i="6"/>
  <c r="M8014" i="6"/>
  <c r="M8015" i="6"/>
  <c r="M8016" i="6"/>
  <c r="M8017" i="6"/>
  <c r="M8018" i="6"/>
  <c r="M8019" i="6"/>
  <c r="M8020" i="6"/>
  <c r="M8021" i="6"/>
  <c r="M8022" i="6"/>
  <c r="M8023" i="6"/>
  <c r="M8024" i="6"/>
  <c r="M8025" i="6"/>
  <c r="M8026" i="6"/>
  <c r="M8027" i="6"/>
  <c r="M8028" i="6"/>
  <c r="M8029" i="6"/>
  <c r="M8030" i="6"/>
  <c r="M8031" i="6"/>
  <c r="M8032" i="6"/>
  <c r="M8033" i="6"/>
  <c r="M8034" i="6"/>
  <c r="M8035" i="6"/>
  <c r="M8036" i="6"/>
  <c r="M8037" i="6"/>
  <c r="M8038" i="6"/>
  <c r="M8039" i="6"/>
  <c r="M8040" i="6"/>
  <c r="M8041" i="6"/>
  <c r="M8042" i="6"/>
  <c r="M8043" i="6"/>
  <c r="M8044" i="6"/>
  <c r="M8045" i="6"/>
  <c r="M8046" i="6"/>
  <c r="M8047" i="6"/>
  <c r="M8048" i="6"/>
  <c r="M8049" i="6"/>
  <c r="M8050" i="6"/>
  <c r="M8051" i="6"/>
  <c r="M8052" i="6"/>
  <c r="M8053" i="6"/>
  <c r="M8054" i="6"/>
  <c r="M8055" i="6"/>
  <c r="M8056" i="6"/>
  <c r="M8057" i="6"/>
  <c r="M8058" i="6"/>
  <c r="M8059" i="6"/>
  <c r="M8060" i="6"/>
  <c r="M8061" i="6"/>
  <c r="M8062" i="6"/>
  <c r="M8063" i="6"/>
  <c r="M8064" i="6"/>
  <c r="M8065" i="6"/>
  <c r="M8066" i="6"/>
  <c r="M8067" i="6"/>
  <c r="M8068" i="6"/>
  <c r="M8069" i="6"/>
  <c r="M8070" i="6"/>
  <c r="M8071" i="6"/>
  <c r="M8072" i="6"/>
  <c r="M8073" i="6"/>
  <c r="M8074" i="6"/>
  <c r="M8075" i="6"/>
  <c r="M8076" i="6"/>
  <c r="M8077" i="6"/>
  <c r="M8078" i="6"/>
  <c r="M8079" i="6"/>
  <c r="M8080" i="6"/>
  <c r="M8081" i="6"/>
  <c r="M8082" i="6"/>
  <c r="M8083" i="6"/>
  <c r="M8084" i="6"/>
  <c r="M8085" i="6"/>
  <c r="M8086" i="6"/>
  <c r="M8087" i="6"/>
  <c r="M8088" i="6"/>
  <c r="M8089" i="6"/>
  <c r="M8090" i="6"/>
  <c r="M8091" i="6"/>
  <c r="M8092" i="6"/>
  <c r="M8093" i="6"/>
  <c r="M8094" i="6"/>
  <c r="M8095" i="6"/>
  <c r="M8096" i="6"/>
  <c r="M8097" i="6"/>
  <c r="M8098" i="6"/>
  <c r="M8099" i="6"/>
  <c r="M8100" i="6"/>
  <c r="M8101" i="6"/>
  <c r="M8102" i="6"/>
  <c r="M8103" i="6"/>
  <c r="M8104" i="6"/>
  <c r="M8105" i="6"/>
  <c r="M8106" i="6"/>
  <c r="M8107" i="6"/>
  <c r="M8108" i="6"/>
  <c r="M8109" i="6"/>
  <c r="M8110" i="6"/>
  <c r="M8111" i="6"/>
  <c r="M8112" i="6"/>
  <c r="M8113" i="6"/>
  <c r="M8114" i="6"/>
  <c r="M8115" i="6"/>
  <c r="M8116" i="6"/>
  <c r="M8117" i="6"/>
  <c r="M8118" i="6"/>
  <c r="M8119" i="6"/>
  <c r="M8120" i="6"/>
  <c r="M8121" i="6"/>
  <c r="M8122" i="6"/>
  <c r="M8123" i="6"/>
  <c r="M8124" i="6"/>
  <c r="M8125" i="6"/>
  <c r="M8126" i="6"/>
  <c r="M8127" i="6"/>
  <c r="M8128" i="6"/>
  <c r="M8129" i="6"/>
  <c r="M8130" i="6"/>
  <c r="M8131" i="6"/>
  <c r="M8132" i="6"/>
  <c r="M8133" i="6"/>
  <c r="M8134" i="6"/>
  <c r="M8135" i="6"/>
  <c r="M8136" i="6"/>
  <c r="M8137" i="6"/>
  <c r="M8138" i="6"/>
  <c r="M8139" i="6"/>
  <c r="M8140" i="6"/>
  <c r="M8141" i="6"/>
  <c r="M8142" i="6"/>
  <c r="M8143" i="6"/>
  <c r="M8144" i="6"/>
  <c r="M8145" i="6"/>
  <c r="M8146" i="6"/>
  <c r="M8147" i="6"/>
  <c r="M8148" i="6"/>
  <c r="M8149" i="6"/>
  <c r="M8150" i="6"/>
  <c r="M8151" i="6"/>
  <c r="M8152" i="6"/>
  <c r="M8153" i="6"/>
  <c r="M8154" i="6"/>
  <c r="M8155" i="6"/>
  <c r="M8156" i="6"/>
  <c r="M8157" i="6"/>
  <c r="M8158" i="6"/>
  <c r="M8159" i="6"/>
  <c r="M8160" i="6"/>
  <c r="M8161" i="6"/>
  <c r="M8162" i="6"/>
  <c r="M8163" i="6"/>
  <c r="M8164" i="6"/>
  <c r="M8165" i="6"/>
  <c r="M8166" i="6"/>
  <c r="M8167" i="6"/>
  <c r="M8168" i="6"/>
  <c r="M8169" i="6"/>
  <c r="M8170" i="6"/>
  <c r="M8171" i="6"/>
  <c r="M8172" i="6"/>
  <c r="M8173" i="6"/>
  <c r="M8174" i="6"/>
  <c r="M8175" i="6"/>
  <c r="M8176" i="6"/>
  <c r="M8177" i="6"/>
  <c r="M8178" i="6"/>
  <c r="M8179" i="6"/>
  <c r="M8180" i="6"/>
  <c r="M8181" i="6"/>
  <c r="M8182" i="6"/>
  <c r="M8183" i="6"/>
  <c r="M8184" i="6"/>
  <c r="M8185" i="6"/>
  <c r="M8186" i="6"/>
  <c r="M8187" i="6"/>
  <c r="M8188" i="6"/>
  <c r="M8189" i="6"/>
  <c r="M8190" i="6"/>
  <c r="M8191" i="6"/>
  <c r="M8192" i="6"/>
  <c r="M8193" i="6"/>
  <c r="M8194" i="6"/>
  <c r="M8195" i="6"/>
  <c r="M8196" i="6"/>
  <c r="M8197" i="6"/>
  <c r="M8198" i="6"/>
  <c r="M8199" i="6"/>
  <c r="M8200" i="6"/>
  <c r="M8201" i="6"/>
  <c r="M8202" i="6"/>
  <c r="M8203" i="6"/>
  <c r="M8204" i="6"/>
  <c r="M8205" i="6"/>
  <c r="M8206" i="6"/>
  <c r="M8207" i="6"/>
  <c r="M8208" i="6"/>
  <c r="M8209" i="6"/>
  <c r="M8210" i="6"/>
  <c r="M8211" i="6"/>
  <c r="M8212" i="6"/>
  <c r="M8213" i="6"/>
  <c r="M8214" i="6"/>
  <c r="M8215" i="6"/>
  <c r="M8216" i="6"/>
  <c r="M8217" i="6"/>
  <c r="M8218" i="6"/>
  <c r="M8219" i="6"/>
  <c r="M8220" i="6"/>
  <c r="M8221" i="6"/>
  <c r="M8222" i="6"/>
  <c r="M8223" i="6"/>
  <c r="M8224" i="6"/>
  <c r="M8225" i="6"/>
  <c r="M8226" i="6"/>
  <c r="M8227" i="6"/>
  <c r="M8228" i="6"/>
  <c r="M8229" i="6"/>
  <c r="M8230" i="6"/>
  <c r="M8231" i="6"/>
  <c r="M8232" i="6"/>
  <c r="M8233" i="6"/>
  <c r="M8234" i="6"/>
  <c r="M8235" i="6"/>
  <c r="M8236" i="6"/>
  <c r="M8237" i="6"/>
  <c r="M8238" i="6"/>
  <c r="M8239" i="6"/>
  <c r="M8240" i="6"/>
  <c r="M8241" i="6"/>
  <c r="M8242" i="6"/>
  <c r="M8243" i="6"/>
  <c r="M8244" i="6"/>
  <c r="M8245" i="6"/>
  <c r="M8246" i="6"/>
  <c r="M8247" i="6"/>
  <c r="M8248" i="6"/>
  <c r="M8249" i="6"/>
  <c r="M8250" i="6"/>
  <c r="M8251" i="6"/>
  <c r="M8252" i="6"/>
  <c r="M8253" i="6"/>
  <c r="M8254" i="6"/>
  <c r="M8255" i="6"/>
  <c r="M8256" i="6"/>
  <c r="M8257" i="6"/>
  <c r="M8258" i="6"/>
  <c r="M8259" i="6"/>
  <c r="M8260" i="6"/>
  <c r="M8261" i="6"/>
  <c r="M8262" i="6"/>
  <c r="M8263" i="6"/>
  <c r="M8264" i="6"/>
  <c r="M8265" i="6"/>
  <c r="M8266" i="6"/>
  <c r="M8267" i="6"/>
  <c r="M8268" i="6"/>
  <c r="M8269" i="6"/>
  <c r="M8270" i="6"/>
  <c r="M8271" i="6"/>
  <c r="M8272" i="6"/>
  <c r="M8273" i="6"/>
  <c r="M8274" i="6"/>
  <c r="M8275" i="6"/>
  <c r="M8276" i="6"/>
  <c r="M8277" i="6"/>
  <c r="M8278" i="6"/>
  <c r="M8279" i="6"/>
  <c r="M8280" i="6"/>
  <c r="M8281" i="6"/>
  <c r="M8282" i="6"/>
  <c r="M8283" i="6"/>
  <c r="M8284" i="6"/>
  <c r="M8285" i="6"/>
  <c r="M8286" i="6"/>
  <c r="M8287" i="6"/>
  <c r="M8288" i="6"/>
  <c r="M8289" i="6"/>
  <c r="M8290" i="6"/>
  <c r="M8291" i="6"/>
  <c r="M8292" i="6"/>
  <c r="M8293" i="6"/>
  <c r="M8294" i="6"/>
  <c r="M8295" i="6"/>
  <c r="M8296" i="6"/>
  <c r="M8297" i="6"/>
  <c r="M8298" i="6"/>
  <c r="M8299" i="6"/>
  <c r="M8300" i="6"/>
  <c r="M8301" i="6"/>
  <c r="M8302" i="6"/>
  <c r="M8303" i="6"/>
  <c r="M8304" i="6"/>
  <c r="M8305" i="6"/>
  <c r="M8306" i="6"/>
  <c r="M8307" i="6"/>
  <c r="M8308" i="6"/>
  <c r="M8309" i="6"/>
  <c r="M8310" i="6"/>
  <c r="M8311" i="6"/>
  <c r="M8312" i="6"/>
  <c r="M8313" i="6"/>
  <c r="M8314" i="6"/>
  <c r="M8315" i="6"/>
  <c r="M8316" i="6"/>
  <c r="M8317" i="6"/>
  <c r="M8318" i="6"/>
  <c r="M8319" i="6"/>
  <c r="M8320" i="6"/>
  <c r="M8321" i="6"/>
  <c r="M8322" i="6"/>
  <c r="M8323" i="6"/>
  <c r="M8324" i="6"/>
  <c r="M8325" i="6"/>
  <c r="M8326" i="6"/>
  <c r="M8327" i="6"/>
  <c r="M8328" i="6"/>
  <c r="M8329" i="6"/>
  <c r="M8330" i="6"/>
  <c r="M8331" i="6"/>
  <c r="M8332" i="6"/>
  <c r="M8333" i="6"/>
  <c r="M8334" i="6"/>
  <c r="M8335" i="6"/>
  <c r="M8336" i="6"/>
  <c r="M8337" i="6"/>
  <c r="M8338" i="6"/>
  <c r="M8339" i="6"/>
  <c r="M8340" i="6"/>
  <c r="M8341" i="6"/>
  <c r="M8342" i="6"/>
  <c r="M8343" i="6"/>
  <c r="M8344" i="6"/>
  <c r="M8345" i="6"/>
  <c r="M8346" i="6"/>
  <c r="M8347" i="6"/>
  <c r="M8348" i="6"/>
  <c r="M8349" i="6"/>
  <c r="M8350" i="6"/>
  <c r="M8351" i="6"/>
  <c r="M8352" i="6"/>
  <c r="M8353" i="6"/>
  <c r="M8354" i="6"/>
  <c r="M8355" i="6"/>
  <c r="M8356" i="6"/>
  <c r="M8357" i="6"/>
  <c r="M8358" i="6"/>
  <c r="M8359" i="6"/>
  <c r="M8360" i="6"/>
  <c r="M8361" i="6"/>
  <c r="M8362" i="6"/>
  <c r="M8363" i="6"/>
  <c r="M8364" i="6"/>
  <c r="M8365" i="6"/>
  <c r="M8366" i="6"/>
  <c r="M8367" i="6"/>
  <c r="M8368" i="6"/>
  <c r="M8369" i="6"/>
  <c r="M8370" i="6"/>
  <c r="M8371" i="6"/>
  <c r="M8372" i="6"/>
  <c r="M8373" i="6"/>
  <c r="M8374" i="6"/>
  <c r="M8375" i="6"/>
  <c r="M8376" i="6"/>
  <c r="M8377" i="6"/>
  <c r="M8378" i="6"/>
  <c r="M8379" i="6"/>
  <c r="M8380" i="6"/>
  <c r="M8381" i="6"/>
  <c r="M8382" i="6"/>
  <c r="M8383" i="6"/>
  <c r="M8384" i="6"/>
  <c r="M8385" i="6"/>
  <c r="M8386" i="6"/>
  <c r="M8387" i="6"/>
  <c r="M8388" i="6"/>
  <c r="M8389" i="6"/>
  <c r="M8390" i="6"/>
  <c r="M8391" i="6"/>
  <c r="M8392" i="6"/>
  <c r="M8393" i="6"/>
  <c r="M8394" i="6"/>
  <c r="M8395" i="6"/>
  <c r="M8396" i="6"/>
  <c r="M8397" i="6"/>
  <c r="M8398" i="6"/>
  <c r="M8399" i="6"/>
  <c r="M8400" i="6"/>
  <c r="M8401" i="6"/>
  <c r="M8402" i="6"/>
  <c r="M8403" i="6"/>
  <c r="M8404" i="6"/>
  <c r="M8405" i="6"/>
  <c r="M8406" i="6"/>
  <c r="M8407" i="6"/>
  <c r="M8408" i="6"/>
  <c r="M8409" i="6"/>
  <c r="M8410" i="6"/>
  <c r="M8411" i="6"/>
  <c r="M8412" i="6"/>
  <c r="M8413" i="6"/>
  <c r="M8414" i="6"/>
  <c r="M8415" i="6"/>
  <c r="M8416" i="6"/>
  <c r="M8417" i="6"/>
  <c r="M8418" i="6"/>
  <c r="M8419" i="6"/>
  <c r="M8420" i="6"/>
  <c r="M8421" i="6"/>
  <c r="M8422" i="6"/>
  <c r="M8423" i="6"/>
  <c r="M8424" i="6"/>
  <c r="M8425" i="6"/>
  <c r="M8426" i="6"/>
  <c r="M8427" i="6"/>
  <c r="M8428" i="6"/>
  <c r="M8429" i="6"/>
  <c r="M8430" i="6"/>
  <c r="M8431" i="6"/>
  <c r="M8432" i="6"/>
  <c r="M8433" i="6"/>
  <c r="M8434" i="6"/>
  <c r="M8435" i="6"/>
  <c r="M8436" i="6"/>
  <c r="M8437" i="6"/>
  <c r="M8438" i="6"/>
  <c r="M8439" i="6"/>
  <c r="M8440" i="6"/>
  <c r="M8441" i="6"/>
  <c r="M8442" i="6"/>
  <c r="M8443" i="6"/>
  <c r="M8444" i="6"/>
  <c r="M8445" i="6"/>
  <c r="M8446" i="6"/>
  <c r="M8447" i="6"/>
  <c r="M8448" i="6"/>
  <c r="M8449" i="6"/>
  <c r="M8450" i="6"/>
  <c r="M8451" i="6"/>
  <c r="M8452" i="6"/>
  <c r="M8453" i="6"/>
  <c r="M8454" i="6"/>
  <c r="M8455" i="6"/>
  <c r="M8456" i="6"/>
  <c r="M8457" i="6"/>
  <c r="M8458" i="6"/>
  <c r="M8459" i="6"/>
  <c r="M8460" i="6"/>
  <c r="M8461" i="6"/>
  <c r="M8462" i="6"/>
  <c r="M8463" i="6"/>
  <c r="M8464" i="6"/>
  <c r="M8465" i="6"/>
  <c r="M8466" i="6"/>
  <c r="M8467" i="6"/>
  <c r="M8468" i="6"/>
  <c r="M8469" i="6"/>
  <c r="M8470" i="6"/>
  <c r="M8471" i="6"/>
  <c r="M8472" i="6"/>
  <c r="M8473" i="6"/>
  <c r="M8474" i="6"/>
  <c r="M8475" i="6"/>
  <c r="M8476" i="6"/>
  <c r="M8477" i="6"/>
  <c r="M8478" i="6"/>
  <c r="M8479" i="6"/>
  <c r="M8480" i="6"/>
  <c r="M8481" i="6"/>
  <c r="M8482" i="6"/>
  <c r="M8483" i="6"/>
  <c r="M8484" i="6"/>
  <c r="M8485" i="6"/>
  <c r="M8486" i="6"/>
  <c r="M8487" i="6"/>
  <c r="M8488" i="6"/>
  <c r="M8489" i="6"/>
  <c r="M8490" i="6"/>
  <c r="M8491" i="6"/>
  <c r="M8492" i="6"/>
  <c r="M8493" i="6"/>
  <c r="M8494" i="6"/>
  <c r="M8495" i="6"/>
  <c r="M8496" i="6"/>
  <c r="M8497" i="6"/>
  <c r="M8498" i="6"/>
  <c r="M8499" i="6"/>
  <c r="M8500" i="6"/>
  <c r="M8501" i="6"/>
  <c r="M8502" i="6"/>
  <c r="M8503" i="6"/>
  <c r="M8504" i="6"/>
  <c r="M8505" i="6"/>
  <c r="M8506" i="6"/>
  <c r="M8507" i="6"/>
  <c r="M8508" i="6"/>
  <c r="M8509" i="6"/>
  <c r="M8510" i="6"/>
  <c r="M8511" i="6"/>
  <c r="M8512" i="6"/>
  <c r="M8513" i="6"/>
  <c r="M8514" i="6"/>
  <c r="M8515" i="6"/>
  <c r="M8516" i="6"/>
  <c r="M8517" i="6"/>
  <c r="M8518" i="6"/>
  <c r="M8519" i="6"/>
  <c r="M8520" i="6"/>
  <c r="M8521" i="6"/>
  <c r="M8522" i="6"/>
  <c r="M8523" i="6"/>
  <c r="M8524" i="6"/>
  <c r="M8525" i="6"/>
  <c r="M8526" i="6"/>
  <c r="M8527" i="6"/>
  <c r="M8528" i="6"/>
  <c r="M8529" i="6"/>
  <c r="M8530" i="6"/>
  <c r="M8531" i="6"/>
  <c r="M8532" i="6"/>
  <c r="M8533" i="6"/>
  <c r="M8534" i="6"/>
  <c r="M8535" i="6"/>
  <c r="M8536" i="6"/>
  <c r="M8537" i="6"/>
  <c r="M8538" i="6"/>
  <c r="M8539" i="6"/>
  <c r="M8540" i="6"/>
  <c r="M8541" i="6"/>
  <c r="M8542" i="6"/>
  <c r="M8543" i="6"/>
  <c r="M8544" i="6"/>
  <c r="M8545" i="6"/>
  <c r="M8546" i="6"/>
  <c r="M8547" i="6"/>
  <c r="M8548" i="6"/>
  <c r="M8549" i="6"/>
  <c r="M8550" i="6"/>
  <c r="M8551" i="6"/>
  <c r="M8552" i="6"/>
  <c r="M8553" i="6"/>
  <c r="M8554" i="6"/>
  <c r="M8555" i="6"/>
  <c r="M8556" i="6"/>
  <c r="M8557" i="6"/>
  <c r="M8558" i="6"/>
  <c r="M8559" i="6"/>
  <c r="M8560" i="6"/>
  <c r="M8561" i="6"/>
  <c r="M8562" i="6"/>
  <c r="M8563" i="6"/>
  <c r="M8564" i="6"/>
  <c r="M8565" i="6"/>
  <c r="M8566" i="6"/>
  <c r="M8567" i="6"/>
  <c r="M8568" i="6"/>
  <c r="M8569" i="6"/>
  <c r="M8570" i="6"/>
  <c r="M8571" i="6"/>
  <c r="M8572" i="6"/>
  <c r="M8573" i="6"/>
  <c r="M8574" i="6"/>
  <c r="M8575" i="6"/>
  <c r="M8576" i="6"/>
  <c r="M8577" i="6"/>
  <c r="M8578" i="6"/>
  <c r="M8579" i="6"/>
  <c r="M8580" i="6"/>
  <c r="M8581" i="6"/>
  <c r="M8582" i="6"/>
  <c r="M8583" i="6"/>
  <c r="M8584" i="6"/>
  <c r="M8585" i="6"/>
  <c r="M8586" i="6"/>
  <c r="M8587" i="6"/>
  <c r="M8588" i="6"/>
  <c r="M8589" i="6"/>
  <c r="M8590" i="6"/>
  <c r="M8591" i="6"/>
  <c r="M8592" i="6"/>
  <c r="M8593" i="6"/>
  <c r="M8594" i="6"/>
  <c r="M8595" i="6"/>
  <c r="M8596" i="6"/>
  <c r="M8597" i="6"/>
  <c r="M8598" i="6"/>
  <c r="M8599" i="6"/>
  <c r="M8600" i="6"/>
  <c r="M8601" i="6"/>
  <c r="M8602" i="6"/>
  <c r="M8603" i="6"/>
  <c r="M8604" i="6"/>
  <c r="M8605" i="6"/>
  <c r="M8606" i="6"/>
  <c r="M8607" i="6"/>
  <c r="M8608" i="6"/>
  <c r="M8609" i="6"/>
  <c r="M8610" i="6"/>
  <c r="M8611" i="6"/>
  <c r="M8612" i="6"/>
  <c r="M8613" i="6"/>
  <c r="M8614" i="6"/>
  <c r="M8615" i="6"/>
  <c r="M8616" i="6"/>
  <c r="M8617" i="6"/>
  <c r="M8618" i="6"/>
  <c r="M8619" i="6"/>
  <c r="M8620" i="6"/>
  <c r="M8621" i="6"/>
  <c r="M8622" i="6"/>
  <c r="M8623" i="6"/>
  <c r="M8624" i="6"/>
  <c r="M8625" i="6"/>
  <c r="M8626" i="6"/>
  <c r="M8627" i="6"/>
  <c r="M8628" i="6"/>
  <c r="M8629" i="6"/>
  <c r="M8630" i="6"/>
  <c r="M8631" i="6"/>
  <c r="M8632" i="6"/>
  <c r="M8633" i="6"/>
  <c r="M8634" i="6"/>
  <c r="M8635" i="6"/>
  <c r="M8636" i="6"/>
  <c r="M8637" i="6"/>
  <c r="M8638" i="6"/>
  <c r="M8639" i="6"/>
  <c r="M8640" i="6"/>
  <c r="M8641" i="6"/>
  <c r="M8642" i="6"/>
  <c r="M8643" i="6"/>
  <c r="M8644" i="6"/>
  <c r="M8645" i="6"/>
  <c r="M8646" i="6"/>
  <c r="M8647" i="6"/>
  <c r="M8648" i="6"/>
  <c r="M8649" i="6"/>
  <c r="M8650" i="6"/>
  <c r="M8651" i="6"/>
  <c r="M8652" i="6"/>
  <c r="M8653" i="6"/>
  <c r="M8654" i="6"/>
  <c r="M8655" i="6"/>
  <c r="M8656" i="6"/>
  <c r="M8657" i="6"/>
  <c r="M8658" i="6"/>
  <c r="M8659" i="6"/>
  <c r="M8660" i="6"/>
  <c r="M8661" i="6"/>
  <c r="M8662" i="6"/>
  <c r="M8663" i="6"/>
  <c r="M8664" i="6"/>
  <c r="M8665" i="6"/>
  <c r="M8666" i="6"/>
  <c r="M8667" i="6"/>
  <c r="M8668" i="6"/>
  <c r="M8669" i="6"/>
  <c r="M8670" i="6"/>
  <c r="M8671" i="6"/>
  <c r="M8672" i="6"/>
  <c r="M8673" i="6"/>
  <c r="M8674" i="6"/>
  <c r="M8675" i="6"/>
  <c r="M8676" i="6"/>
  <c r="M8677" i="6"/>
  <c r="M8678" i="6"/>
  <c r="M8679" i="6"/>
  <c r="M8680" i="6"/>
  <c r="M8681" i="6"/>
  <c r="M8682" i="6"/>
  <c r="M8683" i="6"/>
  <c r="M8684" i="6"/>
  <c r="M8685" i="6"/>
  <c r="M8686" i="6"/>
  <c r="M8687" i="6"/>
  <c r="M8688" i="6"/>
  <c r="M8689" i="6"/>
  <c r="M8690" i="6"/>
  <c r="M8691" i="6"/>
  <c r="M8692" i="6"/>
  <c r="M8693" i="6"/>
  <c r="M8694" i="6"/>
  <c r="M8695" i="6"/>
  <c r="M8696" i="6"/>
  <c r="M8697" i="6"/>
  <c r="M8698" i="6"/>
  <c r="M8699" i="6"/>
  <c r="M8700" i="6"/>
  <c r="M8701" i="6"/>
  <c r="M8702" i="6"/>
  <c r="M8703" i="6"/>
  <c r="M8704" i="6"/>
  <c r="M8705" i="6"/>
  <c r="M8706" i="6"/>
  <c r="M8707" i="6"/>
  <c r="M8708" i="6"/>
  <c r="M8709" i="6"/>
  <c r="M8710" i="6"/>
  <c r="M8711" i="6"/>
  <c r="M8712" i="6"/>
  <c r="M8713" i="6"/>
  <c r="M8714" i="6"/>
  <c r="M8715" i="6"/>
  <c r="M8716" i="6"/>
  <c r="M8717" i="6"/>
  <c r="M8718" i="6"/>
  <c r="M8719" i="6"/>
  <c r="M8720" i="6"/>
  <c r="M8721" i="6"/>
  <c r="M8722" i="6"/>
  <c r="M8723" i="6"/>
  <c r="M8724" i="6"/>
  <c r="M8725" i="6"/>
  <c r="M8726" i="6"/>
  <c r="M8727" i="6"/>
  <c r="M8728" i="6"/>
  <c r="M8729" i="6"/>
  <c r="M8730" i="6"/>
  <c r="M8731" i="6"/>
  <c r="M8732" i="6"/>
  <c r="M8733" i="6"/>
  <c r="M8734" i="6"/>
  <c r="M8735" i="6"/>
  <c r="M8736" i="6"/>
  <c r="M8737" i="6"/>
  <c r="M8738" i="6"/>
  <c r="M8739" i="6"/>
  <c r="M8740" i="6"/>
  <c r="M8741" i="6"/>
  <c r="M8742" i="6"/>
  <c r="M8743" i="6"/>
  <c r="M8744" i="6"/>
  <c r="M8745" i="6"/>
  <c r="M8746" i="6"/>
  <c r="M8747" i="6"/>
  <c r="M8748" i="6"/>
  <c r="M8749" i="6"/>
  <c r="M8750" i="6"/>
  <c r="M8751" i="6"/>
  <c r="M8752" i="6"/>
  <c r="M8753" i="6"/>
  <c r="M8754" i="6"/>
  <c r="M8755" i="6"/>
  <c r="M8756" i="6"/>
  <c r="M8757" i="6"/>
  <c r="M8758" i="6"/>
  <c r="M8759" i="6"/>
  <c r="M8760" i="6"/>
  <c r="M8761" i="6"/>
  <c r="M8762" i="6"/>
  <c r="M8763" i="6"/>
  <c r="M8764" i="6"/>
  <c r="M8765" i="6"/>
  <c r="M8766" i="6"/>
  <c r="M8767" i="6"/>
  <c r="M8768" i="6"/>
  <c r="M8769" i="6"/>
  <c r="M8770" i="6"/>
  <c r="M8771" i="6"/>
  <c r="M8772" i="6"/>
  <c r="M8773" i="6"/>
  <c r="M8774" i="6"/>
  <c r="M8775" i="6"/>
  <c r="M8776" i="6"/>
  <c r="M8777" i="6"/>
  <c r="M8778" i="6"/>
  <c r="M8779" i="6"/>
  <c r="M8780" i="6"/>
  <c r="M8781" i="6"/>
  <c r="M8782" i="6"/>
  <c r="M8783" i="6"/>
  <c r="M8784" i="6"/>
  <c r="M8785" i="6"/>
  <c r="M8786" i="6"/>
  <c r="M8787" i="6"/>
  <c r="M8788" i="6"/>
  <c r="M8789" i="6"/>
  <c r="M8790" i="6"/>
  <c r="M8791" i="6"/>
  <c r="M8792" i="6"/>
  <c r="M8793" i="6"/>
  <c r="M8794" i="6"/>
  <c r="M8795" i="6"/>
  <c r="M8796" i="6"/>
  <c r="M8797" i="6"/>
  <c r="M8798" i="6"/>
  <c r="M8799" i="6"/>
  <c r="M8800" i="6"/>
  <c r="M8801" i="6"/>
  <c r="M8802" i="6"/>
  <c r="M8803" i="6"/>
  <c r="M8804" i="6"/>
  <c r="M8805" i="6"/>
  <c r="M8806" i="6"/>
  <c r="M8807" i="6"/>
  <c r="M8808" i="6"/>
  <c r="M8809" i="6"/>
  <c r="M8810" i="6"/>
  <c r="M8811" i="6"/>
  <c r="M8812" i="6"/>
  <c r="M8813" i="6"/>
  <c r="M8814" i="6"/>
  <c r="M8815" i="6"/>
  <c r="M8816" i="6"/>
  <c r="M8817" i="6"/>
  <c r="M8818" i="6"/>
  <c r="M8819" i="6"/>
  <c r="M8820" i="6"/>
  <c r="M8821" i="6"/>
  <c r="M8822" i="6"/>
  <c r="M8823" i="6"/>
  <c r="M8824" i="6"/>
  <c r="M8825" i="6"/>
  <c r="M8826" i="6"/>
  <c r="M8827" i="6"/>
  <c r="M8828" i="6"/>
  <c r="M8829" i="6"/>
  <c r="M8830" i="6"/>
  <c r="M8831" i="6"/>
  <c r="M8832" i="6"/>
  <c r="M8833" i="6"/>
  <c r="M8834" i="6"/>
  <c r="M8835" i="6"/>
  <c r="M8836" i="6"/>
  <c r="M8837" i="6"/>
  <c r="M8838" i="6"/>
  <c r="M8839" i="6"/>
  <c r="M8840" i="6"/>
  <c r="M8841" i="6"/>
  <c r="M8842" i="6"/>
  <c r="M8843" i="6"/>
  <c r="M8844" i="6"/>
  <c r="M8845" i="6"/>
  <c r="M8846" i="6"/>
  <c r="M8847" i="6"/>
  <c r="M8848" i="6"/>
  <c r="M8849" i="6"/>
  <c r="M8850" i="6"/>
  <c r="M8851" i="6"/>
  <c r="M8852" i="6"/>
  <c r="M8853" i="6"/>
  <c r="M8854" i="6"/>
  <c r="M8855" i="6"/>
  <c r="M8856" i="6"/>
  <c r="M8857" i="6"/>
  <c r="M8858" i="6"/>
  <c r="M8859" i="6"/>
  <c r="M8860" i="6"/>
  <c r="M8861" i="6"/>
  <c r="M8862" i="6"/>
  <c r="M8863" i="6"/>
  <c r="M8864" i="6"/>
  <c r="M8865" i="6"/>
  <c r="M8866" i="6"/>
  <c r="M8867" i="6"/>
  <c r="M8868" i="6"/>
  <c r="M8869" i="6"/>
  <c r="M8870" i="6"/>
  <c r="M8871" i="6"/>
  <c r="M8872" i="6"/>
  <c r="M8873" i="6"/>
  <c r="M8874" i="6"/>
  <c r="M8875" i="6"/>
  <c r="M8876" i="6"/>
  <c r="M8877" i="6"/>
  <c r="M8878" i="6"/>
  <c r="M8879" i="6"/>
  <c r="M8880" i="6"/>
  <c r="M8881" i="6"/>
  <c r="M8882" i="6"/>
  <c r="M8883" i="6"/>
  <c r="M8884" i="6"/>
  <c r="M8885" i="6"/>
  <c r="M8886" i="6"/>
  <c r="M8887" i="6"/>
  <c r="M8888" i="6"/>
  <c r="M8889" i="6"/>
  <c r="M8890" i="6"/>
  <c r="M8891" i="6"/>
  <c r="M8892" i="6"/>
  <c r="M8893" i="6"/>
  <c r="M8894" i="6"/>
  <c r="M8895" i="6"/>
  <c r="M8896" i="6"/>
  <c r="M8897" i="6"/>
  <c r="M8898" i="6"/>
  <c r="M8899" i="6"/>
  <c r="M8900" i="6"/>
  <c r="M8901" i="6"/>
  <c r="M8902" i="6"/>
  <c r="M8903" i="6"/>
  <c r="M8904" i="6"/>
  <c r="M8905" i="6"/>
  <c r="M8906" i="6"/>
  <c r="M8907" i="6"/>
  <c r="M8908" i="6"/>
  <c r="M8909" i="6"/>
  <c r="M8910" i="6"/>
  <c r="M8911" i="6"/>
  <c r="M8912" i="6"/>
  <c r="M8913" i="6"/>
  <c r="M8914" i="6"/>
  <c r="M8915" i="6"/>
  <c r="M8916" i="6"/>
  <c r="M8917" i="6"/>
  <c r="M8918" i="6"/>
  <c r="M8919" i="6"/>
  <c r="M8920" i="6"/>
  <c r="M8921" i="6"/>
  <c r="M8922" i="6"/>
  <c r="M8923" i="6"/>
  <c r="M8924" i="6"/>
  <c r="M8925" i="6"/>
  <c r="M8926" i="6"/>
  <c r="M8927" i="6"/>
  <c r="M8928" i="6"/>
  <c r="M8929" i="6"/>
  <c r="M8930" i="6"/>
  <c r="M8931" i="6"/>
  <c r="M8932" i="6"/>
  <c r="M8933" i="6"/>
  <c r="M8934" i="6"/>
  <c r="M8935" i="6"/>
  <c r="M8936" i="6"/>
  <c r="M8937" i="6"/>
  <c r="M8938" i="6"/>
  <c r="M8939" i="6"/>
  <c r="M8940" i="6"/>
  <c r="M8941" i="6"/>
  <c r="M8942" i="6"/>
  <c r="M8943" i="6"/>
  <c r="M8944" i="6"/>
  <c r="M8945" i="6"/>
  <c r="M8946" i="6"/>
  <c r="M8947" i="6"/>
  <c r="M8948" i="6"/>
  <c r="M8949" i="6"/>
  <c r="M8950" i="6"/>
  <c r="M8951" i="6"/>
  <c r="M8952" i="6"/>
  <c r="M8953" i="6"/>
  <c r="M8954" i="6"/>
  <c r="M8955" i="6"/>
  <c r="M8956" i="6"/>
  <c r="M8957" i="6"/>
  <c r="M8958" i="6"/>
  <c r="M8959" i="6"/>
  <c r="M8960" i="6"/>
  <c r="M8961" i="6"/>
  <c r="M8962" i="6"/>
  <c r="M8963" i="6"/>
  <c r="M8964" i="6"/>
  <c r="M8965" i="6"/>
  <c r="M8966" i="6"/>
  <c r="M8967" i="6"/>
  <c r="M8968" i="6"/>
  <c r="M8969" i="6"/>
  <c r="M8970" i="6"/>
  <c r="M8971" i="6"/>
  <c r="M8972" i="6"/>
  <c r="M8973" i="6"/>
  <c r="M8974" i="6"/>
  <c r="M8975" i="6"/>
  <c r="M8976" i="6"/>
  <c r="M8977" i="6"/>
  <c r="M8978" i="6"/>
  <c r="M8979" i="6"/>
  <c r="M8980" i="6"/>
  <c r="M8981" i="6"/>
  <c r="M8982" i="6"/>
  <c r="M8983" i="6"/>
  <c r="M8984" i="6"/>
  <c r="M8985" i="6"/>
  <c r="M8986" i="6"/>
  <c r="M8987" i="6"/>
  <c r="M8988" i="6"/>
  <c r="M8989" i="6"/>
  <c r="M8990" i="6"/>
  <c r="M8991" i="6"/>
  <c r="M8992" i="6"/>
  <c r="M8993" i="6"/>
  <c r="M8994" i="6"/>
  <c r="M8995" i="6"/>
  <c r="M8996" i="6"/>
  <c r="M8997" i="6"/>
  <c r="M8998" i="6"/>
  <c r="M8999" i="6"/>
  <c r="M9000" i="6"/>
  <c r="M9001" i="6"/>
  <c r="M9002" i="6"/>
  <c r="M9003" i="6"/>
  <c r="M9004" i="6"/>
  <c r="M9005" i="6"/>
  <c r="M9006" i="6"/>
  <c r="M9007" i="6"/>
  <c r="M9008" i="6"/>
  <c r="M9009" i="6"/>
  <c r="M9010" i="6"/>
  <c r="M9011" i="6"/>
  <c r="M9012" i="6"/>
  <c r="M9013" i="6"/>
  <c r="M9014" i="6"/>
  <c r="M9015" i="6"/>
  <c r="M9016" i="6"/>
  <c r="M9017" i="6"/>
  <c r="M9018" i="6"/>
  <c r="M9019" i="6"/>
  <c r="M9020" i="6"/>
  <c r="M9021" i="6"/>
  <c r="M9022" i="6"/>
  <c r="M9023" i="6"/>
  <c r="M9024" i="6"/>
  <c r="M9025" i="6"/>
  <c r="M9026" i="6"/>
  <c r="M9027" i="6"/>
  <c r="M9028" i="6"/>
  <c r="M9029" i="6"/>
  <c r="M9030" i="6"/>
  <c r="M9031" i="6"/>
  <c r="M9032" i="6"/>
  <c r="M9033" i="6"/>
  <c r="M9034" i="6"/>
  <c r="M9035" i="6"/>
  <c r="M9036" i="6"/>
  <c r="M9037" i="6"/>
  <c r="M9038" i="6"/>
  <c r="M9039" i="6"/>
  <c r="M9040" i="6"/>
  <c r="M9041" i="6"/>
  <c r="M9042" i="6"/>
  <c r="M9043" i="6"/>
  <c r="M9044" i="6"/>
  <c r="M9045" i="6"/>
  <c r="M9046" i="6"/>
  <c r="M9047" i="6"/>
  <c r="M9048" i="6"/>
  <c r="M9049" i="6"/>
  <c r="M9050" i="6"/>
  <c r="M9051" i="6"/>
  <c r="M9052" i="6"/>
  <c r="M9053" i="6"/>
  <c r="M9054" i="6"/>
  <c r="M9055" i="6"/>
  <c r="M9056" i="6"/>
  <c r="M9057" i="6"/>
  <c r="M9058" i="6"/>
  <c r="M9059" i="6"/>
  <c r="M9060" i="6"/>
  <c r="M9061" i="6"/>
  <c r="M9062" i="6"/>
  <c r="M9063" i="6"/>
  <c r="M9064" i="6"/>
  <c r="M9065" i="6"/>
  <c r="M9066" i="6"/>
  <c r="M9067" i="6"/>
  <c r="M9068" i="6"/>
  <c r="M9069" i="6"/>
  <c r="M9070" i="6"/>
  <c r="M9071" i="6"/>
  <c r="M9072" i="6"/>
  <c r="M9073" i="6"/>
  <c r="M9074" i="6"/>
  <c r="M9075" i="6"/>
  <c r="M9076" i="6"/>
  <c r="M9077" i="6"/>
  <c r="M9078" i="6"/>
  <c r="M9079" i="6"/>
  <c r="M9080" i="6"/>
  <c r="M9081" i="6"/>
  <c r="M9082" i="6"/>
  <c r="M9083" i="6"/>
  <c r="M9084" i="6"/>
  <c r="M9085" i="6"/>
  <c r="M9086" i="6"/>
  <c r="M9087" i="6"/>
  <c r="M9088" i="6"/>
  <c r="M9089" i="6"/>
  <c r="M9090" i="6"/>
  <c r="M9091" i="6"/>
  <c r="M9092" i="6"/>
  <c r="M9093" i="6"/>
  <c r="M9094" i="6"/>
  <c r="M9095" i="6"/>
  <c r="M9096" i="6"/>
  <c r="M9097" i="6"/>
  <c r="M9098" i="6"/>
  <c r="M9099" i="6"/>
  <c r="M9100" i="6"/>
  <c r="M9101" i="6"/>
  <c r="M9102" i="6"/>
  <c r="M9103" i="6"/>
  <c r="M9104" i="6"/>
  <c r="M9105" i="6"/>
  <c r="M9106" i="6"/>
  <c r="M9107" i="6"/>
  <c r="M9108" i="6"/>
  <c r="M9109" i="6"/>
  <c r="M9110" i="6"/>
  <c r="M9111" i="6"/>
  <c r="M9112" i="6"/>
  <c r="M9113" i="6"/>
  <c r="M9114" i="6"/>
  <c r="M9115" i="6"/>
  <c r="M9116" i="6"/>
  <c r="M9117" i="6"/>
  <c r="M9118" i="6"/>
  <c r="M9119" i="6"/>
  <c r="M9120" i="6"/>
  <c r="M9121" i="6"/>
  <c r="M9122" i="6"/>
  <c r="M9123" i="6"/>
  <c r="M9124" i="6"/>
  <c r="M9125" i="6"/>
  <c r="M9126" i="6"/>
  <c r="M9127" i="6"/>
  <c r="M9128" i="6"/>
  <c r="M9129" i="6"/>
  <c r="M9130" i="6"/>
  <c r="M9131" i="6"/>
  <c r="M9132" i="6"/>
  <c r="M9133" i="6"/>
  <c r="M9134" i="6"/>
  <c r="M9135" i="6"/>
  <c r="M9136" i="6"/>
  <c r="M9137" i="6"/>
  <c r="M9138" i="6"/>
  <c r="M9139" i="6"/>
  <c r="M9140" i="6"/>
  <c r="M9141" i="6"/>
  <c r="M9142" i="6"/>
  <c r="M9143" i="6"/>
  <c r="M9144" i="6"/>
  <c r="M9145" i="6"/>
  <c r="M9146" i="6"/>
  <c r="M9147" i="6"/>
  <c r="M9148" i="6"/>
  <c r="M9149" i="6"/>
  <c r="M9150" i="6"/>
  <c r="M9151" i="6"/>
  <c r="M9152" i="6"/>
  <c r="M9153" i="6"/>
  <c r="M9154" i="6"/>
  <c r="M9155" i="6"/>
  <c r="M9156" i="6"/>
  <c r="M9157" i="6"/>
  <c r="M9158" i="6"/>
  <c r="M9159" i="6"/>
  <c r="M9160" i="6"/>
  <c r="M9161" i="6"/>
  <c r="M9162" i="6"/>
  <c r="M9163" i="6"/>
  <c r="M9164" i="6"/>
  <c r="M9165" i="6"/>
  <c r="M9166" i="6"/>
  <c r="M9167" i="6"/>
  <c r="M9168" i="6"/>
  <c r="M9169" i="6"/>
  <c r="M9170" i="6"/>
  <c r="M9171" i="6"/>
  <c r="M9172" i="6"/>
  <c r="M9173" i="6"/>
  <c r="M9174" i="6"/>
  <c r="M9175" i="6"/>
  <c r="M9176" i="6"/>
  <c r="M9177" i="6"/>
  <c r="M9178" i="6"/>
  <c r="M9179" i="6"/>
  <c r="M9180" i="6"/>
  <c r="M9181" i="6"/>
  <c r="M9182" i="6"/>
  <c r="M9183" i="6"/>
  <c r="M9184" i="6"/>
  <c r="M9185" i="6"/>
  <c r="M9186" i="6"/>
  <c r="M9187" i="6"/>
  <c r="M9188" i="6"/>
  <c r="M9189" i="6"/>
  <c r="M9190" i="6"/>
  <c r="M9191" i="6"/>
  <c r="M9192" i="6"/>
  <c r="M9193" i="6"/>
  <c r="M9194" i="6"/>
  <c r="M9195" i="6"/>
  <c r="M9196" i="6"/>
  <c r="M9197" i="6"/>
  <c r="M9198" i="6"/>
  <c r="M9199" i="6"/>
  <c r="M9200" i="6"/>
  <c r="M9201" i="6"/>
  <c r="M9202" i="6"/>
  <c r="M9203" i="6"/>
  <c r="M9204" i="6"/>
  <c r="M9205" i="6"/>
  <c r="M9206" i="6"/>
  <c r="M9207" i="6"/>
  <c r="M9208" i="6"/>
  <c r="M9209" i="6"/>
  <c r="M9210" i="6"/>
  <c r="M9211" i="6"/>
  <c r="M9212" i="6"/>
  <c r="M9213" i="6"/>
  <c r="M9214" i="6"/>
  <c r="M9215" i="6"/>
  <c r="M9216" i="6"/>
  <c r="M9217" i="6"/>
  <c r="M9218" i="6"/>
  <c r="M9219" i="6"/>
  <c r="M9220" i="6"/>
  <c r="M9221" i="6"/>
  <c r="M9222" i="6"/>
  <c r="M9223" i="6"/>
  <c r="M9224" i="6"/>
  <c r="M9225" i="6"/>
  <c r="M9226" i="6"/>
  <c r="M9227" i="6"/>
  <c r="M9228" i="6"/>
  <c r="M9229" i="6"/>
  <c r="M9230" i="6"/>
  <c r="M9231" i="6"/>
  <c r="M9232" i="6"/>
  <c r="M9233" i="6"/>
  <c r="M9234" i="6"/>
  <c r="M9235" i="6"/>
  <c r="M9236" i="6"/>
  <c r="M9237" i="6"/>
  <c r="M9238" i="6"/>
  <c r="M9239" i="6"/>
  <c r="M9240" i="6"/>
  <c r="M9241" i="6"/>
  <c r="M9242" i="6"/>
  <c r="M9243" i="6"/>
  <c r="M9244" i="6"/>
  <c r="M9245" i="6"/>
  <c r="M9246" i="6"/>
  <c r="M9247" i="6"/>
  <c r="M9248" i="6"/>
  <c r="M9249" i="6"/>
  <c r="M9250" i="6"/>
  <c r="M9251" i="6"/>
  <c r="M9252" i="6"/>
  <c r="M9253" i="6"/>
  <c r="M9254" i="6"/>
  <c r="M9255" i="6"/>
  <c r="M9256" i="6"/>
  <c r="M9257" i="6"/>
  <c r="M9258" i="6"/>
  <c r="M9259" i="6"/>
  <c r="M9260" i="6"/>
  <c r="M9261" i="6"/>
  <c r="M9262" i="6"/>
  <c r="M9263" i="6"/>
  <c r="M9264" i="6"/>
  <c r="M9265" i="6"/>
  <c r="M9266" i="6"/>
  <c r="M9267" i="6"/>
  <c r="M9268" i="6"/>
  <c r="M9269" i="6"/>
  <c r="M9270" i="6"/>
  <c r="M9271" i="6"/>
  <c r="M9272" i="6"/>
  <c r="M9273" i="6"/>
  <c r="M9274" i="6"/>
  <c r="M9275" i="6"/>
  <c r="M9276" i="6"/>
  <c r="M9277" i="6"/>
  <c r="M9278" i="6"/>
  <c r="M9279" i="6"/>
  <c r="M9280" i="6"/>
  <c r="M9281" i="6"/>
  <c r="M9282" i="6"/>
  <c r="M9283" i="6"/>
  <c r="M9284" i="6"/>
  <c r="M9285" i="6"/>
  <c r="M9286" i="6"/>
  <c r="M9287" i="6"/>
  <c r="M9288" i="6"/>
  <c r="M9289" i="6"/>
  <c r="M9290" i="6"/>
  <c r="M9291" i="6"/>
  <c r="M9292" i="6"/>
  <c r="M9293" i="6"/>
  <c r="M9294" i="6"/>
  <c r="M9295" i="6"/>
  <c r="M9296" i="6"/>
  <c r="M9297" i="6"/>
  <c r="M9298" i="6"/>
  <c r="M9299" i="6"/>
  <c r="M9300" i="6"/>
  <c r="M9301" i="6"/>
  <c r="M9302" i="6"/>
  <c r="M9303" i="6"/>
  <c r="M9304" i="6"/>
  <c r="M9305" i="6"/>
  <c r="M9306" i="6"/>
  <c r="M9307" i="6"/>
  <c r="M9308" i="6"/>
  <c r="M9309" i="6"/>
  <c r="M9310" i="6"/>
  <c r="M9311" i="6"/>
  <c r="M9312" i="6"/>
  <c r="M9313" i="6"/>
  <c r="M9314" i="6"/>
  <c r="M9315" i="6"/>
  <c r="M9316" i="6"/>
  <c r="M9317" i="6"/>
  <c r="M9318" i="6"/>
  <c r="M9319" i="6"/>
  <c r="M9320" i="6"/>
  <c r="M9321" i="6"/>
  <c r="M9322" i="6"/>
  <c r="M9323" i="6"/>
  <c r="M9324" i="6"/>
  <c r="M9325" i="6"/>
  <c r="M9326" i="6"/>
  <c r="M9327" i="6"/>
  <c r="M9328" i="6"/>
  <c r="M9329" i="6"/>
  <c r="M9330" i="6"/>
  <c r="M9331" i="6"/>
  <c r="M9332" i="6"/>
  <c r="M9333" i="6"/>
  <c r="M9334" i="6"/>
  <c r="M9335" i="6"/>
  <c r="M9336" i="6"/>
  <c r="M9337" i="6"/>
  <c r="M9338" i="6"/>
  <c r="M9339" i="6"/>
  <c r="M9340" i="6"/>
  <c r="M9341" i="6"/>
  <c r="M9342" i="6"/>
  <c r="M9343" i="6"/>
  <c r="M9344" i="6"/>
  <c r="M9345" i="6"/>
  <c r="M9346" i="6"/>
  <c r="M9347" i="6"/>
  <c r="M9348" i="6"/>
  <c r="M9349" i="6"/>
  <c r="M9350" i="6"/>
  <c r="M9351" i="6"/>
  <c r="M9352" i="6"/>
  <c r="M9353" i="6"/>
  <c r="M9354" i="6"/>
  <c r="M9355" i="6"/>
  <c r="M9356" i="6"/>
  <c r="M9357" i="6"/>
  <c r="M9358" i="6"/>
  <c r="M9359" i="6"/>
  <c r="M9360" i="6"/>
  <c r="M9361" i="6"/>
  <c r="M9362" i="6"/>
  <c r="M9363" i="6"/>
  <c r="M9364" i="6"/>
  <c r="M9365" i="6"/>
  <c r="M9366" i="6"/>
  <c r="M9367" i="6"/>
  <c r="M9368" i="6"/>
  <c r="M9369" i="6"/>
  <c r="M9370" i="6"/>
  <c r="M9371" i="6"/>
  <c r="M9372" i="6"/>
  <c r="M9373" i="6"/>
  <c r="M9374" i="6"/>
  <c r="M9375" i="6"/>
  <c r="M9376" i="6"/>
  <c r="M9377" i="6"/>
  <c r="M9378" i="6"/>
  <c r="M9379" i="6"/>
  <c r="M9380" i="6"/>
  <c r="M9381" i="6"/>
  <c r="M9382" i="6"/>
  <c r="M9383" i="6"/>
  <c r="M9384" i="6"/>
  <c r="M9385" i="6"/>
  <c r="M9386" i="6"/>
  <c r="M9387" i="6"/>
  <c r="M9388" i="6"/>
  <c r="M9389" i="6"/>
  <c r="M9390" i="6"/>
  <c r="M9391" i="6"/>
  <c r="M9392" i="6"/>
  <c r="M9393" i="6"/>
  <c r="M9394" i="6"/>
  <c r="M9395" i="6"/>
  <c r="M9396" i="6"/>
  <c r="M9397" i="6"/>
  <c r="M9398" i="6"/>
  <c r="M9399" i="6"/>
  <c r="M9400" i="6"/>
  <c r="M9401" i="6"/>
  <c r="M9402" i="6"/>
  <c r="M9403" i="6"/>
  <c r="M9404" i="6"/>
  <c r="M9405" i="6"/>
  <c r="M9406" i="6"/>
  <c r="M9407" i="6"/>
  <c r="M9408" i="6"/>
  <c r="M9409" i="6"/>
  <c r="M9410" i="6"/>
  <c r="M9411" i="6"/>
  <c r="M9412" i="6"/>
  <c r="M9413" i="6"/>
  <c r="M9414" i="6"/>
  <c r="M9415" i="6"/>
  <c r="M9416" i="6"/>
  <c r="M9417" i="6"/>
  <c r="M9418" i="6"/>
  <c r="M9419" i="6"/>
  <c r="M9420" i="6"/>
  <c r="M9421" i="6"/>
  <c r="M9422" i="6"/>
  <c r="M9423" i="6"/>
  <c r="M9424" i="6"/>
  <c r="M9425" i="6"/>
  <c r="M9426" i="6"/>
  <c r="M9427" i="6"/>
  <c r="M9428" i="6"/>
  <c r="M9429" i="6"/>
  <c r="M9430" i="6"/>
  <c r="M9431" i="6"/>
  <c r="M9432" i="6"/>
  <c r="M9433" i="6"/>
  <c r="M9434" i="6"/>
  <c r="M9435" i="6"/>
  <c r="M9436" i="6"/>
  <c r="M9437" i="6"/>
  <c r="M9438" i="6"/>
  <c r="M9439" i="6"/>
  <c r="M9440" i="6"/>
  <c r="M9441" i="6"/>
  <c r="M9442" i="6"/>
  <c r="M9443" i="6"/>
  <c r="M9444" i="6"/>
  <c r="M9445" i="6"/>
  <c r="M9446" i="6"/>
  <c r="M9447" i="6"/>
  <c r="M9448" i="6"/>
  <c r="M9449" i="6"/>
  <c r="M9450" i="6"/>
  <c r="M9451" i="6"/>
  <c r="M9452" i="6"/>
  <c r="M9453" i="6"/>
  <c r="M9454" i="6"/>
  <c r="M9455" i="6"/>
  <c r="M9456" i="6"/>
  <c r="M9457" i="6"/>
  <c r="M9458" i="6"/>
  <c r="M9459" i="6"/>
  <c r="M9460" i="6"/>
  <c r="M9461" i="6"/>
  <c r="M9462" i="6"/>
  <c r="M9463" i="6"/>
  <c r="M9464" i="6"/>
  <c r="M9465" i="6"/>
  <c r="M9466" i="6"/>
  <c r="M9467" i="6"/>
  <c r="M9468" i="6"/>
  <c r="M9469" i="6"/>
  <c r="M9470" i="6"/>
  <c r="M9471" i="6"/>
  <c r="M9472" i="6"/>
  <c r="M9473" i="6"/>
  <c r="M9474" i="6"/>
  <c r="M9475" i="6"/>
  <c r="M9476" i="6"/>
  <c r="M9477" i="6"/>
  <c r="M9478" i="6"/>
  <c r="M9479" i="6"/>
  <c r="M9480" i="6"/>
  <c r="M9481" i="6"/>
  <c r="M9482" i="6"/>
  <c r="M9483" i="6"/>
  <c r="M9484" i="6"/>
  <c r="M9485" i="6"/>
  <c r="M9486" i="6"/>
  <c r="M9487" i="6"/>
  <c r="M9488" i="6"/>
  <c r="M9489" i="6"/>
  <c r="M9490" i="6"/>
  <c r="M9491" i="6"/>
  <c r="M9492" i="6"/>
  <c r="M9493" i="6"/>
  <c r="M9494" i="6"/>
  <c r="M9495" i="6"/>
  <c r="M9496" i="6"/>
  <c r="M9497" i="6"/>
  <c r="M9498" i="6"/>
  <c r="M9499" i="6"/>
  <c r="M9500" i="6"/>
  <c r="M9501" i="6"/>
  <c r="M9502" i="6"/>
  <c r="M9503" i="6"/>
  <c r="M9504" i="6"/>
  <c r="M9505" i="6"/>
  <c r="M9506" i="6"/>
  <c r="M9507" i="6"/>
  <c r="M9508" i="6"/>
  <c r="M9509" i="6"/>
  <c r="M9510" i="6"/>
  <c r="M9511" i="6"/>
  <c r="M9512" i="6"/>
  <c r="M9513" i="6"/>
  <c r="M9514" i="6"/>
  <c r="M9515" i="6"/>
  <c r="M9516" i="6"/>
  <c r="M9517" i="6"/>
  <c r="M9518" i="6"/>
  <c r="M9519" i="6"/>
  <c r="M9520" i="6"/>
  <c r="M9521" i="6"/>
  <c r="M9522" i="6"/>
  <c r="M9523" i="6"/>
  <c r="M9524" i="6"/>
  <c r="M9525" i="6"/>
  <c r="M9526" i="6"/>
  <c r="M9527" i="6"/>
  <c r="M9528" i="6"/>
  <c r="M9529" i="6"/>
  <c r="M9530" i="6"/>
  <c r="M9531" i="6"/>
  <c r="M9532" i="6"/>
  <c r="M9533" i="6"/>
  <c r="M9534" i="6"/>
  <c r="M9535" i="6"/>
  <c r="M9536" i="6"/>
  <c r="M9537" i="6"/>
  <c r="M9538" i="6"/>
  <c r="M9539" i="6"/>
  <c r="M9540" i="6"/>
  <c r="M9541" i="6"/>
  <c r="M9542" i="6"/>
  <c r="M9543" i="6"/>
  <c r="M9544" i="6"/>
  <c r="M9545" i="6"/>
  <c r="M9546" i="6"/>
  <c r="M9547" i="6"/>
  <c r="M9548" i="6"/>
  <c r="M9549" i="6"/>
  <c r="M9550" i="6"/>
  <c r="M9551" i="6"/>
  <c r="M9552" i="6"/>
  <c r="M9553" i="6"/>
  <c r="M9554" i="6"/>
  <c r="M9555" i="6"/>
  <c r="M9556" i="6"/>
  <c r="M9557" i="6"/>
  <c r="M9558" i="6"/>
  <c r="M9559" i="6"/>
  <c r="M9560" i="6"/>
  <c r="M9561" i="6"/>
  <c r="M9562" i="6"/>
  <c r="M9563" i="6"/>
  <c r="M9564" i="6"/>
  <c r="M9565" i="6"/>
  <c r="M9566" i="6"/>
  <c r="M9567" i="6"/>
  <c r="M9568" i="6"/>
  <c r="M9569" i="6"/>
  <c r="M9570" i="6"/>
  <c r="M9571" i="6"/>
  <c r="M9572" i="6"/>
  <c r="M9573" i="6"/>
  <c r="M9574" i="6"/>
  <c r="M9575" i="6"/>
  <c r="M9576" i="6"/>
  <c r="M9577" i="6"/>
  <c r="M9578" i="6"/>
  <c r="M9579" i="6"/>
  <c r="M9580" i="6"/>
  <c r="M9581" i="6"/>
  <c r="M9582" i="6"/>
  <c r="M9583" i="6"/>
  <c r="M9584" i="6"/>
  <c r="M9585" i="6"/>
  <c r="M9586" i="6"/>
  <c r="M9587" i="6"/>
  <c r="M9588" i="6"/>
  <c r="M9589" i="6"/>
  <c r="M9590" i="6"/>
  <c r="M9591" i="6"/>
  <c r="M9592" i="6"/>
  <c r="M9593" i="6"/>
  <c r="M9594" i="6"/>
  <c r="M9595" i="6"/>
  <c r="M9596" i="6"/>
  <c r="M9597" i="6"/>
  <c r="M9598" i="6"/>
  <c r="M9599" i="6"/>
  <c r="M9600" i="6"/>
  <c r="M9601" i="6"/>
  <c r="M9602" i="6"/>
  <c r="M9603" i="6"/>
  <c r="M9604" i="6"/>
  <c r="M9605" i="6"/>
  <c r="M9606" i="6"/>
  <c r="M9607" i="6"/>
  <c r="M9608" i="6"/>
  <c r="M9609" i="6"/>
  <c r="M9610" i="6"/>
  <c r="M9611" i="6"/>
  <c r="M9612" i="6"/>
  <c r="M9613" i="6"/>
  <c r="M9614" i="6"/>
  <c r="M9615" i="6"/>
  <c r="M9616" i="6"/>
  <c r="M9617" i="6"/>
  <c r="M9618" i="6"/>
  <c r="M9619" i="6"/>
  <c r="M9620" i="6"/>
  <c r="M9621" i="6"/>
  <c r="M9622" i="6"/>
  <c r="M9623" i="6"/>
  <c r="M9624" i="6"/>
  <c r="M9625" i="6"/>
  <c r="M9626" i="6"/>
  <c r="M9627" i="6"/>
  <c r="M9628" i="6"/>
  <c r="M9629" i="6"/>
  <c r="M9630" i="6"/>
  <c r="M9631" i="6"/>
  <c r="M9632" i="6"/>
  <c r="M9633" i="6"/>
  <c r="M9634" i="6"/>
  <c r="M9635" i="6"/>
  <c r="M9636" i="6"/>
  <c r="M9637" i="6"/>
  <c r="M9638" i="6"/>
  <c r="M9639" i="6"/>
  <c r="M9640" i="6"/>
  <c r="M9641" i="6"/>
  <c r="M9642" i="6"/>
  <c r="M9643" i="6"/>
  <c r="M9644" i="6"/>
  <c r="M9645" i="6"/>
  <c r="M9646" i="6"/>
  <c r="M9647" i="6"/>
  <c r="M9648" i="6"/>
  <c r="M9649" i="6"/>
  <c r="M9650" i="6"/>
  <c r="M9651" i="6"/>
  <c r="M9652" i="6"/>
  <c r="M9653" i="6"/>
  <c r="M9654" i="6"/>
  <c r="M9655" i="6"/>
  <c r="M9656" i="6"/>
  <c r="M9657" i="6"/>
  <c r="M9658" i="6"/>
  <c r="M9659" i="6"/>
  <c r="M9660" i="6"/>
  <c r="M9661" i="6"/>
  <c r="M9662" i="6"/>
  <c r="M9663" i="6"/>
  <c r="M9664" i="6"/>
  <c r="M9665" i="6"/>
  <c r="M9666" i="6"/>
  <c r="M9667" i="6"/>
  <c r="M9668" i="6"/>
  <c r="M9669" i="6"/>
  <c r="M9670" i="6"/>
  <c r="M9671" i="6"/>
  <c r="M9672" i="6"/>
  <c r="M9673" i="6"/>
  <c r="M9674" i="6"/>
  <c r="M9675" i="6"/>
  <c r="M9676" i="6"/>
  <c r="M9677" i="6"/>
  <c r="M9678" i="6"/>
  <c r="M9679" i="6"/>
  <c r="M9680" i="6"/>
  <c r="M9681" i="6"/>
  <c r="M9682" i="6"/>
  <c r="M9683" i="6"/>
  <c r="M9684" i="6"/>
  <c r="M9685" i="6"/>
  <c r="M9686" i="6"/>
  <c r="M9687" i="6"/>
  <c r="M9688" i="6"/>
  <c r="M9689" i="6"/>
  <c r="M9690" i="6"/>
  <c r="M9691" i="6"/>
  <c r="M9692" i="6"/>
  <c r="M9693" i="6"/>
  <c r="M9694" i="6"/>
  <c r="M9695" i="6"/>
  <c r="M9696" i="6"/>
  <c r="M9697" i="6"/>
  <c r="M9698" i="6"/>
  <c r="M9699" i="6"/>
  <c r="M9700" i="6"/>
  <c r="M9701" i="6"/>
  <c r="M9702" i="6"/>
  <c r="M9703" i="6"/>
  <c r="M9704" i="6"/>
  <c r="M9705" i="6"/>
  <c r="M9706" i="6"/>
  <c r="M9707" i="6"/>
  <c r="M9708" i="6"/>
  <c r="M9709" i="6"/>
  <c r="M9710" i="6"/>
  <c r="M9711" i="6"/>
  <c r="M9712" i="6"/>
  <c r="M9713" i="6"/>
  <c r="M9714" i="6"/>
  <c r="M9715" i="6"/>
  <c r="M9716" i="6"/>
  <c r="M9717" i="6"/>
  <c r="M9718" i="6"/>
  <c r="M9719" i="6"/>
  <c r="M9720" i="6"/>
  <c r="M9721" i="6"/>
  <c r="M9722" i="6"/>
  <c r="M9723" i="6"/>
  <c r="M9724" i="6"/>
  <c r="M9725" i="6"/>
  <c r="M9726" i="6"/>
  <c r="M9727" i="6"/>
  <c r="M9728" i="6"/>
  <c r="M9729" i="6"/>
  <c r="M9730" i="6"/>
  <c r="M9731" i="6"/>
  <c r="M9732" i="6"/>
  <c r="M9733" i="6"/>
  <c r="M9734" i="6"/>
  <c r="M9735" i="6"/>
  <c r="M9736" i="6"/>
  <c r="M9737" i="6"/>
  <c r="M9738" i="6"/>
  <c r="M9739" i="6"/>
  <c r="M9740" i="6"/>
  <c r="M9741" i="6"/>
  <c r="M9742" i="6"/>
  <c r="M9743" i="6"/>
  <c r="M9744" i="6"/>
  <c r="M9745" i="6"/>
  <c r="M9746" i="6"/>
  <c r="M9747" i="6"/>
  <c r="M9748" i="6"/>
  <c r="M9749" i="6"/>
  <c r="M9750" i="6"/>
  <c r="M9751" i="6"/>
  <c r="M9752" i="6"/>
  <c r="M9753" i="6"/>
  <c r="M9754" i="6"/>
  <c r="M9755" i="6"/>
  <c r="M9756" i="6"/>
  <c r="M9757" i="6"/>
  <c r="M9758" i="6"/>
  <c r="M9759" i="6"/>
  <c r="M9760" i="6"/>
  <c r="M9761" i="6"/>
  <c r="M9762" i="6"/>
  <c r="M9763" i="6"/>
  <c r="M9764" i="6"/>
  <c r="M9765" i="6"/>
  <c r="M9766" i="6"/>
  <c r="M9767" i="6"/>
  <c r="M9768" i="6"/>
  <c r="M9769" i="6"/>
  <c r="M9770" i="6"/>
  <c r="M9771" i="6"/>
  <c r="M9772" i="6"/>
  <c r="M9773" i="6"/>
  <c r="M9774" i="6"/>
  <c r="M9775" i="6"/>
  <c r="M9776" i="6"/>
  <c r="M9777" i="6"/>
  <c r="M9778" i="6"/>
  <c r="M9779" i="6"/>
  <c r="M9780" i="6"/>
  <c r="M9781" i="6"/>
  <c r="M9782" i="6"/>
  <c r="M9783" i="6"/>
  <c r="M9784" i="6"/>
  <c r="M9785" i="6"/>
  <c r="M9786" i="6"/>
  <c r="M9787" i="6"/>
  <c r="M9788" i="6"/>
  <c r="M9789" i="6"/>
  <c r="M9790" i="6"/>
  <c r="M9791" i="6"/>
  <c r="M9792" i="6"/>
  <c r="M9793" i="6"/>
  <c r="M9794" i="6"/>
  <c r="M9795" i="6"/>
  <c r="M9796" i="6"/>
  <c r="M9797" i="6"/>
  <c r="M9798" i="6"/>
  <c r="M9799" i="6"/>
  <c r="M9800" i="6"/>
  <c r="M9801" i="6"/>
  <c r="M9802" i="6"/>
  <c r="M9803" i="6"/>
  <c r="M9804" i="6"/>
  <c r="M9805" i="6"/>
  <c r="M9806" i="6"/>
  <c r="M9807" i="6"/>
  <c r="M9808" i="6"/>
  <c r="M9809" i="6"/>
  <c r="M9810" i="6"/>
  <c r="M9811" i="6"/>
  <c r="M9812" i="6"/>
  <c r="M9813" i="6"/>
  <c r="M9814" i="6"/>
  <c r="M9815" i="6"/>
  <c r="M9816" i="6"/>
  <c r="M9817" i="6"/>
  <c r="M9818" i="6"/>
  <c r="M9819" i="6"/>
  <c r="M9820" i="6"/>
  <c r="M9821" i="6"/>
  <c r="M9822" i="6"/>
  <c r="M9823" i="6"/>
  <c r="M9824" i="6"/>
  <c r="M9825" i="6"/>
  <c r="M9826" i="6"/>
  <c r="M9827" i="6"/>
  <c r="M9828" i="6"/>
  <c r="M9829" i="6"/>
  <c r="M9830" i="6"/>
  <c r="M9831" i="6"/>
  <c r="M9832" i="6"/>
  <c r="M9833" i="6"/>
  <c r="M9834" i="6"/>
  <c r="M9835" i="6"/>
  <c r="M9836" i="6"/>
  <c r="M9837" i="6"/>
  <c r="M9838" i="6"/>
  <c r="M9839" i="6"/>
  <c r="M9840" i="6"/>
  <c r="M9841" i="6"/>
  <c r="M9842" i="6"/>
  <c r="M9843" i="6"/>
  <c r="M9844" i="6"/>
  <c r="M9845" i="6"/>
  <c r="M9846" i="6"/>
  <c r="M9847" i="6"/>
  <c r="M9848" i="6"/>
  <c r="M9849" i="6"/>
  <c r="M9850" i="6"/>
  <c r="M9851" i="6"/>
  <c r="M9852" i="6"/>
  <c r="M9853" i="6"/>
  <c r="M9854" i="6"/>
  <c r="M9855" i="6"/>
  <c r="M9856" i="6"/>
  <c r="M9857" i="6"/>
  <c r="M9858" i="6"/>
  <c r="M9859" i="6"/>
  <c r="M9860" i="6"/>
  <c r="M9861" i="6"/>
  <c r="M9862" i="6"/>
  <c r="M9863" i="6"/>
  <c r="M9864" i="6"/>
  <c r="M9865" i="6"/>
  <c r="M9866" i="6"/>
  <c r="M9867" i="6"/>
  <c r="M9868" i="6"/>
  <c r="M9869" i="6"/>
  <c r="M9870" i="6"/>
  <c r="M9871" i="6"/>
  <c r="M9872" i="6"/>
  <c r="M9873" i="6"/>
  <c r="M9874" i="6"/>
  <c r="M9875" i="6"/>
  <c r="M9876" i="6"/>
  <c r="M9877" i="6"/>
  <c r="M9878" i="6"/>
  <c r="M9879" i="6"/>
  <c r="M9880" i="6"/>
  <c r="M9881" i="6"/>
  <c r="M9882" i="6"/>
  <c r="M9883" i="6"/>
  <c r="M9884" i="6"/>
  <c r="M9885" i="6"/>
  <c r="M9886" i="6"/>
  <c r="M9887" i="6"/>
  <c r="M9888" i="6"/>
  <c r="M9889" i="6"/>
  <c r="M9890" i="6"/>
  <c r="M9891" i="6"/>
  <c r="M9892" i="6"/>
  <c r="M9893" i="6"/>
  <c r="M9894" i="6"/>
  <c r="M9895" i="6"/>
  <c r="M9896" i="6"/>
  <c r="M9897" i="6"/>
  <c r="M9898" i="6"/>
  <c r="M9899" i="6"/>
  <c r="M9900" i="6"/>
  <c r="M9901" i="6"/>
  <c r="M9902" i="6"/>
  <c r="M9903" i="6"/>
  <c r="M9904" i="6"/>
  <c r="M9905" i="6"/>
  <c r="M9906" i="6"/>
  <c r="M9907" i="6"/>
  <c r="M9908" i="6"/>
  <c r="M9909" i="6"/>
  <c r="M9910" i="6"/>
  <c r="M9911" i="6"/>
  <c r="M9912" i="6"/>
  <c r="M9913" i="6"/>
  <c r="M9914" i="6"/>
  <c r="M9915" i="6"/>
  <c r="M9916" i="6"/>
  <c r="M9917" i="6"/>
  <c r="M9918" i="6"/>
  <c r="M9919" i="6"/>
  <c r="M9920" i="6"/>
  <c r="M9921" i="6"/>
  <c r="M9922" i="6"/>
  <c r="M9923" i="6"/>
  <c r="M9924" i="6"/>
  <c r="M9925" i="6"/>
  <c r="M9926" i="6"/>
  <c r="M9927" i="6"/>
  <c r="M9928" i="6"/>
  <c r="M9929" i="6"/>
  <c r="M9930" i="6"/>
  <c r="M9931" i="6"/>
  <c r="M9932" i="6"/>
  <c r="M9933" i="6"/>
  <c r="M9934" i="6"/>
  <c r="M9935" i="6"/>
  <c r="M9936" i="6"/>
  <c r="M9937" i="6"/>
  <c r="M9938" i="6"/>
  <c r="M9939" i="6"/>
  <c r="M9940" i="6"/>
  <c r="M9941" i="6"/>
  <c r="M9942" i="6"/>
  <c r="M9943" i="6"/>
  <c r="M9944" i="6"/>
  <c r="M9945" i="6"/>
  <c r="M9946" i="6"/>
  <c r="M9947" i="6"/>
  <c r="M9948" i="6"/>
  <c r="M9949" i="6"/>
  <c r="M9950" i="6"/>
  <c r="M9951" i="6"/>
  <c r="M9952" i="6"/>
  <c r="M9953" i="6"/>
  <c r="M9954" i="6"/>
  <c r="M9955" i="6"/>
  <c r="M9956" i="6"/>
  <c r="M9957" i="6"/>
  <c r="M9958" i="6"/>
  <c r="M9959" i="6"/>
  <c r="M9960" i="6"/>
  <c r="M9961" i="6"/>
  <c r="M9962" i="6"/>
  <c r="M9963" i="6"/>
  <c r="M9964" i="6"/>
  <c r="M9965" i="6"/>
  <c r="M9966" i="6"/>
  <c r="M9967" i="6"/>
  <c r="M9968" i="6"/>
  <c r="M9969" i="6"/>
  <c r="M9970" i="6"/>
  <c r="M9971" i="6"/>
  <c r="M9972" i="6"/>
  <c r="M9973" i="6"/>
  <c r="M9974" i="6"/>
  <c r="M9975" i="6"/>
  <c r="M9976" i="6"/>
  <c r="M9977" i="6"/>
  <c r="M9978" i="6"/>
  <c r="M9979" i="6"/>
  <c r="M9980" i="6"/>
  <c r="M9981" i="6"/>
  <c r="M9982" i="6"/>
  <c r="M9983" i="6"/>
  <c r="M9984" i="6"/>
  <c r="M9985" i="6"/>
  <c r="M9986" i="6"/>
  <c r="M9987" i="6"/>
  <c r="M9988" i="6"/>
  <c r="M9989" i="6"/>
  <c r="M9990" i="6"/>
  <c r="M9991" i="6"/>
  <c r="M9992" i="6"/>
  <c r="M9993" i="6"/>
  <c r="M9994" i="6"/>
  <c r="M9995" i="6"/>
  <c r="M9996" i="6"/>
  <c r="M9997" i="6"/>
  <c r="M9998" i="6"/>
  <c r="M9999" i="6"/>
  <c r="M10000" i="6"/>
  <c r="M10001" i="6"/>
  <c r="M10002" i="6"/>
  <c r="M10003" i="6"/>
  <c r="M10004" i="6"/>
  <c r="M10005" i="6"/>
  <c r="M10006" i="6"/>
  <c r="M10007" i="6"/>
  <c r="M10008" i="6"/>
  <c r="M10009" i="6"/>
  <c r="M10010" i="6"/>
  <c r="M10011" i="6"/>
  <c r="M10012" i="6"/>
  <c r="M10013" i="6"/>
  <c r="M10014" i="6"/>
  <c r="M10015" i="6"/>
  <c r="M10016" i="6"/>
  <c r="M10017" i="6"/>
  <c r="M10018" i="6"/>
  <c r="M10019" i="6"/>
  <c r="M10020" i="6"/>
  <c r="M10021" i="6"/>
  <c r="M10022" i="6"/>
  <c r="M10023" i="6"/>
  <c r="M10024" i="6"/>
  <c r="M10025" i="6"/>
  <c r="M10026" i="6"/>
  <c r="M10027" i="6"/>
  <c r="M10028" i="6"/>
  <c r="M10029" i="6"/>
  <c r="M10030" i="6"/>
  <c r="M10031" i="6"/>
  <c r="M10032" i="6"/>
  <c r="M10033" i="6"/>
  <c r="M10034" i="6"/>
  <c r="M10035" i="6"/>
  <c r="M10036" i="6"/>
  <c r="M10037" i="6"/>
  <c r="M10038" i="6"/>
  <c r="M10039" i="6"/>
  <c r="M10040" i="6"/>
  <c r="M10041" i="6"/>
  <c r="M10042" i="6"/>
  <c r="M10043" i="6"/>
  <c r="M10044" i="6"/>
  <c r="M10045" i="6"/>
  <c r="M10046" i="6"/>
  <c r="M10047" i="6"/>
  <c r="M10048" i="6"/>
  <c r="M10049" i="6"/>
  <c r="M10050" i="6"/>
  <c r="M10051" i="6"/>
  <c r="M10052" i="6"/>
  <c r="M10053" i="6"/>
  <c r="M10054" i="6"/>
  <c r="M10055" i="6"/>
  <c r="M10056" i="6"/>
  <c r="M10057" i="6"/>
  <c r="M10058" i="6"/>
  <c r="M10059" i="6"/>
  <c r="M10060" i="6"/>
  <c r="M10061" i="6"/>
  <c r="M10062" i="6"/>
  <c r="M10063" i="6"/>
  <c r="M10064" i="6"/>
  <c r="M10065" i="6"/>
  <c r="M10066" i="6"/>
  <c r="M10067" i="6"/>
  <c r="M10068" i="6"/>
  <c r="M10069" i="6"/>
  <c r="M10070" i="6"/>
  <c r="M10071" i="6"/>
  <c r="M10072" i="6"/>
  <c r="M10073" i="6"/>
  <c r="M10074" i="6"/>
  <c r="M10075" i="6"/>
  <c r="M10076" i="6"/>
  <c r="M10077" i="6"/>
  <c r="M10078" i="6"/>
  <c r="M10079" i="6"/>
  <c r="M10080" i="6"/>
  <c r="M10081" i="6"/>
  <c r="M10082" i="6"/>
  <c r="M10083" i="6"/>
  <c r="M10084" i="6"/>
  <c r="M10085" i="6"/>
  <c r="M10086" i="6"/>
  <c r="M10087" i="6"/>
  <c r="M10088" i="6"/>
  <c r="M10089" i="6"/>
  <c r="M10090" i="6"/>
  <c r="M10091" i="6"/>
  <c r="M10092" i="6"/>
  <c r="M10093" i="6"/>
  <c r="M10094" i="6"/>
  <c r="M10095" i="6"/>
  <c r="M10096" i="6"/>
  <c r="M10097" i="6"/>
  <c r="M10098" i="6"/>
  <c r="M10099" i="6"/>
  <c r="M10100" i="6"/>
  <c r="M10101" i="6"/>
  <c r="M10102" i="6"/>
  <c r="M10103" i="6"/>
  <c r="M10104" i="6"/>
  <c r="M10105" i="6"/>
  <c r="M10106" i="6"/>
  <c r="M10107" i="6"/>
  <c r="M10108" i="6"/>
  <c r="M10109" i="6"/>
  <c r="M10110" i="6"/>
  <c r="M10111" i="6"/>
  <c r="M10112" i="6"/>
  <c r="M10113" i="6"/>
  <c r="M10114" i="6"/>
  <c r="M10115" i="6"/>
  <c r="M10116" i="6"/>
  <c r="M10117" i="6"/>
  <c r="M10118" i="6"/>
  <c r="M10119" i="6"/>
  <c r="M10120" i="6"/>
  <c r="M10121" i="6"/>
  <c r="M10122" i="6"/>
  <c r="M10123" i="6"/>
  <c r="M10124" i="6"/>
  <c r="M10125" i="6"/>
  <c r="M10126" i="6"/>
  <c r="M10127" i="6"/>
  <c r="M10128" i="6"/>
  <c r="M10129" i="6"/>
  <c r="M10130" i="6"/>
  <c r="M10131" i="6"/>
  <c r="M10132" i="6"/>
  <c r="M10133" i="6"/>
  <c r="M10134" i="6"/>
  <c r="M10135" i="6"/>
  <c r="M10136" i="6"/>
  <c r="M10137" i="6"/>
  <c r="M10138" i="6"/>
  <c r="M10139" i="6"/>
  <c r="M10140" i="6"/>
  <c r="M10141" i="6"/>
  <c r="M10142" i="6"/>
  <c r="M10143" i="6"/>
  <c r="M10144" i="6"/>
  <c r="M10145" i="6"/>
  <c r="M10146" i="6"/>
  <c r="M10147" i="6"/>
  <c r="M10148" i="6"/>
  <c r="M10149" i="6"/>
  <c r="M10150" i="6"/>
  <c r="M10151" i="6"/>
  <c r="M10152" i="6"/>
  <c r="M10153" i="6"/>
  <c r="M10154" i="6"/>
  <c r="M10155" i="6"/>
  <c r="M10156" i="6"/>
  <c r="M10157" i="6"/>
  <c r="M10158" i="6"/>
  <c r="M10159" i="6"/>
  <c r="M10160" i="6"/>
  <c r="M10161" i="6"/>
  <c r="M10162" i="6"/>
  <c r="M10163" i="6"/>
  <c r="M10164" i="6"/>
  <c r="M10165" i="6"/>
  <c r="M10166" i="6"/>
  <c r="M10167" i="6"/>
  <c r="M10168" i="6"/>
  <c r="M10169" i="6"/>
  <c r="M10170" i="6"/>
  <c r="M10171" i="6"/>
  <c r="M10172" i="6"/>
  <c r="M10173" i="6"/>
  <c r="M10174" i="6"/>
  <c r="M10175" i="6"/>
  <c r="M10176" i="6"/>
  <c r="M10177" i="6"/>
  <c r="M10178" i="6"/>
  <c r="M10179" i="6"/>
  <c r="M10180" i="6"/>
  <c r="M10181" i="6"/>
  <c r="M10182" i="6"/>
  <c r="M10183" i="6"/>
  <c r="M10184" i="6"/>
  <c r="M10185" i="6"/>
  <c r="M10186" i="6"/>
  <c r="M10187" i="6"/>
  <c r="M10188" i="6"/>
  <c r="M10189" i="6"/>
  <c r="M10190" i="6"/>
  <c r="M10191" i="6"/>
  <c r="M10192" i="6"/>
  <c r="M10193" i="6"/>
  <c r="M10194" i="6"/>
  <c r="M10195" i="6"/>
  <c r="M10196" i="6"/>
  <c r="M10197" i="6"/>
  <c r="M10198" i="6"/>
  <c r="M10199" i="6"/>
  <c r="M10200" i="6"/>
  <c r="M10201" i="6"/>
  <c r="M10202" i="6"/>
  <c r="M10203" i="6"/>
  <c r="M10204" i="6"/>
  <c r="M10205" i="6"/>
  <c r="M10206" i="6"/>
  <c r="M10207" i="6"/>
  <c r="M10208" i="6"/>
  <c r="M10209" i="6"/>
  <c r="M10210" i="6"/>
  <c r="M10211" i="6"/>
  <c r="M10212" i="6"/>
  <c r="M10213" i="6"/>
  <c r="M10214" i="6"/>
  <c r="M10215" i="6"/>
  <c r="M10216" i="6"/>
  <c r="M10217" i="6"/>
  <c r="M10218" i="6"/>
  <c r="M10219" i="6"/>
  <c r="M10220" i="6"/>
  <c r="M10221" i="6"/>
  <c r="M10222" i="6"/>
  <c r="M10223" i="6"/>
  <c r="M10224" i="6"/>
  <c r="M10225" i="6"/>
  <c r="M10226" i="6"/>
  <c r="M10227" i="6"/>
  <c r="M10228" i="6"/>
  <c r="M10229" i="6"/>
  <c r="M10230" i="6"/>
  <c r="M10231" i="6"/>
  <c r="M10232" i="6"/>
  <c r="M10233" i="6"/>
  <c r="M10234" i="6"/>
  <c r="M10235" i="6"/>
  <c r="M10236" i="6"/>
  <c r="M10237" i="6"/>
  <c r="M10238" i="6"/>
  <c r="M10239" i="6"/>
  <c r="M10240" i="6"/>
  <c r="M10241" i="6"/>
  <c r="M10242" i="6"/>
  <c r="M10243" i="6"/>
  <c r="M10244" i="6"/>
  <c r="M10245" i="6"/>
  <c r="M10246" i="6"/>
  <c r="M10247" i="6"/>
  <c r="M10248" i="6"/>
  <c r="M10249" i="6"/>
  <c r="M10250" i="6"/>
  <c r="M10251" i="6"/>
  <c r="M10252" i="6"/>
  <c r="M10253" i="6"/>
  <c r="M10254" i="6"/>
  <c r="M10255" i="6"/>
  <c r="M10256" i="6"/>
  <c r="M10257" i="6"/>
  <c r="M10258" i="6"/>
  <c r="M10259" i="6"/>
  <c r="M10260" i="6"/>
  <c r="M10261" i="6"/>
  <c r="M10262" i="6"/>
  <c r="M10263" i="6"/>
  <c r="M10264" i="6"/>
  <c r="M10265" i="6"/>
  <c r="M10266" i="6"/>
  <c r="M10267" i="6"/>
  <c r="M10268" i="6"/>
  <c r="M10269" i="6"/>
  <c r="M10270" i="6"/>
  <c r="M10271" i="6"/>
  <c r="M10272" i="6"/>
  <c r="M10273" i="6"/>
  <c r="M10274" i="6"/>
  <c r="M10275" i="6"/>
  <c r="M10276" i="6"/>
  <c r="M10277" i="6"/>
  <c r="M10278" i="6"/>
  <c r="M10279" i="6"/>
  <c r="M10280" i="6"/>
  <c r="M10281" i="6"/>
  <c r="M10282" i="6"/>
  <c r="M10283" i="6"/>
  <c r="M10284" i="6"/>
  <c r="M10285" i="6"/>
  <c r="M10286" i="6"/>
  <c r="M10287" i="6"/>
  <c r="M10288" i="6"/>
  <c r="M10289" i="6"/>
  <c r="M10290" i="6"/>
  <c r="M10291" i="6"/>
  <c r="M10292" i="6"/>
  <c r="M10293" i="6"/>
  <c r="M10294" i="6"/>
  <c r="M10295" i="6"/>
  <c r="M10296" i="6"/>
  <c r="M10297" i="6"/>
  <c r="M10298" i="6"/>
  <c r="M10299" i="6"/>
  <c r="M10300" i="6"/>
  <c r="M10301" i="6"/>
  <c r="M10302" i="6"/>
  <c r="M10303" i="6"/>
  <c r="M10304" i="6"/>
  <c r="M10305" i="6"/>
  <c r="M10306" i="6"/>
  <c r="M10307" i="6"/>
  <c r="M10308" i="6"/>
  <c r="M10309" i="6"/>
  <c r="M10310" i="6"/>
  <c r="M10311" i="6"/>
  <c r="M10312" i="6"/>
  <c r="M10313" i="6"/>
  <c r="M10314" i="6"/>
  <c r="M10315" i="6"/>
  <c r="M10316" i="6"/>
  <c r="M10317" i="6"/>
  <c r="M10318" i="6"/>
  <c r="M10319" i="6"/>
  <c r="M10320" i="6"/>
  <c r="M10321" i="6"/>
  <c r="M10322" i="6"/>
  <c r="M10323" i="6"/>
  <c r="M10324" i="6"/>
  <c r="M10325" i="6"/>
  <c r="M10326" i="6"/>
  <c r="M10327" i="6"/>
  <c r="M10328" i="6"/>
  <c r="M10329" i="6"/>
  <c r="M10330" i="6"/>
  <c r="M10331" i="6"/>
  <c r="M10332" i="6"/>
  <c r="M10333" i="6"/>
  <c r="M10334" i="6"/>
  <c r="M10335" i="6"/>
  <c r="M10336" i="6"/>
  <c r="M10337" i="6"/>
  <c r="M10338" i="6"/>
  <c r="M10339" i="6"/>
  <c r="M10340" i="6"/>
  <c r="M10341" i="6"/>
  <c r="M10342" i="6"/>
  <c r="M10343" i="6"/>
  <c r="M10344" i="6"/>
  <c r="M10345" i="6"/>
  <c r="M10346" i="6"/>
  <c r="M10347" i="6"/>
  <c r="M10348" i="6"/>
  <c r="M10349" i="6"/>
  <c r="M10350" i="6"/>
  <c r="M10351" i="6"/>
  <c r="M10352" i="6"/>
  <c r="M10353" i="6"/>
  <c r="M10354" i="6"/>
  <c r="M10355" i="6"/>
  <c r="M10356" i="6"/>
  <c r="M10357" i="6"/>
  <c r="M10358" i="6"/>
  <c r="M10359" i="6"/>
  <c r="M10360" i="6"/>
  <c r="M10361" i="6"/>
  <c r="M10362" i="6"/>
  <c r="M10363" i="6"/>
  <c r="M10364" i="6"/>
  <c r="M10365" i="6"/>
  <c r="M10366" i="6"/>
  <c r="M10367" i="6"/>
  <c r="M10368" i="6"/>
  <c r="M10369" i="6"/>
  <c r="M10370" i="6"/>
  <c r="M10371" i="6"/>
  <c r="M10372" i="6"/>
  <c r="M10373" i="6"/>
  <c r="M10374" i="6"/>
  <c r="M10375" i="6"/>
  <c r="M10376" i="6"/>
  <c r="M10377" i="6"/>
  <c r="M10378" i="6"/>
  <c r="M10379" i="6"/>
  <c r="M10380" i="6"/>
  <c r="M10381" i="6"/>
  <c r="M10382" i="6"/>
  <c r="M10383" i="6"/>
  <c r="M10384" i="6"/>
  <c r="M10385" i="6"/>
  <c r="M10386" i="6"/>
  <c r="M10387" i="6"/>
  <c r="M10388" i="6"/>
  <c r="M10389" i="6"/>
  <c r="M10390" i="6"/>
  <c r="M10391" i="6"/>
  <c r="M10392" i="6"/>
  <c r="M10393" i="6"/>
  <c r="M10394" i="6"/>
  <c r="M10395" i="6"/>
  <c r="M10396" i="6"/>
  <c r="M10397" i="6"/>
  <c r="M10398" i="6"/>
  <c r="M10399" i="6"/>
  <c r="M10400" i="6"/>
  <c r="M10401" i="6"/>
  <c r="M10402" i="6"/>
  <c r="M10403" i="6"/>
  <c r="M10404" i="6"/>
  <c r="M10405" i="6"/>
  <c r="M10406" i="6"/>
  <c r="M10407" i="6"/>
  <c r="M10408" i="6"/>
  <c r="M10409" i="6"/>
  <c r="M10410" i="6"/>
  <c r="M10411" i="6"/>
  <c r="M10412" i="6"/>
  <c r="M10413" i="6"/>
  <c r="M10414" i="6"/>
  <c r="M10415" i="6"/>
  <c r="M10416" i="6"/>
  <c r="M10417" i="6"/>
  <c r="M10418" i="6"/>
  <c r="M10419" i="6"/>
  <c r="M10420" i="6"/>
  <c r="M10421" i="6"/>
  <c r="M10422" i="6"/>
  <c r="M10423" i="6"/>
  <c r="M10424" i="6"/>
  <c r="M10425" i="6"/>
  <c r="M10426" i="6"/>
  <c r="M10427" i="6"/>
  <c r="M10428" i="6"/>
  <c r="M10429" i="6"/>
  <c r="M10430" i="6"/>
  <c r="M10431" i="6"/>
  <c r="M10432" i="6"/>
  <c r="M10433" i="6"/>
  <c r="M10434" i="6"/>
  <c r="M10435" i="6"/>
  <c r="M10436" i="6"/>
  <c r="M10437" i="6"/>
  <c r="M10438" i="6"/>
  <c r="M10439" i="6"/>
  <c r="M10440" i="6"/>
  <c r="M10441" i="6"/>
  <c r="M10442" i="6"/>
  <c r="M10443" i="6"/>
  <c r="M10444" i="6"/>
  <c r="M10445" i="6"/>
  <c r="M10446" i="6"/>
  <c r="M10447" i="6"/>
  <c r="M10448" i="6"/>
  <c r="M10449" i="6"/>
  <c r="M10450" i="6"/>
  <c r="M10451" i="6"/>
  <c r="M10452" i="6"/>
  <c r="M10453" i="6"/>
  <c r="M10454" i="6"/>
  <c r="M10455" i="6"/>
  <c r="M10456" i="6"/>
  <c r="M10457" i="6"/>
  <c r="M10458" i="6"/>
  <c r="M10459" i="6"/>
  <c r="M10460" i="6"/>
  <c r="M10461" i="6"/>
  <c r="M10462" i="6"/>
  <c r="M10463" i="6"/>
  <c r="M10464" i="6"/>
  <c r="M10465" i="6"/>
  <c r="M10466" i="6"/>
  <c r="M10467" i="6"/>
  <c r="M10468" i="6"/>
  <c r="M10469" i="6"/>
  <c r="M10470" i="6"/>
  <c r="M10471" i="6"/>
  <c r="M10472" i="6"/>
  <c r="M10473" i="6"/>
  <c r="M10474" i="6"/>
  <c r="M10475" i="6"/>
  <c r="M10476" i="6"/>
  <c r="M10477" i="6"/>
  <c r="M10478" i="6"/>
  <c r="M10479" i="6"/>
  <c r="M10480" i="6"/>
  <c r="M10481" i="6"/>
  <c r="M10482" i="6"/>
  <c r="M10483" i="6"/>
  <c r="M10484" i="6"/>
  <c r="M10485" i="6"/>
  <c r="M10486" i="6"/>
  <c r="M10487" i="6"/>
  <c r="M10488" i="6"/>
  <c r="M10489" i="6"/>
  <c r="M10490" i="6"/>
  <c r="M10491" i="6"/>
  <c r="M10492" i="6"/>
  <c r="M10493" i="6"/>
  <c r="M10494" i="6"/>
  <c r="M10495" i="6"/>
  <c r="M10496" i="6"/>
  <c r="M10497" i="6"/>
  <c r="M10498" i="6"/>
  <c r="M10499" i="6"/>
  <c r="M10500" i="6"/>
  <c r="M10501" i="6"/>
  <c r="M10502" i="6"/>
  <c r="M10503" i="6"/>
  <c r="M10504" i="6"/>
  <c r="M10505" i="6"/>
  <c r="M10506" i="6"/>
  <c r="M10507" i="6"/>
  <c r="M10508" i="6"/>
  <c r="M10509" i="6"/>
  <c r="M10510" i="6"/>
  <c r="M10511" i="6"/>
  <c r="M10512" i="6"/>
  <c r="M10513" i="6"/>
  <c r="M10514" i="6"/>
  <c r="M10515" i="6"/>
  <c r="M10516" i="6"/>
  <c r="M10517" i="6"/>
  <c r="M10518" i="6"/>
  <c r="M10519" i="6"/>
  <c r="M10520" i="6"/>
  <c r="M10521" i="6"/>
  <c r="M10522" i="6"/>
  <c r="M10523" i="6"/>
  <c r="M10524" i="6"/>
  <c r="M10525" i="6"/>
  <c r="M10526" i="6"/>
  <c r="M10527" i="6"/>
  <c r="M10528" i="6"/>
  <c r="M10529" i="6"/>
  <c r="M10530" i="6"/>
  <c r="M10531" i="6"/>
  <c r="M10532" i="6"/>
  <c r="M10533" i="6"/>
  <c r="M10534" i="6"/>
  <c r="M10535" i="6"/>
  <c r="M10536" i="6"/>
  <c r="M10537" i="6"/>
  <c r="M10538" i="6"/>
  <c r="M10539" i="6"/>
  <c r="M10540" i="6"/>
  <c r="M10541" i="6"/>
  <c r="M10542" i="6"/>
  <c r="M10543" i="6"/>
  <c r="M10544" i="6"/>
  <c r="M10545" i="6"/>
  <c r="M10546" i="6"/>
  <c r="M10547" i="6"/>
  <c r="M10548" i="6"/>
  <c r="M10549" i="6"/>
  <c r="M10550" i="6"/>
  <c r="M10551" i="6"/>
  <c r="M10552" i="6"/>
  <c r="M10553" i="6"/>
  <c r="M10554" i="6"/>
  <c r="M10555" i="6"/>
  <c r="M10556" i="6"/>
  <c r="M10557" i="6"/>
  <c r="M10558" i="6"/>
  <c r="M10559" i="6"/>
  <c r="M10560" i="6"/>
  <c r="M10561" i="6"/>
  <c r="M10562" i="6"/>
  <c r="M10563" i="6"/>
  <c r="M10564" i="6"/>
  <c r="M10565" i="6"/>
  <c r="M10566" i="6"/>
  <c r="M10567" i="6"/>
  <c r="M10568" i="6"/>
  <c r="M10569" i="6"/>
  <c r="M10570" i="6"/>
  <c r="M10571" i="6"/>
  <c r="M10572" i="6"/>
  <c r="M10573" i="6"/>
  <c r="M10574" i="6"/>
  <c r="M10575" i="6"/>
  <c r="M10576" i="6"/>
  <c r="M10577" i="6"/>
  <c r="M10578" i="6"/>
  <c r="M10579" i="6"/>
  <c r="M10580" i="6"/>
  <c r="M10581" i="6"/>
  <c r="M10582" i="6"/>
  <c r="M10583" i="6"/>
  <c r="M10584" i="6"/>
  <c r="M10585" i="6"/>
  <c r="M10586" i="6"/>
  <c r="M10587" i="6"/>
  <c r="M10588" i="6"/>
  <c r="M10589" i="6"/>
  <c r="M10590" i="6"/>
  <c r="M10591" i="6"/>
  <c r="M10592" i="6"/>
  <c r="M10593" i="6"/>
  <c r="M10594" i="6"/>
  <c r="M10595" i="6"/>
  <c r="M10596" i="6"/>
  <c r="M10597" i="6"/>
  <c r="M10598" i="6"/>
  <c r="M10599" i="6"/>
  <c r="M10600" i="6"/>
  <c r="M10601" i="6"/>
  <c r="M10602" i="6"/>
  <c r="M10603" i="6"/>
  <c r="M10604" i="6"/>
  <c r="M10605" i="6"/>
  <c r="M10606" i="6"/>
  <c r="M10607" i="6"/>
  <c r="M10608" i="6"/>
  <c r="M10609" i="6"/>
  <c r="M10610" i="6"/>
  <c r="M10611" i="6"/>
  <c r="M10612" i="6"/>
  <c r="M10613" i="6"/>
  <c r="M10614" i="6"/>
  <c r="M10615" i="6"/>
  <c r="M10616" i="6"/>
  <c r="M10617" i="6"/>
  <c r="M10618" i="6"/>
  <c r="M10619" i="6"/>
  <c r="M10620" i="6"/>
  <c r="M10621" i="6"/>
  <c r="M10622" i="6"/>
  <c r="M10623" i="6"/>
  <c r="M10624" i="6"/>
  <c r="M10625" i="6"/>
  <c r="M10626" i="6"/>
  <c r="M10627" i="6"/>
  <c r="M10628" i="6"/>
  <c r="M10629" i="6"/>
  <c r="M10630" i="6"/>
  <c r="M10631" i="6"/>
  <c r="M10632" i="6"/>
  <c r="M10633" i="6"/>
  <c r="M10634" i="6"/>
  <c r="M10635" i="6"/>
  <c r="M10636" i="6"/>
  <c r="M10637" i="6"/>
  <c r="M10638" i="6"/>
  <c r="M10639" i="6"/>
  <c r="M10640" i="6"/>
  <c r="M10641" i="6"/>
  <c r="M10642" i="6"/>
  <c r="M10643" i="6"/>
  <c r="M10644" i="6"/>
  <c r="M10645" i="6"/>
  <c r="M10646" i="6"/>
  <c r="M10647" i="6"/>
  <c r="M10648" i="6"/>
  <c r="M10649" i="6"/>
  <c r="M10650" i="6"/>
  <c r="M10651" i="6"/>
  <c r="M10652" i="6"/>
  <c r="M10653" i="6"/>
  <c r="M10654" i="6"/>
  <c r="M10655" i="6"/>
  <c r="M10656" i="6"/>
  <c r="M10657" i="6"/>
  <c r="M10658" i="6"/>
  <c r="M10659" i="6"/>
  <c r="M10660" i="6"/>
  <c r="M10661" i="6"/>
  <c r="M10662" i="6"/>
  <c r="M10663" i="6"/>
  <c r="M10664" i="6"/>
  <c r="M10665" i="6"/>
  <c r="M10666" i="6"/>
  <c r="M10667" i="6"/>
  <c r="M10668" i="6"/>
  <c r="M10669" i="6"/>
  <c r="M10670" i="6"/>
  <c r="M10671" i="6"/>
  <c r="M10672" i="6"/>
  <c r="M10673" i="6"/>
  <c r="M10674" i="6"/>
  <c r="M10675" i="6"/>
  <c r="M10676" i="6"/>
  <c r="M10677" i="6"/>
  <c r="M10678" i="6"/>
  <c r="M10679" i="6"/>
  <c r="M10680" i="6"/>
  <c r="M10681" i="6"/>
  <c r="M10682" i="6"/>
  <c r="M10683" i="6"/>
  <c r="M10684" i="6"/>
  <c r="M10685" i="6"/>
  <c r="M10686" i="6"/>
  <c r="M10687" i="6"/>
  <c r="M10688" i="6"/>
  <c r="M10689" i="6"/>
  <c r="M10690" i="6"/>
  <c r="M10691" i="6"/>
  <c r="M10692" i="6"/>
  <c r="M10693" i="6"/>
  <c r="M10694" i="6"/>
  <c r="M10695" i="6"/>
  <c r="M10696" i="6"/>
  <c r="M10697" i="6"/>
  <c r="M10698" i="6"/>
  <c r="M10699" i="6"/>
  <c r="M10700" i="6"/>
  <c r="M10701" i="6"/>
  <c r="M10702" i="6"/>
  <c r="M10703" i="6"/>
  <c r="M10704" i="6"/>
  <c r="M10705" i="6"/>
  <c r="M10706" i="6"/>
  <c r="M10707" i="6"/>
  <c r="M10708" i="6"/>
  <c r="M10709" i="6"/>
  <c r="M10710" i="6"/>
  <c r="M10711" i="6"/>
  <c r="M10712" i="6"/>
  <c r="M10713" i="6"/>
  <c r="M10714" i="6"/>
  <c r="M10715" i="6"/>
  <c r="M10716" i="6"/>
  <c r="M10717" i="6"/>
  <c r="M10718" i="6"/>
  <c r="M10719" i="6"/>
  <c r="M10720" i="6"/>
  <c r="M10721" i="6"/>
  <c r="M10722" i="6"/>
  <c r="M10723" i="6"/>
  <c r="M10724" i="6"/>
  <c r="M10725" i="6"/>
  <c r="M10726" i="6"/>
  <c r="M10727" i="6"/>
  <c r="M10728" i="6"/>
  <c r="M10729" i="6"/>
  <c r="M10730" i="6"/>
  <c r="M10731" i="6"/>
  <c r="M10732" i="6"/>
  <c r="M10733" i="6"/>
  <c r="M10734" i="6"/>
  <c r="M10735" i="6"/>
  <c r="M10736" i="6"/>
  <c r="M10737" i="6"/>
  <c r="M10738" i="6"/>
  <c r="M10739" i="6"/>
  <c r="M10740" i="6"/>
  <c r="M10741" i="6"/>
  <c r="M10742" i="6"/>
  <c r="M10743" i="6"/>
  <c r="M10744" i="6"/>
  <c r="M10745" i="6"/>
  <c r="M10746" i="6"/>
  <c r="M10747" i="6"/>
  <c r="M10748" i="6"/>
  <c r="M10749" i="6"/>
  <c r="M10750" i="6"/>
  <c r="M10751" i="6"/>
  <c r="M10752" i="6"/>
  <c r="M10753" i="6"/>
  <c r="M10754" i="6"/>
  <c r="M10755" i="6"/>
  <c r="M10756" i="6"/>
  <c r="M10757" i="6"/>
  <c r="M10758" i="6"/>
  <c r="M10759" i="6"/>
  <c r="M10760" i="6"/>
  <c r="M10761" i="6"/>
  <c r="M10762" i="6"/>
  <c r="M10763" i="6"/>
  <c r="M10764" i="6"/>
  <c r="M10765" i="6"/>
  <c r="M10766" i="6"/>
  <c r="M10767" i="6"/>
  <c r="M10768" i="6"/>
  <c r="M10769" i="6"/>
  <c r="M10770" i="6"/>
  <c r="M10771" i="6"/>
  <c r="M10772" i="6"/>
  <c r="M10773" i="6"/>
  <c r="M10774" i="6"/>
  <c r="M10775" i="6"/>
  <c r="M10776" i="6"/>
  <c r="M10777" i="6"/>
  <c r="M10778" i="6"/>
  <c r="M10779" i="6"/>
  <c r="M10780" i="6"/>
  <c r="M10781" i="6"/>
  <c r="M10782" i="6"/>
  <c r="M10783" i="6"/>
  <c r="M10784" i="6"/>
  <c r="M10785" i="6"/>
  <c r="M10786" i="6"/>
  <c r="M10787" i="6"/>
  <c r="M10788" i="6"/>
  <c r="M10789" i="6"/>
  <c r="M10790" i="6"/>
  <c r="M10791" i="6"/>
  <c r="M10792" i="6"/>
  <c r="M10793" i="6"/>
  <c r="M10794" i="6"/>
  <c r="M10795" i="6"/>
  <c r="M10796" i="6"/>
  <c r="M10797" i="6"/>
  <c r="M10798" i="6"/>
  <c r="M10799" i="6"/>
  <c r="M10800" i="6"/>
  <c r="M10801" i="6"/>
  <c r="M10802" i="6"/>
  <c r="M10803" i="6"/>
  <c r="M10804" i="6"/>
  <c r="M10805" i="6"/>
  <c r="M10806" i="6"/>
  <c r="M10807" i="6"/>
  <c r="M10808" i="6"/>
  <c r="M10809" i="6"/>
  <c r="M10810" i="6"/>
  <c r="M10811" i="6"/>
  <c r="M10812" i="6"/>
  <c r="M10813" i="6"/>
  <c r="M10814" i="6"/>
  <c r="M10815" i="6"/>
  <c r="M10816" i="6"/>
  <c r="M10817" i="6"/>
  <c r="M10818" i="6"/>
  <c r="M10819" i="6"/>
  <c r="M10820" i="6"/>
  <c r="M10821" i="6"/>
  <c r="M10822" i="6"/>
  <c r="M10823" i="6"/>
  <c r="M10824" i="6"/>
  <c r="M10825" i="6"/>
  <c r="M10826" i="6"/>
  <c r="M10827" i="6"/>
  <c r="M10828" i="6"/>
  <c r="M10829" i="6"/>
  <c r="M10830" i="6"/>
  <c r="M10831" i="6"/>
  <c r="M10832" i="6"/>
  <c r="M10833" i="6"/>
  <c r="M10834" i="6"/>
  <c r="M10835" i="6"/>
  <c r="M10836" i="6"/>
  <c r="M10837" i="6"/>
  <c r="M10838" i="6"/>
  <c r="M10839" i="6"/>
  <c r="M10840" i="6"/>
  <c r="M10841" i="6"/>
  <c r="M10842" i="6"/>
  <c r="M10843" i="6"/>
  <c r="M10844" i="6"/>
  <c r="M10845" i="6"/>
  <c r="M10846" i="6"/>
  <c r="M10847" i="6"/>
  <c r="M10848" i="6"/>
  <c r="M10849" i="6"/>
  <c r="M10850" i="6"/>
  <c r="M10851" i="6"/>
  <c r="M10852" i="6"/>
  <c r="M10853" i="6"/>
  <c r="M10854" i="6"/>
  <c r="M10855" i="6"/>
  <c r="M10856" i="6"/>
  <c r="M10857" i="6"/>
  <c r="M10858" i="6"/>
  <c r="M10859" i="6"/>
  <c r="M10860" i="6"/>
  <c r="M10861" i="6"/>
  <c r="M10862" i="6"/>
  <c r="M10863" i="6"/>
  <c r="M10864" i="6"/>
  <c r="M10865" i="6"/>
  <c r="M10866" i="6"/>
  <c r="M10867" i="6"/>
  <c r="M10868" i="6"/>
  <c r="M10869" i="6"/>
  <c r="M10870" i="6"/>
  <c r="M10871" i="6"/>
  <c r="M10872" i="6"/>
  <c r="M10873" i="6"/>
  <c r="M10874" i="6"/>
  <c r="M10875" i="6"/>
  <c r="M10876" i="6"/>
  <c r="M10877" i="6"/>
  <c r="M10878" i="6"/>
  <c r="M10879" i="6"/>
  <c r="M10880" i="6"/>
  <c r="M10881" i="6"/>
  <c r="M10882" i="6"/>
  <c r="M10883" i="6"/>
  <c r="M10884" i="6"/>
  <c r="M10885" i="6"/>
  <c r="M10886" i="6"/>
  <c r="M10887" i="6"/>
  <c r="M10888" i="6"/>
  <c r="M10889" i="6"/>
  <c r="M10890" i="6"/>
  <c r="M10891" i="6"/>
  <c r="M10892" i="6"/>
  <c r="M10893" i="6"/>
  <c r="M10894" i="6"/>
  <c r="M10895" i="6"/>
  <c r="M10896" i="6"/>
  <c r="M10897" i="6"/>
  <c r="M10898" i="6"/>
  <c r="M10899" i="6"/>
  <c r="M10900" i="6"/>
  <c r="M10901" i="6"/>
  <c r="M10902" i="6"/>
  <c r="M10903" i="6"/>
  <c r="M10904" i="6"/>
  <c r="M10905" i="6"/>
  <c r="M10906" i="6"/>
  <c r="M10907" i="6"/>
  <c r="M10908" i="6"/>
  <c r="M10909" i="6"/>
  <c r="M10910" i="6"/>
  <c r="M10911" i="6"/>
  <c r="M10912" i="6"/>
  <c r="M10913" i="6"/>
  <c r="M10914" i="6"/>
  <c r="M10915" i="6"/>
  <c r="M10916" i="6"/>
  <c r="M10917" i="6"/>
  <c r="M10918" i="6"/>
  <c r="M10919" i="6"/>
  <c r="M10920" i="6"/>
  <c r="M10921" i="6"/>
  <c r="M10922" i="6"/>
  <c r="M10923" i="6"/>
  <c r="M10924" i="6"/>
  <c r="M10925" i="6"/>
  <c r="M10926" i="6"/>
  <c r="M10927" i="6"/>
  <c r="M10928" i="6"/>
  <c r="M10929" i="6"/>
  <c r="M10930" i="6"/>
  <c r="M10931" i="6"/>
  <c r="M10932" i="6"/>
  <c r="M10933" i="6"/>
  <c r="M10934" i="6"/>
  <c r="M10935" i="6"/>
  <c r="M10936" i="6"/>
  <c r="M10937" i="6"/>
  <c r="M10938" i="6"/>
  <c r="M10939" i="6"/>
  <c r="M10940" i="6"/>
  <c r="M10941" i="6"/>
  <c r="M10942" i="6"/>
  <c r="M10943" i="6"/>
  <c r="M10944" i="6"/>
  <c r="M10945" i="6"/>
  <c r="M10946" i="6"/>
  <c r="M10947" i="6"/>
  <c r="M10948" i="6"/>
  <c r="M10949" i="6"/>
  <c r="M10950" i="6"/>
  <c r="M10951" i="6"/>
  <c r="M10952" i="6"/>
  <c r="M10953" i="6"/>
  <c r="M10954" i="6"/>
  <c r="M10955" i="6"/>
  <c r="M10956" i="6"/>
  <c r="M10957" i="6"/>
  <c r="M10958" i="6"/>
  <c r="M10959" i="6"/>
  <c r="M10960" i="6"/>
  <c r="M10961" i="6"/>
  <c r="M10962" i="6"/>
  <c r="M10963" i="6"/>
  <c r="M10964" i="6"/>
  <c r="M10965" i="6"/>
  <c r="M10966" i="6"/>
  <c r="M10967" i="6"/>
  <c r="M10968" i="6"/>
  <c r="M10969" i="6"/>
  <c r="M10970" i="6"/>
  <c r="M10971" i="6"/>
  <c r="M10972" i="6"/>
  <c r="M10973" i="6"/>
  <c r="M10974" i="6"/>
  <c r="M10975" i="6"/>
  <c r="M10976" i="6"/>
  <c r="M10977" i="6"/>
  <c r="M10978" i="6"/>
  <c r="M10979" i="6"/>
  <c r="M10980" i="6"/>
  <c r="M10981" i="6"/>
  <c r="M10982" i="6"/>
  <c r="M10983" i="6"/>
  <c r="M10984" i="6"/>
  <c r="M10985" i="6"/>
  <c r="M10986" i="6"/>
  <c r="M10987" i="6"/>
  <c r="M10988" i="6"/>
  <c r="M10989" i="6"/>
  <c r="M10990" i="6"/>
  <c r="M10991" i="6"/>
  <c r="M10992" i="6"/>
  <c r="M10993" i="6"/>
  <c r="M10994" i="6"/>
  <c r="M10995" i="6"/>
  <c r="M10996" i="6"/>
  <c r="M10997" i="6"/>
  <c r="M10998" i="6"/>
  <c r="M10999" i="6"/>
  <c r="M11000" i="6"/>
  <c r="M11001" i="6"/>
  <c r="M11002" i="6"/>
  <c r="M11003" i="6"/>
  <c r="M11004" i="6"/>
  <c r="M11005" i="6"/>
  <c r="M11006" i="6"/>
  <c r="M11007" i="6"/>
  <c r="M11008" i="6"/>
  <c r="M11009" i="6"/>
  <c r="M11010" i="6"/>
  <c r="M11011" i="6"/>
  <c r="M11012" i="6"/>
  <c r="M11013" i="6"/>
  <c r="M11014" i="6"/>
  <c r="M11015" i="6"/>
  <c r="M11016" i="6"/>
  <c r="M11017" i="6"/>
  <c r="M11018" i="6"/>
  <c r="M11019" i="6"/>
  <c r="M11020" i="6"/>
  <c r="M11021" i="6"/>
  <c r="M11022" i="6"/>
  <c r="M11023" i="6"/>
  <c r="M11024" i="6"/>
  <c r="M11025" i="6"/>
  <c r="M11026" i="6"/>
  <c r="M11027" i="6"/>
  <c r="M11028" i="6"/>
  <c r="M11029" i="6"/>
  <c r="M11030" i="6"/>
  <c r="M11031" i="6"/>
  <c r="M11032" i="6"/>
  <c r="M11033" i="6"/>
  <c r="M11034" i="6"/>
  <c r="M11035" i="6"/>
  <c r="M11036" i="6"/>
  <c r="M11037" i="6"/>
  <c r="M11038" i="6"/>
  <c r="M11039" i="6"/>
  <c r="M11040" i="6"/>
  <c r="M11041" i="6"/>
  <c r="M11042" i="6"/>
  <c r="M11043" i="6"/>
  <c r="M11044" i="6"/>
  <c r="M11045" i="6"/>
  <c r="M11046" i="6"/>
  <c r="M11047" i="6"/>
  <c r="M11048" i="6"/>
  <c r="M11049" i="6"/>
  <c r="M11050" i="6"/>
  <c r="M11051" i="6"/>
  <c r="M11052" i="6"/>
  <c r="M11053" i="6"/>
  <c r="M11054" i="6"/>
  <c r="M11055" i="6"/>
  <c r="M11056" i="6"/>
  <c r="M11057" i="6"/>
  <c r="M11058" i="6"/>
  <c r="M11059" i="6"/>
  <c r="M11060" i="6"/>
  <c r="M11061" i="6"/>
  <c r="M11062" i="6"/>
  <c r="M11063" i="6"/>
  <c r="M11064" i="6"/>
  <c r="M11065" i="6"/>
  <c r="M11066" i="6"/>
  <c r="M11067" i="6"/>
  <c r="M11068" i="6"/>
  <c r="M11069" i="6"/>
  <c r="M11070" i="6"/>
  <c r="M11071" i="6"/>
  <c r="M11072" i="6"/>
  <c r="M11073" i="6"/>
  <c r="M11074" i="6"/>
  <c r="M11075" i="6"/>
  <c r="M11076" i="6"/>
  <c r="M11077" i="6"/>
  <c r="M11078" i="6"/>
  <c r="M11079" i="6"/>
  <c r="M11080" i="6"/>
  <c r="M11081" i="6"/>
  <c r="M11082" i="6"/>
  <c r="M11083" i="6"/>
  <c r="M11084" i="6"/>
  <c r="M11085" i="6"/>
  <c r="M11086" i="6"/>
  <c r="M11087" i="6"/>
  <c r="M11088" i="6"/>
  <c r="M11089" i="6"/>
  <c r="M11090" i="6"/>
  <c r="M11091" i="6"/>
  <c r="M11092" i="6"/>
  <c r="M11093" i="6"/>
  <c r="M11094" i="6"/>
  <c r="M11095" i="6"/>
  <c r="M11096" i="6"/>
  <c r="M11097" i="6"/>
  <c r="M11098" i="6"/>
  <c r="M11099" i="6"/>
  <c r="M11100" i="6"/>
  <c r="M11101" i="6"/>
  <c r="M11102" i="6"/>
  <c r="M11103" i="6"/>
  <c r="M11104" i="6"/>
  <c r="M11105" i="6"/>
  <c r="M11106" i="6"/>
  <c r="M11107" i="6"/>
  <c r="M11108" i="6"/>
  <c r="M11109" i="6"/>
  <c r="M11110" i="6"/>
  <c r="M11111" i="6"/>
  <c r="M11112" i="6"/>
  <c r="M11113" i="6"/>
  <c r="M11114" i="6"/>
  <c r="M11115" i="6"/>
  <c r="M11116" i="6"/>
  <c r="M11117" i="6"/>
  <c r="M11118" i="6"/>
  <c r="M11119" i="6"/>
  <c r="M11120" i="6"/>
  <c r="M11121" i="6"/>
  <c r="M11122" i="6"/>
  <c r="M11123" i="6"/>
  <c r="M11124" i="6"/>
  <c r="M11125" i="6"/>
  <c r="M11126" i="6"/>
  <c r="M11127" i="6"/>
  <c r="M11128" i="6"/>
  <c r="M11129" i="6"/>
  <c r="M11130" i="6"/>
  <c r="M11131" i="6"/>
  <c r="M11132" i="6"/>
  <c r="M11133" i="6"/>
  <c r="M11134" i="6"/>
  <c r="M11135" i="6"/>
  <c r="M11136" i="6"/>
  <c r="M11137" i="6"/>
  <c r="M11138" i="6"/>
  <c r="M11139" i="6"/>
  <c r="M11140" i="6"/>
  <c r="M11141" i="6"/>
  <c r="M11142" i="6"/>
  <c r="M11143" i="6"/>
  <c r="M11144" i="6"/>
  <c r="M11145" i="6"/>
  <c r="M11146" i="6"/>
  <c r="M11147" i="6"/>
  <c r="M11148" i="6"/>
  <c r="M11149" i="6"/>
  <c r="M11150" i="6"/>
  <c r="M11151" i="6"/>
  <c r="M11152" i="6"/>
  <c r="M11153" i="6"/>
  <c r="M11154" i="6"/>
  <c r="M11155" i="6"/>
  <c r="M11156" i="6"/>
  <c r="M11157" i="6"/>
  <c r="M11158" i="6"/>
  <c r="M11159" i="6"/>
  <c r="M11160" i="6"/>
  <c r="M11161" i="6"/>
  <c r="M11162" i="6"/>
  <c r="M11163" i="6"/>
  <c r="M11164" i="6"/>
  <c r="M11165" i="6"/>
  <c r="M11166" i="6"/>
  <c r="M11167" i="6"/>
  <c r="M11168" i="6"/>
  <c r="M11169" i="6"/>
  <c r="M11170" i="6"/>
  <c r="M11171" i="6"/>
  <c r="M11172" i="6"/>
  <c r="M11173" i="6"/>
  <c r="M11174" i="6"/>
  <c r="M11175" i="6"/>
  <c r="M11176" i="6"/>
  <c r="M11177" i="6"/>
  <c r="M11178" i="6"/>
  <c r="M11179" i="6"/>
  <c r="M11180" i="6"/>
  <c r="M11181" i="6"/>
  <c r="M11182" i="6"/>
  <c r="M11183" i="6"/>
  <c r="M11184" i="6"/>
  <c r="M11185" i="6"/>
  <c r="M11186" i="6"/>
  <c r="M11187" i="6"/>
  <c r="M11188" i="6"/>
  <c r="M11189" i="6"/>
  <c r="M11190" i="6"/>
  <c r="M11191" i="6"/>
  <c r="M11192" i="6"/>
  <c r="M11193" i="6"/>
  <c r="M11194" i="6"/>
  <c r="M11195" i="6"/>
  <c r="M11196" i="6"/>
  <c r="M11197" i="6"/>
  <c r="M11198" i="6"/>
  <c r="M11199" i="6"/>
  <c r="M11200" i="6"/>
  <c r="M11201" i="6"/>
  <c r="M11202" i="6"/>
  <c r="M11203" i="6"/>
  <c r="M11204" i="6"/>
  <c r="M11205" i="6"/>
  <c r="M11206" i="6"/>
  <c r="M11207" i="6"/>
  <c r="M11208" i="6"/>
  <c r="M11209" i="6"/>
  <c r="M11210" i="6"/>
  <c r="M11211" i="6"/>
  <c r="M11212" i="6"/>
  <c r="M11213" i="6"/>
  <c r="M11214" i="6"/>
  <c r="M11215" i="6"/>
  <c r="M11216" i="6"/>
  <c r="M11217" i="6"/>
  <c r="M11218" i="6"/>
  <c r="M11219" i="6"/>
  <c r="M11220" i="6"/>
  <c r="M11221" i="6"/>
  <c r="M11222" i="6"/>
  <c r="M11223" i="6"/>
  <c r="M11224" i="6"/>
  <c r="M11225" i="6"/>
  <c r="M11226" i="6"/>
  <c r="M11227" i="6"/>
  <c r="M11228" i="6"/>
  <c r="M11229" i="6"/>
  <c r="M11230" i="6"/>
  <c r="M11231" i="6"/>
  <c r="M11232" i="6"/>
  <c r="M11233" i="6"/>
  <c r="M11234" i="6"/>
  <c r="M11235" i="6"/>
  <c r="M11236" i="6"/>
  <c r="M11237" i="6"/>
  <c r="M11238" i="6"/>
  <c r="M11239" i="6"/>
  <c r="M11240" i="6"/>
  <c r="M11241" i="6"/>
  <c r="M11242" i="6"/>
  <c r="M11243" i="6"/>
  <c r="M11244" i="6"/>
  <c r="M11245" i="6"/>
  <c r="M11246" i="6"/>
  <c r="M11247" i="6"/>
  <c r="M11248" i="6"/>
  <c r="M11249" i="6"/>
  <c r="M11250" i="6"/>
  <c r="M11251" i="6"/>
  <c r="M11252" i="6"/>
  <c r="M11253" i="6"/>
  <c r="M11254" i="6"/>
  <c r="M11255" i="6"/>
  <c r="M11256" i="6"/>
  <c r="M11257" i="6"/>
  <c r="M11258" i="6"/>
  <c r="M11259" i="6"/>
  <c r="M11260" i="6"/>
  <c r="M11261" i="6"/>
  <c r="M11262" i="6"/>
  <c r="M11263" i="6"/>
  <c r="M11264" i="6"/>
  <c r="M11265" i="6"/>
  <c r="M11266" i="6"/>
  <c r="M11267" i="6"/>
  <c r="M11268" i="6"/>
  <c r="M11269" i="6"/>
  <c r="M11270" i="6"/>
  <c r="M11271" i="6"/>
  <c r="M11272" i="6"/>
  <c r="M11273" i="6"/>
  <c r="M11274" i="6"/>
  <c r="M11275" i="6"/>
  <c r="M11276" i="6"/>
  <c r="M11277" i="6"/>
  <c r="M11278" i="6"/>
  <c r="M11279" i="6"/>
  <c r="M11280" i="6"/>
  <c r="M11281" i="6"/>
  <c r="M11282" i="6"/>
  <c r="M11283" i="6"/>
  <c r="M11284" i="6"/>
  <c r="M11285" i="6"/>
  <c r="M11286" i="6"/>
  <c r="M11287" i="6"/>
  <c r="M11288" i="6"/>
  <c r="M11289" i="6"/>
  <c r="M11290" i="6"/>
  <c r="M11291" i="6"/>
  <c r="M11292" i="6"/>
  <c r="M11293" i="6"/>
  <c r="M11294" i="6"/>
  <c r="M11295" i="6"/>
  <c r="M11296" i="6"/>
  <c r="M11297" i="6"/>
  <c r="M11298" i="6"/>
  <c r="M11299" i="6"/>
  <c r="M11300" i="6"/>
  <c r="M11301" i="6"/>
  <c r="M11302" i="6"/>
  <c r="M11303" i="6"/>
  <c r="M11304" i="6"/>
  <c r="M11305" i="6"/>
  <c r="M11306" i="6"/>
  <c r="M11307" i="6"/>
  <c r="M11308" i="6"/>
  <c r="M11309" i="6"/>
  <c r="M11310" i="6"/>
  <c r="M11311" i="6"/>
  <c r="M11312" i="6"/>
  <c r="M11313" i="6"/>
  <c r="M11314" i="6"/>
  <c r="M11315" i="6"/>
  <c r="M11316" i="6"/>
  <c r="M11317" i="6"/>
  <c r="M11318" i="6"/>
  <c r="M11319" i="6"/>
  <c r="M11320" i="6"/>
  <c r="M11321" i="6"/>
  <c r="M11322" i="6"/>
  <c r="M11323" i="6"/>
  <c r="M11324" i="6"/>
  <c r="M11325" i="6"/>
  <c r="M11326" i="6"/>
  <c r="M11327" i="6"/>
  <c r="M11328" i="6"/>
  <c r="M11329" i="6"/>
  <c r="M11330" i="6"/>
  <c r="M11331" i="6"/>
  <c r="M11332" i="6"/>
  <c r="M11333" i="6"/>
  <c r="M11334" i="6"/>
  <c r="M11335" i="6"/>
  <c r="M11336" i="6"/>
  <c r="M11337" i="6"/>
  <c r="M11338" i="6"/>
  <c r="M11339" i="6"/>
  <c r="M11340" i="6"/>
  <c r="M11341" i="6"/>
  <c r="M11342" i="6"/>
  <c r="M11343" i="6"/>
  <c r="M11344" i="6"/>
  <c r="M11345" i="6"/>
  <c r="M11346" i="6"/>
  <c r="M11347" i="6"/>
  <c r="M11348" i="6"/>
  <c r="M11349" i="6"/>
  <c r="M11350" i="6"/>
  <c r="M11351" i="6"/>
  <c r="M11352" i="6"/>
  <c r="M11353" i="6"/>
  <c r="M11354" i="6"/>
  <c r="M11355" i="6"/>
  <c r="M11356" i="6"/>
  <c r="M11357" i="6"/>
  <c r="M11358" i="6"/>
  <c r="M11359" i="6"/>
  <c r="M11360" i="6"/>
  <c r="M11361" i="6"/>
  <c r="M11362" i="6"/>
  <c r="M11363" i="6"/>
  <c r="M11364" i="6"/>
  <c r="M11365" i="6"/>
  <c r="M11366" i="6"/>
  <c r="M11367" i="6"/>
  <c r="M11368" i="6"/>
  <c r="M11369" i="6"/>
  <c r="M11370" i="6"/>
  <c r="M11371" i="6"/>
  <c r="M11372" i="6"/>
  <c r="M11373" i="6"/>
  <c r="M11374" i="6"/>
  <c r="M11375" i="6"/>
  <c r="M11376" i="6"/>
  <c r="M11377" i="6"/>
  <c r="M11378" i="6"/>
  <c r="M11379" i="6"/>
  <c r="M11380" i="6"/>
  <c r="M11381" i="6"/>
  <c r="M11382" i="6"/>
  <c r="M11383" i="6"/>
  <c r="M11384" i="6"/>
  <c r="M11385" i="6"/>
  <c r="M11386" i="6"/>
  <c r="M11387" i="6"/>
  <c r="M11388" i="6"/>
  <c r="M11389" i="6"/>
  <c r="M11390" i="6"/>
  <c r="M11391" i="6"/>
  <c r="M11392" i="6"/>
  <c r="M11393" i="6"/>
  <c r="M11394" i="6"/>
  <c r="M11395" i="6"/>
  <c r="M11396" i="6"/>
  <c r="M11397" i="6"/>
  <c r="M11398" i="6"/>
  <c r="M11399" i="6"/>
  <c r="M11400" i="6"/>
  <c r="M11401" i="6"/>
  <c r="M11402" i="6"/>
  <c r="M11403" i="6"/>
  <c r="M11404" i="6"/>
  <c r="M11405" i="6"/>
  <c r="M11406" i="6"/>
  <c r="M11407" i="6"/>
  <c r="M11408" i="6"/>
  <c r="M11409" i="6"/>
  <c r="M11410" i="6"/>
  <c r="M11411" i="6"/>
  <c r="M11412" i="6"/>
  <c r="M11413" i="6"/>
  <c r="M11414" i="6"/>
  <c r="M11415" i="6"/>
  <c r="M11416" i="6"/>
  <c r="M11417" i="6"/>
  <c r="M11418" i="6"/>
  <c r="M11419" i="6"/>
  <c r="M11420" i="6"/>
  <c r="M11421" i="6"/>
  <c r="M11422" i="6"/>
  <c r="M11423" i="6"/>
  <c r="M11424" i="6"/>
  <c r="M11425" i="6"/>
  <c r="M11426" i="6"/>
  <c r="M11427" i="6"/>
  <c r="M11428" i="6"/>
  <c r="M11429" i="6"/>
  <c r="M11430" i="6"/>
  <c r="M11431" i="6"/>
  <c r="M11432" i="6"/>
  <c r="M11433" i="6"/>
  <c r="M11434" i="6"/>
  <c r="M11435" i="6"/>
  <c r="M11436" i="6"/>
  <c r="M11437" i="6"/>
  <c r="M11438" i="6"/>
  <c r="M11439" i="6"/>
  <c r="M11440" i="6"/>
  <c r="M11441" i="6"/>
  <c r="M11442" i="6"/>
  <c r="M11443" i="6"/>
  <c r="M11444" i="6"/>
  <c r="M11445" i="6"/>
  <c r="M11446" i="6"/>
  <c r="M11447" i="6"/>
  <c r="M11448" i="6"/>
  <c r="M11449" i="6"/>
  <c r="M11450" i="6"/>
  <c r="M11451" i="6"/>
  <c r="M11452" i="6"/>
  <c r="M11453" i="6"/>
  <c r="M11454" i="6"/>
  <c r="M11455" i="6"/>
  <c r="M11456" i="6"/>
  <c r="M11457" i="6"/>
  <c r="M11458" i="6"/>
  <c r="M11459" i="6"/>
  <c r="M11460" i="6"/>
  <c r="M11461" i="6"/>
  <c r="M11462" i="6"/>
  <c r="M11463" i="6"/>
  <c r="M11464" i="6"/>
  <c r="M11465" i="6"/>
  <c r="M11466" i="6"/>
  <c r="M11467" i="6"/>
  <c r="M11468" i="6"/>
  <c r="M11469" i="6"/>
  <c r="M11470" i="6"/>
  <c r="M11471" i="6"/>
  <c r="M11472" i="6"/>
  <c r="M11473" i="6"/>
  <c r="M11474" i="6"/>
  <c r="M11475" i="6"/>
  <c r="M11476" i="6"/>
  <c r="M11477" i="6"/>
  <c r="M11478" i="6"/>
  <c r="M11479" i="6"/>
  <c r="M11480" i="6"/>
  <c r="M11481" i="6"/>
  <c r="M11482" i="6"/>
  <c r="M11483" i="6"/>
  <c r="M11484" i="6"/>
  <c r="M11485" i="6"/>
  <c r="M11486" i="6"/>
  <c r="M11487" i="6"/>
  <c r="M11488" i="6"/>
  <c r="M11489" i="6"/>
  <c r="M11490" i="6"/>
  <c r="M11491" i="6"/>
  <c r="M11492" i="6"/>
  <c r="M11493" i="6"/>
  <c r="M11494" i="6"/>
  <c r="M11495" i="6"/>
  <c r="M11496" i="6"/>
  <c r="M11497" i="6"/>
  <c r="M11498" i="6"/>
  <c r="M11499" i="6"/>
  <c r="M11500" i="6"/>
  <c r="M11501" i="6"/>
  <c r="M11502" i="6"/>
  <c r="M11503" i="6"/>
  <c r="M11504" i="6"/>
  <c r="M11505" i="6"/>
  <c r="M11506" i="6"/>
  <c r="M11507" i="6"/>
  <c r="M11508" i="6"/>
  <c r="M11509" i="6"/>
  <c r="M11510" i="6"/>
  <c r="M11511" i="6"/>
  <c r="M11512" i="6"/>
  <c r="M11513" i="6"/>
  <c r="M11514" i="6"/>
  <c r="M11515" i="6"/>
  <c r="M11516" i="6"/>
  <c r="M11517" i="6"/>
  <c r="M11518" i="6"/>
  <c r="M11519" i="6"/>
  <c r="M11520" i="6"/>
  <c r="M11521" i="6"/>
  <c r="M11522" i="6"/>
  <c r="M11523" i="6"/>
  <c r="M11524" i="6"/>
  <c r="M11525" i="6"/>
  <c r="M11526" i="6"/>
  <c r="M11527" i="6"/>
  <c r="M11528" i="6"/>
  <c r="M11529" i="6"/>
  <c r="M11530" i="6"/>
  <c r="M11531" i="6"/>
  <c r="M11532" i="6"/>
  <c r="M11533" i="6"/>
  <c r="M11534" i="6"/>
  <c r="M11535" i="6"/>
  <c r="M11536" i="6"/>
  <c r="M11537" i="6"/>
  <c r="M11538" i="6"/>
  <c r="M11539" i="6"/>
  <c r="M11540" i="6"/>
  <c r="M11541" i="6"/>
  <c r="M11542" i="6"/>
  <c r="M11543" i="6"/>
  <c r="M11544" i="6"/>
  <c r="M11545" i="6"/>
  <c r="M11546" i="6"/>
  <c r="M11547" i="6"/>
  <c r="M11548" i="6"/>
  <c r="M11549" i="6"/>
  <c r="M11550" i="6"/>
  <c r="M11551" i="6"/>
  <c r="M11552" i="6"/>
  <c r="M11553" i="6"/>
  <c r="M11554" i="6"/>
  <c r="M11555" i="6"/>
  <c r="M11556" i="6"/>
  <c r="M11557" i="6"/>
  <c r="M11558" i="6"/>
  <c r="M11559" i="6"/>
  <c r="M11560" i="6"/>
  <c r="M11561" i="6"/>
  <c r="M11562" i="6"/>
  <c r="M11563" i="6"/>
  <c r="M11564" i="6"/>
  <c r="M11565" i="6"/>
  <c r="M11566" i="6"/>
  <c r="M11567" i="6"/>
  <c r="M11568" i="6"/>
  <c r="M11569" i="6"/>
  <c r="M11570" i="6"/>
  <c r="M11571" i="6"/>
  <c r="M11572" i="6"/>
  <c r="M11573" i="6"/>
  <c r="M11574" i="6"/>
  <c r="M11575" i="6"/>
  <c r="M11576" i="6"/>
  <c r="M11577" i="6"/>
  <c r="M11578" i="6"/>
  <c r="M11579" i="6"/>
  <c r="M11580" i="6"/>
  <c r="M11581" i="6"/>
  <c r="M11582" i="6"/>
  <c r="M11583" i="6"/>
  <c r="M11584" i="6"/>
  <c r="M11585" i="6"/>
  <c r="M11586" i="6"/>
  <c r="M11587" i="6"/>
  <c r="M11588" i="6"/>
  <c r="M11589" i="6"/>
  <c r="M11590" i="6"/>
  <c r="M11591" i="6"/>
  <c r="M11592" i="6"/>
  <c r="M11593" i="6"/>
  <c r="M11594" i="6"/>
  <c r="M11595" i="6"/>
  <c r="M11596" i="6"/>
  <c r="M11597" i="6"/>
  <c r="M11598" i="6"/>
  <c r="M11599" i="6"/>
  <c r="M11600" i="6"/>
  <c r="M11601" i="6"/>
  <c r="M11602" i="6"/>
  <c r="M11603" i="6"/>
  <c r="M11604" i="6"/>
  <c r="M11605" i="6"/>
  <c r="M11606" i="6"/>
  <c r="M11607" i="6"/>
  <c r="M11608" i="6"/>
  <c r="M11609" i="6"/>
  <c r="M11610" i="6"/>
  <c r="M11611" i="6"/>
  <c r="M11612" i="6"/>
  <c r="M11613" i="6"/>
  <c r="M11614" i="6"/>
  <c r="M11615" i="6"/>
  <c r="M11616" i="6"/>
  <c r="M11617" i="6"/>
  <c r="M11618" i="6"/>
  <c r="M11619" i="6"/>
  <c r="M11620" i="6"/>
  <c r="M11621" i="6"/>
  <c r="M11622" i="6"/>
  <c r="M11623" i="6"/>
  <c r="M11624" i="6"/>
  <c r="M11625" i="6"/>
  <c r="M11626" i="6"/>
  <c r="M11627" i="6"/>
  <c r="M11628" i="6"/>
  <c r="M11629" i="6"/>
  <c r="M11630" i="6"/>
  <c r="M11631" i="6"/>
  <c r="M11632" i="6"/>
  <c r="M11633" i="6"/>
  <c r="M11634" i="6"/>
  <c r="M11635" i="6"/>
  <c r="M11636" i="6"/>
  <c r="M11637" i="6"/>
  <c r="M11638" i="6"/>
  <c r="M11639" i="6"/>
  <c r="M11640" i="6"/>
  <c r="M11641" i="6"/>
  <c r="M11642" i="6"/>
  <c r="M11643" i="6"/>
  <c r="M11644" i="6"/>
  <c r="M11645" i="6"/>
  <c r="M11646" i="6"/>
  <c r="M11647" i="6"/>
  <c r="M11648" i="6"/>
  <c r="M11649" i="6"/>
  <c r="M11650" i="6"/>
  <c r="M11651" i="6"/>
  <c r="M11652" i="6"/>
  <c r="M11653" i="6"/>
  <c r="M11654" i="6"/>
  <c r="M11655" i="6"/>
  <c r="M11656" i="6"/>
  <c r="M11657" i="6"/>
  <c r="M11658" i="6"/>
  <c r="M11659" i="6"/>
  <c r="M11660" i="6"/>
  <c r="M11661" i="6"/>
  <c r="M11662" i="6"/>
  <c r="M11663" i="6"/>
  <c r="M11664" i="6"/>
  <c r="M11665" i="6"/>
  <c r="M11666" i="6"/>
  <c r="M11667" i="6"/>
  <c r="M11668" i="6"/>
  <c r="M11669" i="6"/>
  <c r="M11670" i="6"/>
  <c r="M11671" i="6"/>
  <c r="M11672" i="6"/>
  <c r="M11673" i="6"/>
  <c r="M11674" i="6"/>
  <c r="M11675" i="6"/>
  <c r="M11676" i="6"/>
  <c r="M11677" i="6"/>
  <c r="M11678" i="6"/>
  <c r="M11679" i="6"/>
  <c r="M11680" i="6"/>
  <c r="M11681" i="6"/>
  <c r="M11682" i="6"/>
  <c r="M11683" i="6"/>
  <c r="M11684" i="6"/>
  <c r="M11685" i="6"/>
  <c r="M11686" i="6"/>
  <c r="M11687" i="6"/>
  <c r="M11688" i="6"/>
  <c r="M11689" i="6"/>
  <c r="M11690" i="6"/>
  <c r="M11691" i="6"/>
  <c r="M11692" i="6"/>
  <c r="M11693" i="6"/>
  <c r="M11694" i="6"/>
  <c r="M11695" i="6"/>
  <c r="M11696" i="6"/>
  <c r="M11697" i="6"/>
  <c r="M11698" i="6"/>
  <c r="M11699" i="6"/>
  <c r="M11700" i="6"/>
  <c r="M11701" i="6"/>
  <c r="M11702" i="6"/>
  <c r="M11703" i="6"/>
  <c r="M11704" i="6"/>
  <c r="M11705" i="6"/>
  <c r="M11706" i="6"/>
  <c r="M11707" i="6"/>
  <c r="M11708" i="6"/>
  <c r="M11709" i="6"/>
  <c r="M11710" i="6"/>
  <c r="M11711" i="6"/>
  <c r="M11712" i="6"/>
  <c r="M11713" i="6"/>
  <c r="M11714" i="6"/>
  <c r="M11715" i="6"/>
  <c r="M11716" i="6"/>
  <c r="M11717" i="6"/>
  <c r="M11718" i="6"/>
  <c r="M11719" i="6"/>
  <c r="M11720" i="6"/>
  <c r="M11721" i="6"/>
  <c r="M11722" i="6"/>
  <c r="M11723" i="6"/>
  <c r="M11724" i="6"/>
  <c r="M11725" i="6"/>
  <c r="M11726" i="6"/>
  <c r="M11727" i="6"/>
  <c r="M11728" i="6"/>
  <c r="M11729" i="6"/>
  <c r="M11730" i="6"/>
  <c r="M11731" i="6"/>
  <c r="M11732" i="6"/>
  <c r="M11733" i="6"/>
  <c r="M11734" i="6"/>
  <c r="M11735" i="6"/>
  <c r="M11736" i="6"/>
  <c r="M11737" i="6"/>
  <c r="M11738" i="6"/>
  <c r="M11739" i="6"/>
  <c r="M11740" i="6"/>
  <c r="M11741" i="6"/>
  <c r="M11742" i="6"/>
  <c r="M11743" i="6"/>
  <c r="M11744" i="6"/>
  <c r="M11745" i="6"/>
  <c r="M11746" i="6"/>
  <c r="M11747" i="6"/>
  <c r="M11748" i="6"/>
  <c r="M11749" i="6"/>
  <c r="M11750" i="6"/>
  <c r="M11751" i="6"/>
  <c r="M11752" i="6"/>
  <c r="M11753" i="6"/>
  <c r="M11754" i="6"/>
  <c r="M11755" i="6"/>
  <c r="M11756" i="6"/>
  <c r="M11757" i="6"/>
  <c r="M11758" i="6"/>
  <c r="M11759" i="6"/>
  <c r="M11760" i="6"/>
  <c r="M11761" i="6"/>
  <c r="M11762" i="6"/>
  <c r="M11763" i="6"/>
  <c r="M11764" i="6"/>
  <c r="M11765" i="6"/>
  <c r="M11766" i="6"/>
  <c r="M11767" i="6"/>
  <c r="M11768" i="6"/>
  <c r="M11769" i="6"/>
  <c r="M11770" i="6"/>
  <c r="M11771" i="6"/>
  <c r="M11772" i="6"/>
  <c r="M11773" i="6"/>
  <c r="M11774" i="6"/>
  <c r="M11775" i="6"/>
  <c r="M11776" i="6"/>
  <c r="M11777" i="6"/>
  <c r="M11778" i="6"/>
  <c r="M11779" i="6"/>
  <c r="M11780" i="6"/>
  <c r="M11781" i="6"/>
  <c r="M11782" i="6"/>
  <c r="M11783" i="6"/>
  <c r="M11784" i="6"/>
  <c r="M11785" i="6"/>
  <c r="M11786" i="6"/>
  <c r="M11787" i="6"/>
  <c r="M11788" i="6"/>
  <c r="M11789" i="6"/>
  <c r="M11790" i="6"/>
  <c r="M11791" i="6"/>
  <c r="M11792" i="6"/>
  <c r="M11793" i="6"/>
  <c r="M11794" i="6"/>
  <c r="M11795" i="6"/>
  <c r="M11796" i="6"/>
  <c r="M11797" i="6"/>
  <c r="M11798" i="6"/>
  <c r="M11799" i="6"/>
  <c r="M11800" i="6"/>
  <c r="M11801" i="6"/>
  <c r="M11802" i="6"/>
  <c r="M11803" i="6"/>
  <c r="M11804" i="6"/>
  <c r="M11805" i="6"/>
  <c r="M11806" i="6"/>
  <c r="M11807" i="6"/>
  <c r="M11808" i="6"/>
  <c r="M11809" i="6"/>
  <c r="M11810" i="6"/>
  <c r="M11811" i="6"/>
  <c r="M11812" i="6"/>
  <c r="M11813" i="6"/>
  <c r="M11814" i="6"/>
  <c r="M11815" i="6"/>
  <c r="M11816" i="6"/>
  <c r="M11817" i="6"/>
  <c r="M11818" i="6"/>
  <c r="M11819" i="6"/>
  <c r="M11820" i="6"/>
  <c r="M11821" i="6"/>
  <c r="M11822" i="6"/>
  <c r="M11823" i="6"/>
  <c r="M11824" i="6"/>
  <c r="M11825" i="6"/>
  <c r="M11826" i="6"/>
  <c r="M11827" i="6"/>
  <c r="M11828" i="6"/>
  <c r="M11829" i="6"/>
  <c r="M11830" i="6"/>
  <c r="M11831" i="6"/>
  <c r="M11832" i="6"/>
  <c r="M11833" i="6"/>
  <c r="M11834" i="6"/>
  <c r="M11835" i="6"/>
  <c r="M11836" i="6"/>
  <c r="M11837" i="6"/>
  <c r="M11838" i="6"/>
  <c r="M11839" i="6"/>
  <c r="M11840" i="6"/>
  <c r="M11841" i="6"/>
  <c r="M11842" i="6"/>
  <c r="M11843" i="6"/>
  <c r="M11844" i="6"/>
  <c r="M11845" i="6"/>
  <c r="M11846" i="6"/>
  <c r="M11847" i="6"/>
  <c r="M11848" i="6"/>
  <c r="M11849" i="6"/>
  <c r="M11850" i="6"/>
  <c r="M11851" i="6"/>
  <c r="M11852" i="6"/>
  <c r="M11853" i="6"/>
  <c r="M11854" i="6"/>
  <c r="M11855" i="6"/>
  <c r="M11856" i="6"/>
  <c r="M11857" i="6"/>
  <c r="M11858" i="6"/>
  <c r="M11859" i="6"/>
  <c r="M11860" i="6"/>
  <c r="M11861" i="6"/>
  <c r="M11862" i="6"/>
  <c r="M11863" i="6"/>
  <c r="M11864" i="6"/>
  <c r="M11865" i="6"/>
  <c r="M11866" i="6"/>
  <c r="M11867" i="6"/>
  <c r="M11868" i="6"/>
  <c r="M11869" i="6"/>
  <c r="M11870" i="6"/>
  <c r="M11871" i="6"/>
  <c r="M11872" i="6"/>
  <c r="M11873" i="6"/>
  <c r="M11874" i="6"/>
  <c r="M11875" i="6"/>
  <c r="M11876" i="6"/>
  <c r="M11877" i="6"/>
  <c r="M11878" i="6"/>
  <c r="M11879" i="6"/>
  <c r="M11880" i="6"/>
  <c r="M11881" i="6"/>
  <c r="M11882" i="6"/>
  <c r="M11883" i="6"/>
  <c r="M11884" i="6"/>
  <c r="M11885" i="6"/>
  <c r="M11886" i="6"/>
  <c r="M11887" i="6"/>
  <c r="M11888" i="6"/>
  <c r="M11889" i="6"/>
  <c r="M11890" i="6"/>
  <c r="M11891" i="6"/>
  <c r="M11892" i="6"/>
  <c r="M11893" i="6"/>
  <c r="M11894" i="6"/>
  <c r="M11895" i="6"/>
  <c r="M11896" i="6"/>
  <c r="M11897" i="6"/>
  <c r="M11898" i="6"/>
  <c r="M11899" i="6"/>
  <c r="M11900" i="6"/>
  <c r="M11901" i="6"/>
  <c r="M11902" i="6"/>
  <c r="M11903" i="6"/>
  <c r="M11904" i="6"/>
  <c r="M11905" i="6"/>
  <c r="M11906" i="6"/>
  <c r="M11907" i="6"/>
  <c r="M11908" i="6"/>
  <c r="M11909" i="6"/>
  <c r="M11910" i="6"/>
  <c r="M11911" i="6"/>
  <c r="M11912" i="6"/>
  <c r="M11913" i="6"/>
  <c r="M11914" i="6"/>
  <c r="M11915" i="6"/>
  <c r="M11916" i="6"/>
  <c r="M11917" i="6"/>
  <c r="M11918" i="6"/>
  <c r="M11919" i="6"/>
  <c r="M11920" i="6"/>
  <c r="M11921" i="6"/>
  <c r="M11922" i="6"/>
  <c r="M11923" i="6"/>
  <c r="M11924" i="6"/>
  <c r="M11925" i="6"/>
  <c r="M11926" i="6"/>
  <c r="M11927" i="6"/>
  <c r="M11928" i="6"/>
  <c r="M11929" i="6"/>
  <c r="M11930" i="6"/>
  <c r="M11931" i="6"/>
  <c r="M11932" i="6"/>
  <c r="M11933" i="6"/>
  <c r="M11934" i="6"/>
  <c r="M11935" i="6"/>
  <c r="M11936" i="6"/>
  <c r="M11937" i="6"/>
  <c r="M11938" i="6"/>
  <c r="M11939" i="6"/>
  <c r="M11940" i="6"/>
  <c r="M11941" i="6"/>
  <c r="M11942" i="6"/>
  <c r="M11943" i="6"/>
  <c r="M11944" i="6"/>
  <c r="M11945" i="6"/>
  <c r="M11946" i="6"/>
  <c r="M11947" i="6"/>
  <c r="M11948" i="6"/>
  <c r="M11949" i="6"/>
  <c r="M11950" i="6"/>
  <c r="M11951" i="6"/>
  <c r="M11952" i="6"/>
  <c r="M11953" i="6"/>
  <c r="M11954" i="6"/>
  <c r="M11955" i="6"/>
  <c r="M11956" i="6"/>
  <c r="M11957" i="6"/>
  <c r="M11958" i="6"/>
  <c r="M11959" i="6"/>
  <c r="M11960" i="6"/>
  <c r="M11961" i="6"/>
  <c r="M11962" i="6"/>
  <c r="M11963" i="6"/>
  <c r="M11964" i="6"/>
  <c r="M11965" i="6"/>
  <c r="M11966" i="6"/>
  <c r="M11967" i="6"/>
  <c r="M11968" i="6"/>
  <c r="M11969" i="6"/>
  <c r="M11970" i="6"/>
  <c r="M11971" i="6"/>
  <c r="M11972" i="6"/>
  <c r="M11973" i="6"/>
  <c r="M11974" i="6"/>
  <c r="M11975" i="6"/>
  <c r="M11976" i="6"/>
  <c r="M11977" i="6"/>
  <c r="M11978" i="6"/>
  <c r="M11979" i="6"/>
  <c r="M11980" i="6"/>
  <c r="M11981" i="6"/>
  <c r="M11982" i="6"/>
  <c r="M11983" i="6"/>
  <c r="M11984" i="6"/>
  <c r="M11985" i="6"/>
  <c r="M11986" i="6"/>
  <c r="M11987" i="6"/>
  <c r="M11988" i="6"/>
  <c r="M11989" i="6"/>
  <c r="M11990" i="6"/>
  <c r="M11991" i="6"/>
  <c r="M11992" i="6"/>
  <c r="M11993" i="6"/>
  <c r="M11994" i="6"/>
  <c r="M11995" i="6"/>
  <c r="M11996" i="6"/>
  <c r="M11997" i="6"/>
  <c r="M11998" i="6"/>
  <c r="M11999" i="6"/>
  <c r="M12000" i="6"/>
  <c r="M12001" i="6"/>
  <c r="M12002" i="6"/>
  <c r="M12003" i="6"/>
  <c r="M12004" i="6"/>
  <c r="M12005" i="6"/>
  <c r="M12006" i="6"/>
  <c r="M12007" i="6"/>
  <c r="M12008" i="6"/>
  <c r="M12009" i="6"/>
  <c r="M12010" i="6"/>
  <c r="M12011" i="6"/>
  <c r="M12012" i="6"/>
  <c r="M12013" i="6"/>
  <c r="M12014" i="6"/>
  <c r="M12015" i="6"/>
  <c r="M12016" i="6"/>
  <c r="M12017" i="6"/>
  <c r="M12018" i="6"/>
  <c r="M12019" i="6"/>
  <c r="M12020" i="6"/>
  <c r="M12021" i="6"/>
  <c r="M12022" i="6"/>
  <c r="M12023" i="6"/>
  <c r="M12024" i="6"/>
  <c r="M12025" i="6"/>
  <c r="M12026" i="6"/>
  <c r="M12027" i="6"/>
  <c r="M12028" i="6"/>
  <c r="M12029" i="6"/>
  <c r="M12030" i="6"/>
  <c r="M12031" i="6"/>
  <c r="M12032" i="6"/>
  <c r="M12033" i="6"/>
  <c r="M12034" i="6"/>
  <c r="M12035" i="6"/>
  <c r="M12036" i="6"/>
  <c r="M12037" i="6"/>
  <c r="M12038" i="6"/>
  <c r="M12039" i="6"/>
  <c r="M12040" i="6"/>
  <c r="M12041" i="6"/>
  <c r="M12042" i="6"/>
  <c r="M12043" i="6"/>
  <c r="M12044" i="6"/>
  <c r="M12045" i="6"/>
  <c r="M12046" i="6"/>
  <c r="M12047" i="6"/>
  <c r="M12048" i="6"/>
  <c r="M12049" i="6"/>
  <c r="M12050" i="6"/>
  <c r="M12051" i="6"/>
  <c r="M12052" i="6"/>
  <c r="M12053" i="6"/>
  <c r="M12054" i="6"/>
  <c r="M12055" i="6"/>
  <c r="M12056" i="6"/>
  <c r="M12057" i="6"/>
  <c r="M12058" i="6"/>
  <c r="M12059" i="6"/>
  <c r="M12060" i="6"/>
  <c r="M12061" i="6"/>
  <c r="M12062" i="6"/>
  <c r="M12063" i="6"/>
  <c r="M12064" i="6"/>
  <c r="M12065" i="6"/>
  <c r="M12066" i="6"/>
  <c r="M12067" i="6"/>
  <c r="M12068" i="6"/>
  <c r="M12069" i="6"/>
  <c r="M12070" i="6"/>
  <c r="M12071" i="6"/>
  <c r="M12072" i="6"/>
  <c r="M12073" i="6"/>
  <c r="M12074" i="6"/>
  <c r="M12075" i="6"/>
  <c r="M12076" i="6"/>
  <c r="M12077" i="6"/>
  <c r="M12078" i="6"/>
  <c r="M12079" i="6"/>
  <c r="M12080" i="6"/>
  <c r="M12081" i="6"/>
  <c r="M12082" i="6"/>
  <c r="M12083" i="6"/>
  <c r="M12084" i="6"/>
  <c r="M12085" i="6"/>
  <c r="M12086" i="6"/>
  <c r="M12087" i="6"/>
  <c r="M12088" i="6"/>
  <c r="M12089" i="6"/>
  <c r="M12090" i="6"/>
  <c r="M12091" i="6"/>
  <c r="M12092" i="6"/>
  <c r="M12093" i="6"/>
  <c r="M12094" i="6"/>
  <c r="M12095" i="6"/>
  <c r="M12096" i="6"/>
  <c r="M12097" i="6"/>
  <c r="M12098" i="6"/>
  <c r="M12099" i="6"/>
  <c r="M12100" i="6"/>
  <c r="M12101" i="6"/>
  <c r="M12102" i="6"/>
  <c r="M12103" i="6"/>
  <c r="M12104" i="6"/>
  <c r="M12105" i="6"/>
  <c r="M12106" i="6"/>
  <c r="M12107" i="6"/>
  <c r="M12108" i="6"/>
  <c r="M12109" i="6"/>
  <c r="M12110" i="6"/>
  <c r="M12111" i="6"/>
  <c r="M12112" i="6"/>
  <c r="M12113" i="6"/>
  <c r="M12114" i="6"/>
  <c r="M12115" i="6"/>
  <c r="M12116" i="6"/>
  <c r="M12117" i="6"/>
  <c r="M12118" i="6"/>
  <c r="M12119" i="6"/>
  <c r="M12120" i="6"/>
  <c r="M12121" i="6"/>
  <c r="M12122" i="6"/>
  <c r="M12123" i="6"/>
  <c r="M12124" i="6"/>
  <c r="M12125" i="6"/>
  <c r="M12126" i="6"/>
  <c r="M12127" i="6"/>
  <c r="M12128" i="6"/>
  <c r="M12129" i="6"/>
  <c r="M12130" i="6"/>
  <c r="M12131" i="6"/>
  <c r="M12132" i="6"/>
  <c r="M12133" i="6"/>
  <c r="M12134" i="6"/>
  <c r="M12135" i="6"/>
  <c r="M12136" i="6"/>
  <c r="M12137" i="6"/>
  <c r="M12138" i="6"/>
  <c r="M12139" i="6"/>
  <c r="M12140" i="6"/>
  <c r="M12141" i="6"/>
  <c r="M12142" i="6"/>
  <c r="M12143" i="6"/>
  <c r="M12144" i="6"/>
  <c r="M12145" i="6"/>
  <c r="M12146" i="6"/>
  <c r="M12147" i="6"/>
  <c r="M12148" i="6"/>
  <c r="M12149" i="6"/>
  <c r="M12150" i="6"/>
  <c r="M12151" i="6"/>
  <c r="M12152" i="6"/>
  <c r="M12153" i="6"/>
  <c r="M12154" i="6"/>
  <c r="M12155" i="6"/>
  <c r="M12156" i="6"/>
  <c r="M12157" i="6"/>
  <c r="M12158" i="6"/>
  <c r="M12159" i="6"/>
  <c r="M12160" i="6"/>
  <c r="M12161" i="6"/>
  <c r="M12162" i="6"/>
  <c r="M12163" i="6"/>
  <c r="M12164" i="6"/>
  <c r="M12165" i="6"/>
  <c r="M12166" i="6"/>
  <c r="M12167" i="6"/>
  <c r="M12168" i="6"/>
  <c r="M12169" i="6"/>
  <c r="M12170" i="6"/>
  <c r="M12171" i="6"/>
  <c r="M12172" i="6"/>
  <c r="M12173" i="6"/>
  <c r="M12174" i="6"/>
  <c r="M12175" i="6"/>
  <c r="M12176" i="6"/>
  <c r="M12177" i="6"/>
  <c r="M12178" i="6"/>
  <c r="M12179" i="6"/>
  <c r="M12180" i="6"/>
  <c r="M12181" i="6"/>
  <c r="M12182" i="6"/>
  <c r="M12183" i="6"/>
  <c r="M12184" i="6"/>
  <c r="M12185" i="6"/>
  <c r="M12186" i="6"/>
  <c r="M12187" i="6"/>
  <c r="M12188" i="6"/>
  <c r="M12189" i="6"/>
  <c r="M12190" i="6"/>
  <c r="M12191" i="6"/>
  <c r="M12192" i="6"/>
  <c r="M12193" i="6"/>
  <c r="M12194" i="6"/>
  <c r="M12195" i="6"/>
  <c r="M12196" i="6"/>
  <c r="M12197" i="6"/>
  <c r="M12198" i="6"/>
  <c r="M12199" i="6"/>
  <c r="M12200" i="6"/>
  <c r="M12201" i="6"/>
  <c r="M12202" i="6"/>
  <c r="M12203" i="6"/>
  <c r="M12204" i="6"/>
  <c r="M12205" i="6"/>
  <c r="M12206" i="6"/>
  <c r="M12207" i="6"/>
  <c r="M12208" i="6"/>
  <c r="M12209" i="6"/>
  <c r="M12210" i="6"/>
  <c r="M12211" i="6"/>
  <c r="M12212" i="6"/>
  <c r="M12213" i="6"/>
  <c r="M12214" i="6"/>
  <c r="M12215" i="6"/>
  <c r="M12216" i="6"/>
  <c r="M12217" i="6"/>
  <c r="M12218" i="6"/>
  <c r="M12219" i="6"/>
  <c r="M12220" i="6"/>
  <c r="M12221" i="6"/>
  <c r="M12222" i="6"/>
  <c r="M12223" i="6"/>
  <c r="M12224" i="6"/>
  <c r="M12225" i="6"/>
  <c r="M12226" i="6"/>
  <c r="M12227" i="6"/>
  <c r="M12228" i="6"/>
  <c r="M12229" i="6"/>
  <c r="M12230" i="6"/>
  <c r="M12231" i="6"/>
  <c r="M12232" i="6"/>
  <c r="M12233" i="6"/>
  <c r="M12234" i="6"/>
  <c r="M12235" i="6"/>
  <c r="M12236" i="6"/>
  <c r="M12237" i="6"/>
  <c r="M12238" i="6"/>
  <c r="M12239" i="6"/>
  <c r="M12240" i="6"/>
  <c r="M12241" i="6"/>
  <c r="M12242" i="6"/>
  <c r="M12243" i="6"/>
  <c r="M12244" i="6"/>
  <c r="M12245" i="6"/>
  <c r="M12246" i="6"/>
  <c r="M12247" i="6"/>
  <c r="M12248" i="6"/>
  <c r="M12249" i="6"/>
  <c r="M12250" i="6"/>
  <c r="M12251" i="6"/>
  <c r="M12252" i="6"/>
  <c r="M12253" i="6"/>
  <c r="M12254" i="6"/>
  <c r="M12255" i="6"/>
  <c r="M12256" i="6"/>
  <c r="M12257" i="6"/>
  <c r="M12258" i="6"/>
  <c r="M12259" i="6"/>
  <c r="M12260" i="6"/>
  <c r="M12261" i="6"/>
  <c r="M12262" i="6"/>
  <c r="M12263" i="6"/>
  <c r="M12264" i="6"/>
  <c r="M12265" i="6"/>
  <c r="M12266" i="6"/>
  <c r="M12267" i="6"/>
  <c r="M12268" i="6"/>
  <c r="M12269" i="6"/>
  <c r="M12270" i="6"/>
  <c r="M12271" i="6"/>
  <c r="M12272" i="6"/>
  <c r="M12273" i="6"/>
  <c r="M12274" i="6"/>
  <c r="M12275" i="6"/>
  <c r="M12276" i="6"/>
  <c r="M12277" i="6"/>
  <c r="M12278" i="6"/>
  <c r="M12279" i="6"/>
  <c r="M12280" i="6"/>
  <c r="M12281" i="6"/>
  <c r="M12282" i="6"/>
  <c r="M12283" i="6"/>
  <c r="M12284" i="6"/>
  <c r="M12285" i="6"/>
  <c r="M12286" i="6"/>
  <c r="M12287" i="6"/>
  <c r="M12288" i="6"/>
  <c r="M12289" i="6"/>
  <c r="M12290" i="6"/>
  <c r="M12291" i="6"/>
  <c r="M12292" i="6"/>
  <c r="M12293" i="6"/>
  <c r="M12294" i="6"/>
  <c r="M12295" i="6"/>
  <c r="M12296" i="6"/>
  <c r="M12297" i="6"/>
  <c r="M12298" i="6"/>
  <c r="M12299" i="6"/>
  <c r="M12300" i="6"/>
  <c r="M12301" i="6"/>
  <c r="M12302" i="6"/>
  <c r="M12303" i="6"/>
  <c r="M12304" i="6"/>
  <c r="M12305" i="6"/>
  <c r="M12306" i="6"/>
  <c r="M12307" i="6"/>
  <c r="M12308" i="6"/>
  <c r="M12309" i="6"/>
  <c r="M12310" i="6"/>
  <c r="M12311" i="6"/>
  <c r="M12312" i="6"/>
  <c r="M12313" i="6"/>
  <c r="M12314" i="6"/>
  <c r="M12315" i="6"/>
  <c r="M12316" i="6"/>
  <c r="M12317" i="6"/>
  <c r="M12318" i="6"/>
  <c r="M12319" i="6"/>
  <c r="M12320" i="6"/>
  <c r="M12321" i="6"/>
  <c r="M12322" i="6"/>
  <c r="M12323" i="6"/>
  <c r="M12324" i="6"/>
  <c r="M12325" i="6"/>
  <c r="M12326" i="6"/>
  <c r="M12327" i="6"/>
  <c r="M12328" i="6"/>
  <c r="M12329" i="6"/>
  <c r="M12330" i="6"/>
  <c r="M12331" i="6"/>
  <c r="M12332" i="6"/>
  <c r="M12333" i="6"/>
  <c r="M12334" i="6"/>
  <c r="M12335" i="6"/>
  <c r="M12336" i="6"/>
  <c r="M12337" i="6"/>
  <c r="M12338" i="6"/>
  <c r="M12339" i="6"/>
  <c r="M12340" i="6"/>
  <c r="M12341" i="6"/>
  <c r="M12342" i="6"/>
  <c r="M12343" i="6"/>
  <c r="M12344" i="6"/>
  <c r="M12345" i="6"/>
  <c r="M12346" i="6"/>
  <c r="M12347" i="6"/>
  <c r="M12348" i="6"/>
  <c r="M12349" i="6"/>
  <c r="M12350" i="6"/>
  <c r="M12351" i="6"/>
  <c r="M12352" i="6"/>
  <c r="M12353" i="6"/>
  <c r="M12354" i="6"/>
  <c r="M12355" i="6"/>
  <c r="M12356" i="6"/>
  <c r="M12357" i="6"/>
  <c r="M12358" i="6"/>
  <c r="M12359" i="6"/>
  <c r="M12360" i="6"/>
  <c r="M12361" i="6"/>
  <c r="M12362" i="6"/>
  <c r="M12363" i="6"/>
  <c r="M12364" i="6"/>
  <c r="M12365" i="6"/>
  <c r="M12366" i="6"/>
  <c r="M12367" i="6"/>
  <c r="M12368" i="6"/>
  <c r="M12369" i="6"/>
  <c r="M12370" i="6"/>
  <c r="M12371" i="6"/>
  <c r="M12372" i="6"/>
  <c r="M12373" i="6"/>
  <c r="M12374" i="6"/>
  <c r="M12375" i="6"/>
  <c r="M12376" i="6"/>
  <c r="M12377" i="6"/>
  <c r="M12378" i="6"/>
  <c r="M12379" i="6"/>
  <c r="M12380" i="6"/>
  <c r="M12381" i="6"/>
  <c r="M12382" i="6"/>
  <c r="M12383" i="6"/>
  <c r="M12384" i="6"/>
  <c r="M12385" i="6"/>
  <c r="M12386" i="6"/>
  <c r="M12387" i="6"/>
  <c r="M12388" i="6"/>
  <c r="M12389" i="6"/>
  <c r="M12390" i="6"/>
  <c r="M12391" i="6"/>
  <c r="M12392" i="6"/>
  <c r="M12393" i="6"/>
  <c r="M12394" i="6"/>
  <c r="M12395" i="6"/>
  <c r="M12396" i="6"/>
  <c r="M12397" i="6"/>
  <c r="M12398" i="6"/>
  <c r="M12399" i="6"/>
  <c r="M12400" i="6"/>
  <c r="M12401" i="6"/>
  <c r="M12402" i="6"/>
  <c r="M12403" i="6"/>
  <c r="M12404" i="6"/>
  <c r="M12405" i="6"/>
  <c r="M12406" i="6"/>
  <c r="M12407" i="6"/>
  <c r="M12408" i="6"/>
  <c r="M12409" i="6"/>
  <c r="M12410" i="6"/>
  <c r="M12411" i="6"/>
  <c r="M12412" i="6"/>
  <c r="M12413" i="6"/>
  <c r="M12414" i="6"/>
  <c r="M12415" i="6"/>
  <c r="M12416" i="6"/>
  <c r="M12417" i="6"/>
  <c r="M12418" i="6"/>
  <c r="M12419" i="6"/>
  <c r="M12420" i="6"/>
  <c r="M12421" i="6"/>
  <c r="M12422" i="6"/>
  <c r="M12423" i="6"/>
  <c r="M12424" i="6"/>
  <c r="M12425" i="6"/>
  <c r="M12426" i="6"/>
  <c r="M12427" i="6"/>
  <c r="M12428" i="6"/>
  <c r="M12429" i="6"/>
  <c r="M12430" i="6"/>
  <c r="M12431" i="6"/>
  <c r="M12432" i="6"/>
  <c r="M12433" i="6"/>
  <c r="M12434" i="6"/>
  <c r="M12435" i="6"/>
  <c r="M12436" i="6"/>
  <c r="M12437" i="6"/>
  <c r="M12438" i="6"/>
  <c r="M12439" i="6"/>
  <c r="M12440" i="6"/>
  <c r="M12441" i="6"/>
  <c r="M12442" i="6"/>
  <c r="M12443" i="6"/>
  <c r="M12444" i="6"/>
  <c r="M12445" i="6"/>
  <c r="M12446" i="6"/>
  <c r="M12447" i="6"/>
  <c r="M12448" i="6"/>
  <c r="M12449" i="6"/>
  <c r="M12450" i="6"/>
  <c r="M12451" i="6"/>
  <c r="M12452" i="6"/>
  <c r="M12453" i="6"/>
  <c r="M12454" i="6"/>
  <c r="M12455" i="6"/>
  <c r="M12456" i="6"/>
  <c r="M12457" i="6"/>
  <c r="M12458" i="6"/>
  <c r="M12459" i="6"/>
  <c r="M12460" i="6"/>
  <c r="M12461" i="6"/>
  <c r="M12462" i="6"/>
  <c r="M12463" i="6"/>
  <c r="M12464" i="6"/>
  <c r="M12465" i="6"/>
  <c r="M12466" i="6"/>
  <c r="M12467" i="6"/>
  <c r="M12468" i="6"/>
  <c r="M12469" i="6"/>
  <c r="M12470" i="6"/>
  <c r="M12471" i="6"/>
  <c r="M12472" i="6"/>
  <c r="M12473" i="6"/>
  <c r="M12474" i="6"/>
  <c r="M12475" i="6"/>
  <c r="M12476" i="6"/>
  <c r="M12477" i="6"/>
  <c r="M12478" i="6"/>
  <c r="M12479" i="6"/>
  <c r="M12480" i="6"/>
  <c r="M12481" i="6"/>
  <c r="M12482" i="6"/>
  <c r="M12483" i="6"/>
  <c r="M12484" i="6"/>
  <c r="M12485" i="6"/>
  <c r="M12486" i="6"/>
  <c r="M12487" i="6"/>
  <c r="M12488" i="6"/>
  <c r="M12489" i="6"/>
  <c r="M12490" i="6"/>
  <c r="M12491" i="6"/>
  <c r="M12492" i="6"/>
  <c r="M12493" i="6"/>
  <c r="M12494" i="6"/>
  <c r="M12495" i="6"/>
  <c r="M12496" i="6"/>
  <c r="M12497" i="6"/>
  <c r="M12498" i="6"/>
  <c r="M12499" i="6"/>
  <c r="M12500" i="6"/>
  <c r="M12501" i="6"/>
  <c r="M12502" i="6"/>
  <c r="M12503" i="6"/>
  <c r="M12504" i="6"/>
  <c r="M12505" i="6"/>
  <c r="M12506" i="6"/>
  <c r="M12507" i="6"/>
  <c r="M12508" i="6"/>
  <c r="M12509" i="6"/>
  <c r="M12510" i="6"/>
  <c r="M12511" i="6"/>
  <c r="M12512" i="6"/>
  <c r="M12513" i="6"/>
  <c r="M12514" i="6"/>
  <c r="M12515" i="6"/>
  <c r="M12516" i="6"/>
  <c r="M12517" i="6"/>
  <c r="M12518" i="6"/>
  <c r="M12519" i="6"/>
  <c r="M12520" i="6"/>
  <c r="M12521" i="6"/>
  <c r="M12522" i="6"/>
  <c r="M12523" i="6"/>
  <c r="M12524" i="6"/>
  <c r="M12525" i="6"/>
  <c r="M12526" i="6"/>
  <c r="M12527" i="6"/>
  <c r="M12528" i="6"/>
  <c r="M12529" i="6"/>
  <c r="M12530" i="6"/>
  <c r="M12531" i="6"/>
  <c r="M12532" i="6"/>
  <c r="M12533" i="6"/>
  <c r="M12534" i="6"/>
  <c r="M12535" i="6"/>
  <c r="M12536" i="6"/>
  <c r="M12537" i="6"/>
  <c r="M12538" i="6"/>
  <c r="M12539" i="6"/>
  <c r="M12540" i="6"/>
  <c r="M12541" i="6"/>
  <c r="M12542" i="6"/>
  <c r="M12543" i="6"/>
  <c r="M12544" i="6"/>
  <c r="M12545" i="6"/>
  <c r="M12546" i="6"/>
  <c r="M12547" i="6"/>
  <c r="M12548" i="6"/>
  <c r="M12549" i="6"/>
  <c r="M12550" i="6"/>
  <c r="M12551" i="6"/>
  <c r="M12552" i="6"/>
  <c r="M12553" i="6"/>
  <c r="M12554" i="6"/>
  <c r="M12555" i="6"/>
  <c r="M12556" i="6"/>
  <c r="M12557" i="6"/>
  <c r="M12558" i="6"/>
  <c r="M12559" i="6"/>
  <c r="M12560" i="6"/>
  <c r="M12561" i="6"/>
  <c r="M12562" i="6"/>
  <c r="M12563" i="6"/>
  <c r="M12564" i="6"/>
  <c r="M12565" i="6"/>
  <c r="M12566" i="6"/>
  <c r="M12567" i="6"/>
  <c r="M12568" i="6"/>
  <c r="M12569" i="6"/>
  <c r="M12570" i="6"/>
  <c r="M12571" i="6"/>
  <c r="M12572" i="6"/>
  <c r="M12573" i="6"/>
  <c r="M12574" i="6"/>
  <c r="M12575" i="6"/>
  <c r="M12576" i="6"/>
  <c r="M12577" i="6"/>
  <c r="M12578" i="6"/>
  <c r="M12579" i="6"/>
  <c r="M12580" i="6"/>
  <c r="M12581" i="6"/>
  <c r="M12582" i="6"/>
  <c r="M12583" i="6"/>
  <c r="M12584" i="6"/>
  <c r="M12585" i="6"/>
  <c r="M12586" i="6"/>
  <c r="M12587" i="6"/>
  <c r="M12588" i="6"/>
  <c r="M12589" i="6"/>
  <c r="M12590" i="6"/>
  <c r="M12591" i="6"/>
  <c r="M12592" i="6"/>
  <c r="M12593" i="6"/>
  <c r="M12594" i="6"/>
  <c r="M12595" i="6"/>
  <c r="M12596" i="6"/>
  <c r="M12597" i="6"/>
  <c r="M12598" i="6"/>
  <c r="M12599" i="6"/>
  <c r="M12600" i="6"/>
  <c r="M12601" i="6"/>
  <c r="M12602" i="6"/>
  <c r="M12603" i="6"/>
  <c r="M12604" i="6"/>
  <c r="M12605" i="6"/>
  <c r="M12606" i="6"/>
  <c r="M12607" i="6"/>
  <c r="M12608" i="6"/>
  <c r="M12609" i="6"/>
  <c r="M12610" i="6"/>
  <c r="M12611" i="6"/>
  <c r="M12612" i="6"/>
  <c r="M12613" i="6"/>
  <c r="M12614" i="6"/>
  <c r="M12615" i="6"/>
  <c r="M12616" i="6"/>
  <c r="M12617" i="6"/>
  <c r="M12618" i="6"/>
  <c r="M12619" i="6"/>
  <c r="M12620" i="6"/>
  <c r="M12621" i="6"/>
  <c r="M12622" i="6"/>
  <c r="M12623" i="6"/>
  <c r="M12624" i="6"/>
  <c r="M12625" i="6"/>
  <c r="M12626" i="6"/>
  <c r="M12627" i="6"/>
  <c r="M12628" i="6"/>
  <c r="M12629" i="6"/>
  <c r="M12630" i="6"/>
  <c r="M12631" i="6"/>
  <c r="M12632" i="6"/>
  <c r="M12633" i="6"/>
  <c r="M12634" i="6"/>
  <c r="M12635" i="6"/>
  <c r="M12636" i="6"/>
  <c r="M12637" i="6"/>
  <c r="M12638" i="6"/>
  <c r="M12639" i="6"/>
  <c r="M12640" i="6"/>
  <c r="M12641" i="6"/>
  <c r="M12642" i="6"/>
  <c r="M12643" i="6"/>
  <c r="M12644" i="6"/>
  <c r="M12645" i="6"/>
  <c r="M12646" i="6"/>
  <c r="M12647" i="6"/>
  <c r="M12648" i="6"/>
  <c r="M12649" i="6"/>
  <c r="M12650" i="6"/>
  <c r="M12651" i="6"/>
  <c r="M12652" i="6"/>
  <c r="M12653" i="6"/>
  <c r="M12654" i="6"/>
  <c r="M12655" i="6"/>
  <c r="M12656" i="6"/>
  <c r="M12657" i="6"/>
  <c r="M12658" i="6"/>
  <c r="M12659" i="6"/>
  <c r="M12660" i="6"/>
  <c r="M12661" i="6"/>
  <c r="M12662" i="6"/>
  <c r="M12663" i="6"/>
  <c r="M12664" i="6"/>
  <c r="M12665" i="6"/>
  <c r="M12666" i="6"/>
  <c r="M12667" i="6"/>
  <c r="M12668" i="6"/>
  <c r="M12669" i="6"/>
  <c r="M12670" i="6"/>
  <c r="M12671" i="6"/>
  <c r="M12672" i="6"/>
  <c r="M12673" i="6"/>
  <c r="M12674" i="6"/>
  <c r="M12675" i="6"/>
  <c r="M12676" i="6"/>
  <c r="M12677" i="6"/>
  <c r="M12678" i="6"/>
  <c r="M12679" i="6"/>
  <c r="M12680" i="6"/>
  <c r="M12681" i="6"/>
  <c r="M12682" i="6"/>
  <c r="M12683" i="6"/>
  <c r="M12684" i="6"/>
  <c r="M12685" i="6"/>
  <c r="M12686" i="6"/>
  <c r="M12687" i="6"/>
  <c r="M12688" i="6"/>
  <c r="M12689" i="6"/>
  <c r="M12690" i="6"/>
  <c r="M12691" i="6"/>
  <c r="M12692" i="6"/>
  <c r="M12693" i="6"/>
  <c r="M12694" i="6"/>
  <c r="M12695" i="6"/>
  <c r="M12696" i="6"/>
  <c r="M12697" i="6"/>
  <c r="M12698" i="6"/>
  <c r="M12699" i="6"/>
  <c r="M12700" i="6"/>
  <c r="M12701" i="6"/>
  <c r="M12702" i="6"/>
  <c r="M12703" i="6"/>
  <c r="M12704" i="6"/>
  <c r="M12705" i="6"/>
  <c r="M12706" i="6"/>
  <c r="M12707" i="6"/>
  <c r="M12708" i="6"/>
  <c r="M12709" i="6"/>
  <c r="M12710" i="6"/>
  <c r="M12711" i="6"/>
  <c r="M12712" i="6"/>
  <c r="M12713" i="6"/>
  <c r="M12714" i="6"/>
  <c r="M12715" i="6"/>
  <c r="M12716" i="6"/>
  <c r="M12717" i="6"/>
  <c r="M12718" i="6"/>
  <c r="M12719" i="6"/>
  <c r="M12720" i="6"/>
  <c r="M12721" i="6"/>
  <c r="M12722" i="6"/>
  <c r="M12723" i="6"/>
  <c r="M12724" i="6"/>
  <c r="M12725" i="6"/>
  <c r="M12726" i="6"/>
  <c r="M12727" i="6"/>
  <c r="M12728" i="6"/>
  <c r="M12729" i="6"/>
  <c r="M12730" i="6"/>
  <c r="M12731" i="6"/>
  <c r="M12732" i="6"/>
  <c r="M12733" i="6"/>
  <c r="M12734" i="6"/>
  <c r="M12735" i="6"/>
  <c r="M12736" i="6"/>
  <c r="M12737" i="6"/>
  <c r="M12738" i="6"/>
  <c r="M12739" i="6"/>
  <c r="M12740" i="6"/>
  <c r="M12741" i="6"/>
  <c r="M12742" i="6"/>
  <c r="M12743" i="6"/>
  <c r="M12744" i="6"/>
  <c r="M12745" i="6"/>
  <c r="M12746" i="6"/>
  <c r="M12747" i="6"/>
  <c r="M12748" i="6"/>
  <c r="M12749" i="6"/>
  <c r="M12750" i="6"/>
  <c r="M12751" i="6"/>
  <c r="M12752" i="6"/>
  <c r="M12753" i="6"/>
  <c r="M12754" i="6"/>
  <c r="M12755" i="6"/>
  <c r="M12756" i="6"/>
  <c r="M12757" i="6"/>
  <c r="M12758" i="6"/>
  <c r="M12759" i="6"/>
  <c r="M12760" i="6"/>
  <c r="M12761" i="6"/>
  <c r="M12762" i="6"/>
  <c r="M12763" i="6"/>
  <c r="M12764" i="6"/>
  <c r="M12765" i="6"/>
  <c r="M12766" i="6"/>
  <c r="M12767" i="6"/>
  <c r="M12768" i="6"/>
  <c r="M12769" i="6"/>
  <c r="M12770" i="6"/>
  <c r="M12771" i="6"/>
  <c r="M12772" i="6"/>
  <c r="M12773" i="6"/>
  <c r="M12774" i="6"/>
  <c r="M12775" i="6"/>
  <c r="M12776" i="6"/>
  <c r="M12777" i="6"/>
  <c r="M12778" i="6"/>
  <c r="M12779" i="6"/>
  <c r="M12780" i="6"/>
  <c r="M12781" i="6"/>
  <c r="M12782" i="6"/>
  <c r="M12783" i="6"/>
  <c r="M12784" i="6"/>
  <c r="M12785" i="6"/>
  <c r="M12786" i="6"/>
  <c r="M12787" i="6"/>
  <c r="M12788" i="6"/>
  <c r="M12789" i="6"/>
  <c r="M12790" i="6"/>
  <c r="M12791" i="6"/>
  <c r="M12792" i="6"/>
  <c r="M12793" i="6"/>
  <c r="M12794" i="6"/>
  <c r="M12795" i="6"/>
  <c r="M12796" i="6"/>
  <c r="M12797" i="6"/>
  <c r="M12798" i="6"/>
  <c r="M12799" i="6"/>
  <c r="M12800" i="6"/>
  <c r="M12801" i="6"/>
  <c r="M12802" i="6"/>
  <c r="M12803" i="6"/>
  <c r="M12804" i="6"/>
  <c r="M12805" i="6"/>
  <c r="M12806" i="6"/>
  <c r="M12807" i="6"/>
  <c r="M12808" i="6"/>
  <c r="M12809" i="6"/>
  <c r="M12810" i="6"/>
  <c r="M12811" i="6"/>
  <c r="M12812" i="6"/>
  <c r="M12813" i="6"/>
  <c r="M12814" i="6"/>
  <c r="M12815" i="6"/>
  <c r="M12816" i="6"/>
  <c r="M12817" i="6"/>
  <c r="M12818" i="6"/>
  <c r="M12819" i="6"/>
  <c r="M12820" i="6"/>
  <c r="M12821" i="6"/>
  <c r="M12822" i="6"/>
  <c r="M12823" i="6"/>
  <c r="M12824" i="6"/>
  <c r="M12825" i="6"/>
  <c r="M12826" i="6"/>
  <c r="M12827" i="6"/>
  <c r="M12828" i="6"/>
  <c r="M12829" i="6"/>
  <c r="M12830" i="6"/>
  <c r="M12831" i="6"/>
  <c r="M12832" i="6"/>
  <c r="M12833" i="6"/>
  <c r="M12834" i="6"/>
  <c r="M12835" i="6"/>
  <c r="M12836" i="6"/>
  <c r="M12837" i="6"/>
  <c r="M12838" i="6"/>
  <c r="M12839" i="6"/>
  <c r="M12840" i="6"/>
  <c r="M12841" i="6"/>
  <c r="M12842" i="6"/>
  <c r="M12843" i="6"/>
  <c r="M12844" i="6"/>
  <c r="M12845" i="6"/>
  <c r="M12846" i="6"/>
  <c r="M12847" i="6"/>
  <c r="M12848" i="6"/>
  <c r="M12849" i="6"/>
  <c r="M12850" i="6"/>
  <c r="M12851" i="6"/>
  <c r="M12852" i="6"/>
  <c r="M12853" i="6"/>
  <c r="M12854" i="6"/>
  <c r="M12855" i="6"/>
  <c r="M12856" i="6"/>
  <c r="M12857" i="6"/>
  <c r="M12858" i="6"/>
  <c r="M12859" i="6"/>
  <c r="M12860" i="6"/>
  <c r="M12861" i="6"/>
  <c r="M12862" i="6"/>
  <c r="M12863" i="6"/>
  <c r="M12864" i="6"/>
  <c r="M12865" i="6"/>
  <c r="M12866" i="6"/>
  <c r="M12867" i="6"/>
  <c r="M12868" i="6"/>
  <c r="M12869" i="6"/>
  <c r="M12870" i="6"/>
  <c r="M12871" i="6"/>
  <c r="M12872" i="6"/>
  <c r="M12873" i="6"/>
  <c r="M12874" i="6"/>
  <c r="M12875" i="6"/>
  <c r="M12876" i="6"/>
  <c r="M12877" i="6"/>
  <c r="M12878" i="6"/>
  <c r="M12879" i="6"/>
  <c r="M12880" i="6"/>
  <c r="M12881" i="6"/>
  <c r="M12882" i="6"/>
  <c r="M12883" i="6"/>
  <c r="M12884" i="6"/>
  <c r="M12885" i="6"/>
  <c r="M12886" i="6"/>
  <c r="M12887" i="6"/>
  <c r="M12888" i="6"/>
  <c r="M12889" i="6"/>
  <c r="M12890" i="6"/>
  <c r="M12891" i="6"/>
  <c r="M12892" i="6"/>
  <c r="M12893" i="6"/>
  <c r="M12894" i="6"/>
  <c r="M12895" i="6"/>
  <c r="M12896" i="6"/>
  <c r="M12897" i="6"/>
  <c r="M12898" i="6"/>
  <c r="M12899" i="6"/>
  <c r="M12900" i="6"/>
  <c r="M12901" i="6"/>
  <c r="M12902" i="6"/>
  <c r="M12903" i="6"/>
  <c r="M12904" i="6"/>
  <c r="M12905" i="6"/>
  <c r="M12906" i="6"/>
  <c r="M12907" i="6"/>
  <c r="M12908" i="6"/>
  <c r="M12909" i="6"/>
  <c r="M12910" i="6"/>
  <c r="M12911" i="6"/>
  <c r="M12912" i="6"/>
  <c r="M12913" i="6"/>
  <c r="M12914" i="6"/>
  <c r="M12915" i="6"/>
  <c r="M12916" i="6"/>
  <c r="M12917" i="6"/>
  <c r="M12918" i="6"/>
  <c r="M12919" i="6"/>
  <c r="M12920" i="6"/>
  <c r="M12921" i="6"/>
  <c r="M12922" i="6"/>
  <c r="M12923" i="6"/>
  <c r="M12924" i="6"/>
  <c r="M12925" i="6"/>
  <c r="M12926" i="6"/>
  <c r="M12927" i="6"/>
  <c r="M12928" i="6"/>
  <c r="M12929" i="6"/>
  <c r="M12930" i="6"/>
  <c r="M12931" i="6"/>
  <c r="M12932" i="6"/>
  <c r="M12933" i="6"/>
  <c r="M12934" i="6"/>
  <c r="M12935" i="6"/>
  <c r="M12936" i="6"/>
  <c r="M12937" i="6"/>
  <c r="M12938" i="6"/>
  <c r="M12939" i="6"/>
  <c r="M12940" i="6"/>
  <c r="M12941" i="6"/>
  <c r="M12942" i="6"/>
  <c r="M12943" i="6"/>
  <c r="M12944" i="6"/>
  <c r="M12945" i="6"/>
  <c r="M12946" i="6"/>
  <c r="M12947" i="6"/>
  <c r="M12948" i="6"/>
  <c r="M12949" i="6"/>
  <c r="M12950" i="6"/>
  <c r="M12951" i="6"/>
  <c r="M12952" i="6"/>
  <c r="M12953" i="6"/>
  <c r="M12954" i="6"/>
  <c r="M12955" i="6"/>
  <c r="M12956" i="6"/>
  <c r="M12957" i="6"/>
  <c r="M12958" i="6"/>
  <c r="M12959" i="6"/>
  <c r="M12960" i="6"/>
  <c r="M12961" i="6"/>
  <c r="M12962" i="6"/>
  <c r="M12963" i="6"/>
  <c r="M12964" i="6"/>
  <c r="M12965" i="6"/>
  <c r="M12966" i="6"/>
  <c r="M12967" i="6"/>
  <c r="M12968" i="6"/>
  <c r="M12969" i="6"/>
  <c r="M12970" i="6"/>
  <c r="M12971" i="6"/>
  <c r="M12972" i="6"/>
  <c r="M12973" i="6"/>
  <c r="M12974" i="6"/>
  <c r="M12975" i="6"/>
  <c r="M12976" i="6"/>
  <c r="M12977" i="6"/>
  <c r="M12978" i="6"/>
  <c r="M12979" i="6"/>
  <c r="M12980" i="6"/>
  <c r="M12981" i="6"/>
  <c r="M12982" i="6"/>
  <c r="M12983" i="6"/>
  <c r="M12984" i="6"/>
  <c r="M12985" i="6"/>
  <c r="M12986" i="6"/>
  <c r="M12987" i="6"/>
  <c r="M12988" i="6"/>
  <c r="M12989" i="6"/>
  <c r="M12990" i="6"/>
  <c r="M12991" i="6"/>
  <c r="M12992" i="6"/>
  <c r="M12993" i="6"/>
  <c r="M12994" i="6"/>
  <c r="M12995" i="6"/>
  <c r="M12996" i="6"/>
  <c r="M12997" i="6"/>
  <c r="M12998" i="6"/>
  <c r="M12999" i="6"/>
  <c r="M13000" i="6"/>
  <c r="M13001" i="6"/>
  <c r="M13002" i="6"/>
  <c r="M13003" i="6"/>
  <c r="M13004" i="6"/>
  <c r="M13005" i="6"/>
  <c r="M13006" i="6"/>
  <c r="M13007" i="6"/>
  <c r="M13008" i="6"/>
  <c r="M13009" i="6"/>
  <c r="M13010" i="6"/>
  <c r="M13011" i="6"/>
  <c r="M13012" i="6"/>
  <c r="M13013" i="6"/>
  <c r="M13014" i="6"/>
  <c r="M13015" i="6"/>
  <c r="M13016" i="6"/>
  <c r="M13017" i="6"/>
  <c r="M13018" i="6"/>
  <c r="M13019" i="6"/>
  <c r="M13020" i="6"/>
  <c r="M13021" i="6"/>
  <c r="M13022" i="6"/>
  <c r="M13023" i="6"/>
  <c r="M13024" i="6"/>
  <c r="M13025" i="6"/>
  <c r="M13026" i="6"/>
  <c r="M13027" i="6"/>
  <c r="M13028" i="6"/>
  <c r="M13029" i="6"/>
  <c r="M13030" i="6"/>
  <c r="M13031" i="6"/>
  <c r="M13032" i="6"/>
  <c r="M13033" i="6"/>
  <c r="M13034" i="6"/>
  <c r="M13035" i="6"/>
  <c r="M13036" i="6"/>
  <c r="M13037" i="6"/>
  <c r="M13038" i="6"/>
  <c r="M13039" i="6"/>
  <c r="M13040" i="6"/>
  <c r="M13041" i="6"/>
  <c r="M13042" i="6"/>
  <c r="M13043" i="6"/>
  <c r="M13044" i="6"/>
  <c r="M13045" i="6"/>
  <c r="M13046" i="6"/>
  <c r="M13047" i="6"/>
  <c r="M13048" i="6"/>
  <c r="M13049" i="6"/>
  <c r="M13050" i="6"/>
  <c r="M13051" i="6"/>
  <c r="M13052" i="6"/>
  <c r="M13053" i="6"/>
  <c r="M13054" i="6"/>
  <c r="M13055" i="6"/>
  <c r="M13056" i="6"/>
  <c r="M13057" i="6"/>
  <c r="M13058" i="6"/>
  <c r="M13059" i="6"/>
  <c r="M13060" i="6"/>
  <c r="M13061" i="6"/>
  <c r="M13062" i="6"/>
  <c r="M13063" i="6"/>
  <c r="M13064" i="6"/>
  <c r="M13065" i="6"/>
  <c r="M13066" i="6"/>
  <c r="M13067" i="6"/>
  <c r="M13068" i="6"/>
  <c r="M13069" i="6"/>
  <c r="M13070" i="6"/>
  <c r="M13071" i="6"/>
  <c r="M13072" i="6"/>
  <c r="M13073" i="6"/>
  <c r="M13074" i="6"/>
  <c r="M13075" i="6"/>
  <c r="M13076" i="6"/>
  <c r="M13077" i="6"/>
  <c r="M13078" i="6"/>
  <c r="M13079" i="6"/>
  <c r="M13080" i="6"/>
  <c r="M13081" i="6"/>
  <c r="M13082" i="6"/>
  <c r="M13083" i="6"/>
  <c r="M13084" i="6"/>
  <c r="M13085" i="6"/>
  <c r="M13086" i="6"/>
  <c r="M13087" i="6"/>
  <c r="M13088" i="6"/>
  <c r="M13089" i="6"/>
  <c r="M13090" i="6"/>
  <c r="M13091" i="6"/>
  <c r="M13092" i="6"/>
  <c r="M13093" i="6"/>
  <c r="M13094" i="6"/>
  <c r="M13095" i="6"/>
  <c r="M13096" i="6"/>
  <c r="M13097" i="6"/>
  <c r="M13098" i="6"/>
  <c r="M13099" i="6"/>
  <c r="M13100" i="6"/>
  <c r="M13101" i="6"/>
  <c r="M13102" i="6"/>
  <c r="M13103" i="6"/>
  <c r="M13104" i="6"/>
  <c r="M13105" i="6"/>
  <c r="M13106" i="6"/>
  <c r="M13107" i="6"/>
  <c r="M13108" i="6"/>
  <c r="M13109" i="6"/>
  <c r="M13110" i="6"/>
  <c r="M13111" i="6"/>
  <c r="M13112" i="6"/>
  <c r="M13113" i="6"/>
  <c r="M13114" i="6"/>
  <c r="M13115" i="6"/>
  <c r="M13116" i="6"/>
  <c r="M13117" i="6"/>
  <c r="M13118" i="6"/>
  <c r="M13119" i="6"/>
  <c r="M13120" i="6"/>
  <c r="M13121" i="6"/>
  <c r="M13122" i="6"/>
  <c r="M13123" i="6"/>
  <c r="M13124" i="6"/>
  <c r="M13125" i="6"/>
  <c r="M13126" i="6"/>
  <c r="M13127" i="6"/>
  <c r="M13128" i="6"/>
  <c r="M13129" i="6"/>
  <c r="M13130" i="6"/>
  <c r="M13131" i="6"/>
  <c r="M13132" i="6"/>
  <c r="M13133" i="6"/>
  <c r="M13134" i="6"/>
  <c r="M13135" i="6"/>
  <c r="M13136" i="6"/>
  <c r="M13137" i="6"/>
  <c r="M13138" i="6"/>
  <c r="M13139" i="6"/>
  <c r="M13140" i="6"/>
  <c r="M13141" i="6"/>
  <c r="M13142" i="6"/>
  <c r="M13143" i="6"/>
  <c r="M13144" i="6"/>
  <c r="M13145" i="6"/>
  <c r="M13146" i="6"/>
  <c r="M13147" i="6"/>
  <c r="M13148" i="6"/>
  <c r="M13149" i="6"/>
  <c r="M13150" i="6"/>
  <c r="M13151" i="6"/>
  <c r="M13152" i="6"/>
  <c r="M13153" i="6"/>
  <c r="M13154" i="6"/>
  <c r="M13155" i="6"/>
  <c r="M13156" i="6"/>
  <c r="M13157" i="6"/>
  <c r="M13158" i="6"/>
  <c r="M13159" i="6"/>
  <c r="M13160" i="6"/>
  <c r="M13161" i="6"/>
  <c r="M13162" i="6"/>
  <c r="M13163" i="6"/>
  <c r="M13164" i="6"/>
  <c r="M13165" i="6"/>
  <c r="M13166" i="6"/>
  <c r="M13167" i="6"/>
  <c r="M13168" i="6"/>
  <c r="M13169" i="6"/>
  <c r="M13170" i="6"/>
  <c r="M13171" i="6"/>
  <c r="M13172" i="6"/>
  <c r="M13173" i="6"/>
  <c r="M13174" i="6"/>
  <c r="M13175" i="6"/>
  <c r="M13176" i="6"/>
  <c r="M13177" i="6"/>
  <c r="M13178" i="6"/>
  <c r="M13179" i="6"/>
  <c r="M13180" i="6"/>
  <c r="M13181" i="6"/>
  <c r="M13182" i="6"/>
  <c r="M13183" i="6"/>
  <c r="M13184" i="6"/>
  <c r="M13185" i="6"/>
  <c r="M13186" i="6"/>
  <c r="M13187" i="6"/>
  <c r="M13188" i="6"/>
  <c r="M13189" i="6"/>
  <c r="M13190" i="6"/>
  <c r="M13191" i="6"/>
  <c r="M13192" i="6"/>
  <c r="M13193" i="6"/>
  <c r="M13194" i="6"/>
  <c r="M13195" i="6"/>
  <c r="M13196" i="6"/>
  <c r="M13197" i="6"/>
  <c r="M13198" i="6"/>
  <c r="M13199" i="6"/>
  <c r="M13200" i="6"/>
  <c r="M13201" i="6"/>
  <c r="M13202" i="6"/>
  <c r="M13203" i="6"/>
  <c r="M13204" i="6"/>
  <c r="M13205" i="6"/>
  <c r="M13206" i="6"/>
  <c r="M13207" i="6"/>
  <c r="M13208" i="6"/>
  <c r="M13209" i="6"/>
  <c r="M13210" i="6"/>
  <c r="M13211" i="6"/>
  <c r="M13212" i="6"/>
  <c r="M13213" i="6"/>
  <c r="M13214" i="6"/>
  <c r="M13215" i="6"/>
  <c r="M13216" i="6"/>
  <c r="M13217" i="6"/>
  <c r="M13218" i="6"/>
  <c r="M13219" i="6"/>
  <c r="M13220" i="6"/>
  <c r="M13221" i="6"/>
  <c r="M13222" i="6"/>
  <c r="M13223" i="6"/>
  <c r="M13224" i="6"/>
  <c r="M13225" i="6"/>
  <c r="M13226" i="6"/>
  <c r="M13227" i="6"/>
  <c r="M13228" i="6"/>
  <c r="M13229" i="6"/>
  <c r="M13230" i="6"/>
  <c r="M13231" i="6"/>
  <c r="M13232" i="6"/>
  <c r="M13233" i="6"/>
  <c r="M13234" i="6"/>
  <c r="M13235" i="6"/>
  <c r="M13236" i="6"/>
  <c r="M13237" i="6"/>
  <c r="M13238" i="6"/>
  <c r="M13239" i="6"/>
  <c r="M13240" i="6"/>
  <c r="M13241" i="6"/>
  <c r="M13242" i="6"/>
  <c r="M13243" i="6"/>
  <c r="M13244" i="6"/>
  <c r="M13245" i="6"/>
  <c r="M13246" i="6"/>
  <c r="M13247" i="6"/>
  <c r="M13248" i="6"/>
  <c r="M13249" i="6"/>
  <c r="M13250" i="6"/>
  <c r="M13251" i="6"/>
  <c r="M13252" i="6"/>
  <c r="M13253" i="6"/>
  <c r="M13254" i="6"/>
  <c r="M13255" i="6"/>
  <c r="M13256" i="6"/>
  <c r="M13257" i="6"/>
  <c r="M13258" i="6"/>
  <c r="M13259" i="6"/>
  <c r="M13260" i="6"/>
  <c r="M13261" i="6"/>
  <c r="M13262" i="6"/>
  <c r="M13263" i="6"/>
  <c r="M13264" i="6"/>
  <c r="M13265" i="6"/>
  <c r="M13266" i="6"/>
  <c r="M13267" i="6"/>
  <c r="M13268" i="6"/>
  <c r="M13269" i="6"/>
  <c r="M13270" i="6"/>
  <c r="M13271" i="6"/>
  <c r="M13272" i="6"/>
  <c r="M13273" i="6"/>
  <c r="M13274" i="6"/>
  <c r="M13275" i="6"/>
  <c r="M13276" i="6"/>
  <c r="M13277" i="6"/>
  <c r="M13278" i="6"/>
  <c r="M13279" i="6"/>
  <c r="M13280" i="6"/>
  <c r="M13281" i="6"/>
  <c r="M13282" i="6"/>
  <c r="M13283" i="6"/>
  <c r="M13284" i="6"/>
  <c r="M13285" i="6"/>
  <c r="M13286" i="6"/>
  <c r="M13287" i="6"/>
  <c r="M13288" i="6"/>
  <c r="M13289" i="6"/>
  <c r="M13290" i="6"/>
  <c r="M13291" i="6"/>
  <c r="M13292" i="6"/>
  <c r="M13293" i="6"/>
  <c r="M13294" i="6"/>
  <c r="M13295" i="6"/>
  <c r="M13296" i="6"/>
  <c r="M13297" i="6"/>
  <c r="M13298" i="6"/>
  <c r="M13299" i="6"/>
  <c r="M13300" i="6"/>
  <c r="M13301" i="6"/>
  <c r="M13302" i="6"/>
  <c r="M13303" i="6"/>
  <c r="M13304" i="6"/>
  <c r="M13305" i="6"/>
  <c r="M13306" i="6"/>
  <c r="M13307" i="6"/>
  <c r="M13308" i="6"/>
  <c r="M13309" i="6"/>
  <c r="M13310" i="6"/>
  <c r="M13311" i="6"/>
  <c r="M13312" i="6"/>
  <c r="M13313" i="6"/>
  <c r="M13314" i="6"/>
  <c r="M13315" i="6"/>
  <c r="M13316" i="6"/>
  <c r="M13317" i="6"/>
  <c r="M13318" i="6"/>
  <c r="M13319" i="6"/>
  <c r="M13320" i="6"/>
  <c r="M13321" i="6"/>
  <c r="M13322" i="6"/>
  <c r="M13323" i="6"/>
  <c r="M13324" i="6"/>
  <c r="M13325" i="6"/>
  <c r="M13326" i="6"/>
  <c r="M13327" i="6"/>
  <c r="M13328" i="6"/>
  <c r="M13329" i="6"/>
  <c r="M13330" i="6"/>
  <c r="M13331" i="6"/>
  <c r="M13332" i="6"/>
  <c r="M13333" i="6"/>
  <c r="M13334" i="6"/>
  <c r="M13335" i="6"/>
  <c r="M13336" i="6"/>
  <c r="M13337" i="6"/>
  <c r="M13338" i="6"/>
  <c r="M13339" i="6"/>
  <c r="M13340" i="6"/>
  <c r="M13341" i="6"/>
  <c r="M13342" i="6"/>
  <c r="M13343" i="6"/>
  <c r="M13344" i="6"/>
  <c r="M13345" i="6"/>
  <c r="M13346" i="6"/>
  <c r="M13347" i="6"/>
  <c r="M13348" i="6"/>
  <c r="M13349" i="6"/>
  <c r="M13350" i="6"/>
  <c r="M13351" i="6"/>
  <c r="M13352" i="6"/>
  <c r="M13353" i="6"/>
  <c r="M13354" i="6"/>
  <c r="M13355" i="6"/>
  <c r="M13356" i="6"/>
  <c r="M13357" i="6"/>
  <c r="M13358" i="6"/>
  <c r="M13359" i="6"/>
  <c r="M13360" i="6"/>
  <c r="M13361" i="6"/>
  <c r="M13362" i="6"/>
  <c r="M13363" i="6"/>
  <c r="M13364" i="6"/>
  <c r="M13365" i="6"/>
  <c r="M13366" i="6"/>
  <c r="M13367" i="6"/>
  <c r="M13368" i="6"/>
  <c r="M13369" i="6"/>
  <c r="M13370" i="6"/>
  <c r="M13371" i="6"/>
  <c r="M13372" i="6"/>
  <c r="M13373" i="6"/>
  <c r="M13374" i="6"/>
  <c r="M13375" i="6"/>
  <c r="M13376" i="6"/>
  <c r="M13377" i="6"/>
  <c r="M13378" i="6"/>
  <c r="M13379" i="6"/>
  <c r="M13380" i="6"/>
  <c r="M13381" i="6"/>
  <c r="M13382" i="6"/>
  <c r="M13383" i="6"/>
  <c r="M13384" i="6"/>
  <c r="M13385" i="6"/>
  <c r="M13386" i="6"/>
  <c r="M13387" i="6"/>
  <c r="M13388" i="6"/>
  <c r="M13389" i="6"/>
  <c r="M13390" i="6"/>
  <c r="M13391" i="6"/>
  <c r="M13392" i="6"/>
  <c r="M13393" i="6"/>
  <c r="M13394" i="6"/>
  <c r="M13395" i="6"/>
  <c r="M13396" i="6"/>
  <c r="M13397" i="6"/>
  <c r="M13398" i="6"/>
  <c r="M13399" i="6"/>
  <c r="M13400" i="6"/>
  <c r="M13401" i="6"/>
  <c r="M13402" i="6"/>
  <c r="M13403" i="6"/>
  <c r="M13404" i="6"/>
  <c r="M13405" i="6"/>
  <c r="M13406" i="6"/>
  <c r="M13407" i="6"/>
  <c r="M13408" i="6"/>
  <c r="M13409" i="6"/>
  <c r="M13410" i="6"/>
  <c r="M13411" i="6"/>
  <c r="M13412" i="6"/>
  <c r="M13413" i="6"/>
  <c r="M13414" i="6"/>
  <c r="M13415" i="6"/>
  <c r="M13416" i="6"/>
  <c r="M13417" i="6"/>
  <c r="M13418" i="6"/>
  <c r="M13419" i="6"/>
  <c r="M13420" i="6"/>
  <c r="M13421" i="6"/>
  <c r="M13422" i="6"/>
  <c r="M13423" i="6"/>
  <c r="M13424" i="6"/>
  <c r="M13425" i="6"/>
  <c r="M13426" i="6"/>
  <c r="M13427" i="6"/>
  <c r="M13428" i="6"/>
  <c r="M13429" i="6"/>
  <c r="M13430" i="6"/>
  <c r="M13431" i="6"/>
  <c r="M13432" i="6"/>
  <c r="M13433" i="6"/>
  <c r="M13434" i="6"/>
  <c r="M13435" i="6"/>
  <c r="M13436" i="6"/>
  <c r="M13437" i="6"/>
  <c r="M13438" i="6"/>
  <c r="M13439" i="6"/>
  <c r="M13440" i="6"/>
  <c r="M13441" i="6"/>
  <c r="M13442" i="6"/>
  <c r="M13443" i="6"/>
  <c r="M13444" i="6"/>
  <c r="M13445" i="6"/>
  <c r="M13446" i="6"/>
  <c r="M13447" i="6"/>
  <c r="M13448" i="6"/>
  <c r="M13449" i="6"/>
  <c r="M13450" i="6"/>
  <c r="M13451" i="6"/>
  <c r="M13452" i="6"/>
  <c r="M13453" i="6"/>
  <c r="M13454" i="6"/>
  <c r="M13455" i="6"/>
  <c r="M13456" i="6"/>
  <c r="M13457" i="6"/>
  <c r="M13458" i="6"/>
  <c r="M13459" i="6"/>
  <c r="M13460" i="6"/>
  <c r="M13461" i="6"/>
  <c r="M13462" i="6"/>
  <c r="M13463" i="6"/>
  <c r="M13464" i="6"/>
  <c r="M13465" i="6"/>
  <c r="M13466" i="6"/>
  <c r="M13467" i="6"/>
  <c r="M13468" i="6"/>
  <c r="M13469" i="6"/>
  <c r="M13470" i="6"/>
  <c r="M13471" i="6"/>
  <c r="M13472" i="6"/>
  <c r="M13473" i="6"/>
  <c r="M13474" i="6"/>
  <c r="M13475" i="6"/>
  <c r="M13476" i="6"/>
  <c r="M13477" i="6"/>
  <c r="M13478" i="6"/>
  <c r="M13479" i="6"/>
  <c r="M13480" i="6"/>
  <c r="M13481" i="6"/>
  <c r="M13482" i="6"/>
  <c r="M13483" i="6"/>
  <c r="M13484" i="6"/>
  <c r="M13485" i="6"/>
  <c r="M13486" i="6"/>
  <c r="M13487" i="6"/>
  <c r="M13488" i="6"/>
  <c r="M13489" i="6"/>
  <c r="M13490" i="6"/>
  <c r="M13491" i="6"/>
  <c r="M13492" i="6"/>
  <c r="M13493" i="6"/>
  <c r="M13494" i="6"/>
  <c r="M13495" i="6"/>
  <c r="M13496" i="6"/>
  <c r="M13497" i="6"/>
  <c r="M13498" i="6"/>
  <c r="M13499" i="6"/>
  <c r="M13500" i="6"/>
  <c r="M13501" i="6"/>
  <c r="M13502" i="6"/>
  <c r="M13503" i="6"/>
  <c r="M13504" i="6"/>
  <c r="M13505" i="6"/>
  <c r="M13506" i="6"/>
  <c r="M13507" i="6"/>
  <c r="M13508" i="6"/>
  <c r="M13509" i="6"/>
  <c r="M13510" i="6"/>
  <c r="M13511" i="6"/>
  <c r="M13512" i="6"/>
  <c r="M13513" i="6"/>
  <c r="M13514" i="6"/>
  <c r="M13515" i="6"/>
  <c r="M13516" i="6"/>
  <c r="M13517" i="6"/>
  <c r="M13518" i="6"/>
  <c r="M13519" i="6"/>
  <c r="M13520" i="6"/>
  <c r="M13521" i="6"/>
  <c r="M13522" i="6"/>
  <c r="M13523" i="6"/>
  <c r="M13524" i="6"/>
  <c r="M13525" i="6"/>
  <c r="M13526" i="6"/>
  <c r="M13527" i="6"/>
  <c r="M13528" i="6"/>
  <c r="M13529" i="6"/>
  <c r="M13530" i="6"/>
  <c r="M13531" i="6"/>
  <c r="M13532" i="6"/>
  <c r="M13533" i="6"/>
  <c r="M13534" i="6"/>
  <c r="M13535" i="6"/>
  <c r="M13536" i="6"/>
  <c r="M13537" i="6"/>
  <c r="M13538" i="6"/>
  <c r="M13539" i="6"/>
  <c r="M13540" i="6"/>
  <c r="M13541" i="6"/>
  <c r="M13542" i="6"/>
  <c r="M13543" i="6"/>
  <c r="M13544" i="6"/>
  <c r="M13545" i="6"/>
  <c r="M13546" i="6"/>
  <c r="M13547" i="6"/>
  <c r="M13548" i="6"/>
  <c r="M13549" i="6"/>
  <c r="M13550" i="6"/>
  <c r="M13551" i="6"/>
  <c r="M13552" i="6"/>
  <c r="M13553" i="6"/>
  <c r="M13554" i="6"/>
  <c r="M13555" i="6"/>
  <c r="M13556" i="6"/>
  <c r="M13557" i="6"/>
  <c r="M13558" i="6"/>
  <c r="M13559" i="6"/>
  <c r="M13560" i="6"/>
  <c r="M13561" i="6"/>
  <c r="M13562" i="6"/>
  <c r="M13563" i="6"/>
  <c r="M13564" i="6"/>
  <c r="M13565" i="6"/>
  <c r="M13566" i="6"/>
  <c r="M13567" i="6"/>
  <c r="M13568" i="6"/>
  <c r="M13569" i="6"/>
  <c r="M13570" i="6"/>
  <c r="M13571" i="6"/>
  <c r="M13572" i="6"/>
  <c r="M13573" i="6"/>
  <c r="M13574" i="6"/>
  <c r="M13575" i="6"/>
  <c r="M13576" i="6"/>
  <c r="M13577" i="6"/>
  <c r="M13578" i="6"/>
  <c r="M13579" i="6"/>
  <c r="M13580" i="6"/>
  <c r="M13581" i="6"/>
  <c r="M13582" i="6"/>
  <c r="M13583" i="6"/>
  <c r="M13584" i="6"/>
  <c r="M13585" i="6"/>
  <c r="M13586" i="6"/>
  <c r="M13587" i="6"/>
  <c r="M13588" i="6"/>
  <c r="M13589" i="6"/>
  <c r="M13590" i="6"/>
  <c r="M13591" i="6"/>
  <c r="M13592" i="6"/>
  <c r="M13593" i="6"/>
  <c r="M13594" i="6"/>
  <c r="M13595" i="6"/>
  <c r="M13596" i="6"/>
  <c r="M13597" i="6"/>
  <c r="M13598" i="6"/>
  <c r="M13599" i="6"/>
  <c r="M13600" i="6"/>
  <c r="M13601" i="6"/>
  <c r="M13602" i="6"/>
  <c r="M13603" i="6"/>
  <c r="M13604" i="6"/>
  <c r="M13605" i="6"/>
  <c r="M13606" i="6"/>
  <c r="M13607" i="6"/>
  <c r="M13608" i="6"/>
  <c r="M13609" i="6"/>
  <c r="M13610" i="6"/>
  <c r="M13611" i="6"/>
  <c r="M13612" i="6"/>
  <c r="M13613" i="6"/>
  <c r="M13614" i="6"/>
  <c r="M13615" i="6"/>
  <c r="M13616" i="6"/>
  <c r="M13617" i="6"/>
  <c r="M13618" i="6"/>
  <c r="M13619" i="6"/>
  <c r="M13620" i="6"/>
  <c r="M13621" i="6"/>
  <c r="M13622" i="6"/>
  <c r="M13623" i="6"/>
  <c r="M13624" i="6"/>
  <c r="M13625" i="6"/>
  <c r="M13626" i="6"/>
  <c r="M13627" i="6"/>
  <c r="M13628" i="6"/>
  <c r="M13629" i="6"/>
  <c r="M13630" i="6"/>
  <c r="M13631" i="6"/>
  <c r="M13632" i="6"/>
  <c r="M13633" i="6"/>
  <c r="M13634" i="6"/>
  <c r="M13635" i="6"/>
  <c r="M13636" i="6"/>
  <c r="M13637" i="6"/>
  <c r="M13638" i="6"/>
  <c r="M13639" i="6"/>
  <c r="M13640" i="6"/>
  <c r="M13641" i="6"/>
  <c r="M13642" i="6"/>
  <c r="M13643" i="6"/>
  <c r="M13644" i="6"/>
  <c r="M13645" i="6"/>
  <c r="M13646" i="6"/>
  <c r="M13647" i="6"/>
  <c r="M13648" i="6"/>
  <c r="M13649" i="6"/>
  <c r="M13650" i="6"/>
  <c r="M13651" i="6"/>
  <c r="M13652" i="6"/>
  <c r="M13653" i="6"/>
  <c r="M13654" i="6"/>
  <c r="M13655" i="6"/>
  <c r="M13656" i="6"/>
  <c r="M13657" i="6"/>
  <c r="M13658" i="6"/>
  <c r="M13659" i="6"/>
  <c r="M13660" i="6"/>
  <c r="M13661" i="6"/>
  <c r="M13662" i="6"/>
  <c r="M13663" i="6"/>
  <c r="M13664" i="6"/>
  <c r="M13665" i="6"/>
  <c r="M13666" i="6"/>
  <c r="M13667" i="6"/>
  <c r="M13668" i="6"/>
  <c r="M13669" i="6"/>
  <c r="M13670" i="6"/>
  <c r="M13671" i="6"/>
  <c r="M13672" i="6"/>
  <c r="M13673" i="6"/>
  <c r="M13674" i="6"/>
  <c r="M13675" i="6"/>
  <c r="M13676" i="6"/>
  <c r="M13677" i="6"/>
  <c r="M13678" i="6"/>
  <c r="M13679" i="6"/>
  <c r="M13680" i="6"/>
  <c r="M13681" i="6"/>
  <c r="M13682" i="6"/>
  <c r="M13683" i="6"/>
  <c r="M13684" i="6"/>
  <c r="M13685" i="6"/>
  <c r="M13686" i="6"/>
  <c r="M13687" i="6"/>
  <c r="M13688" i="6"/>
  <c r="M13689" i="6"/>
  <c r="M13690" i="6"/>
  <c r="M13691" i="6"/>
  <c r="M13692" i="6"/>
  <c r="M13693" i="6"/>
  <c r="M13694" i="6"/>
  <c r="M13695" i="6"/>
  <c r="M13696" i="6"/>
  <c r="M13697" i="6"/>
  <c r="M13698" i="6"/>
  <c r="M13699" i="6"/>
  <c r="M13700" i="6"/>
  <c r="M13701" i="6"/>
  <c r="M13702" i="6"/>
  <c r="M13703" i="6"/>
  <c r="M13704" i="6"/>
  <c r="M13705" i="6"/>
  <c r="M13706" i="6"/>
  <c r="M13707" i="6"/>
  <c r="M13708" i="6"/>
  <c r="M13709" i="6"/>
  <c r="M13710" i="6"/>
  <c r="M13711" i="6"/>
  <c r="M13712" i="6"/>
  <c r="M13713" i="6"/>
  <c r="M13714" i="6"/>
  <c r="M13715" i="6"/>
  <c r="M13716" i="6"/>
  <c r="M13717" i="6"/>
  <c r="M13718" i="6"/>
  <c r="M13719" i="6"/>
  <c r="M13720" i="6"/>
  <c r="M13721" i="6"/>
  <c r="M13722" i="6"/>
  <c r="M13723" i="6"/>
  <c r="M13724" i="6"/>
  <c r="M13725" i="6"/>
  <c r="M13726" i="6"/>
  <c r="M13727" i="6"/>
  <c r="M13728" i="6"/>
  <c r="M13729" i="6"/>
  <c r="M13730" i="6"/>
  <c r="M13731" i="6"/>
  <c r="M13732" i="6"/>
  <c r="M13733" i="6"/>
  <c r="M13734" i="6"/>
  <c r="M13735" i="6"/>
  <c r="M13736" i="6"/>
  <c r="M13737" i="6"/>
  <c r="M13738" i="6"/>
  <c r="M13739" i="6"/>
  <c r="M13740" i="6"/>
  <c r="M13741" i="6"/>
  <c r="M13742" i="6"/>
  <c r="M13743" i="6"/>
  <c r="M13744" i="6"/>
  <c r="M13745" i="6"/>
  <c r="M13746" i="6"/>
  <c r="M13747" i="6"/>
  <c r="M13748" i="6"/>
  <c r="M13749" i="6"/>
  <c r="M13750" i="6"/>
  <c r="M13751" i="6"/>
  <c r="M13752" i="6"/>
  <c r="M13753" i="6"/>
  <c r="M13754" i="6"/>
  <c r="M13755" i="6"/>
  <c r="M13756" i="6"/>
  <c r="M13757" i="6"/>
  <c r="M13758" i="6"/>
  <c r="M13759" i="6"/>
  <c r="M13760" i="6"/>
  <c r="M13761" i="6"/>
  <c r="M13762" i="6"/>
  <c r="M13763" i="6"/>
  <c r="M13764" i="6"/>
  <c r="M13765" i="6"/>
  <c r="M13766" i="6"/>
  <c r="M13767" i="6"/>
  <c r="M13768" i="6"/>
  <c r="M13769" i="6"/>
  <c r="M13770" i="6"/>
  <c r="M13771" i="6"/>
  <c r="M13772" i="6"/>
  <c r="M13773" i="6"/>
  <c r="M13774" i="6"/>
  <c r="M13775" i="6"/>
  <c r="M13776" i="6"/>
  <c r="M13777" i="6"/>
  <c r="M13778" i="6"/>
  <c r="M13779" i="6"/>
  <c r="M13780" i="6"/>
  <c r="M13781" i="6"/>
  <c r="M13782" i="6"/>
  <c r="M13783" i="6"/>
  <c r="M13784" i="6"/>
  <c r="M13785" i="6"/>
  <c r="M13786" i="6"/>
  <c r="M13787" i="6"/>
  <c r="M13788" i="6"/>
  <c r="M13789" i="6"/>
  <c r="M13790" i="6"/>
  <c r="M13791" i="6"/>
  <c r="M13792" i="6"/>
  <c r="M13793" i="6"/>
  <c r="M13794" i="6"/>
  <c r="M13795" i="6"/>
  <c r="M13796" i="6"/>
  <c r="M13797" i="6"/>
  <c r="M13798" i="6"/>
  <c r="M13799" i="6"/>
  <c r="M13800" i="6"/>
  <c r="M13801" i="6"/>
  <c r="M13802" i="6"/>
  <c r="M13803" i="6"/>
  <c r="M13804" i="6"/>
  <c r="M13805" i="6"/>
  <c r="M13806" i="6"/>
  <c r="M13807" i="6"/>
  <c r="M13808" i="6"/>
  <c r="M13809" i="6"/>
  <c r="M13810" i="6"/>
  <c r="M13811" i="6"/>
  <c r="M13812" i="6"/>
  <c r="M13813" i="6"/>
  <c r="M13814" i="6"/>
  <c r="M13815" i="6"/>
  <c r="M13816" i="6"/>
  <c r="M13817" i="6"/>
  <c r="M13818" i="6"/>
  <c r="M13819" i="6"/>
  <c r="M13820" i="6"/>
  <c r="M13821" i="6"/>
  <c r="M13822" i="6"/>
  <c r="M13823" i="6"/>
  <c r="M13824" i="6"/>
  <c r="M13825" i="6"/>
  <c r="M13826" i="6"/>
  <c r="M13827" i="6"/>
  <c r="M13828" i="6"/>
  <c r="M13829" i="6"/>
  <c r="M13830" i="6"/>
  <c r="M13831" i="6"/>
  <c r="M13832" i="6"/>
  <c r="M13833" i="6"/>
  <c r="M13834" i="6"/>
  <c r="M13835" i="6"/>
  <c r="M13836" i="6"/>
  <c r="M13837" i="6"/>
  <c r="M13838" i="6"/>
  <c r="M13839" i="6"/>
  <c r="M13840" i="6"/>
  <c r="M13841" i="6"/>
  <c r="M13842" i="6"/>
  <c r="M13843" i="6"/>
  <c r="M13844" i="6"/>
  <c r="M13845" i="6"/>
  <c r="M13846" i="6"/>
  <c r="M13847" i="6"/>
  <c r="M13848" i="6"/>
  <c r="M13849" i="6"/>
  <c r="M13850" i="6"/>
  <c r="M13851" i="6"/>
  <c r="M13852" i="6"/>
  <c r="M13853" i="6"/>
  <c r="M13854" i="6"/>
  <c r="M13855" i="6"/>
  <c r="M13856" i="6"/>
  <c r="M13857" i="6"/>
  <c r="M13858" i="6"/>
  <c r="M13859" i="6"/>
  <c r="M13860" i="6"/>
  <c r="M13861" i="6"/>
  <c r="M13862" i="6"/>
  <c r="M13863" i="6"/>
  <c r="M13864" i="6"/>
  <c r="M13865" i="6"/>
  <c r="M13866" i="6"/>
  <c r="M13867" i="6"/>
  <c r="M13868" i="6"/>
  <c r="M13869" i="6"/>
  <c r="M13870" i="6"/>
  <c r="M13871" i="6"/>
  <c r="M13872" i="6"/>
  <c r="M13873" i="6"/>
  <c r="M13874" i="6"/>
  <c r="M13875" i="6"/>
  <c r="M13876" i="6"/>
  <c r="M13877" i="6"/>
  <c r="M13878" i="6"/>
  <c r="M13879" i="6"/>
  <c r="M13880" i="6"/>
  <c r="M13881" i="6"/>
  <c r="M13882" i="6"/>
  <c r="M13883" i="6"/>
  <c r="M13884" i="6"/>
  <c r="M13885" i="6"/>
  <c r="M13886" i="6"/>
  <c r="M13887" i="6"/>
  <c r="M13888" i="6"/>
  <c r="M13889" i="6"/>
  <c r="M13890" i="6"/>
  <c r="M13891" i="6"/>
  <c r="M13892" i="6"/>
  <c r="M13893" i="6"/>
  <c r="M13894" i="6"/>
  <c r="M13895" i="6"/>
  <c r="M13896" i="6"/>
  <c r="M13897" i="6"/>
  <c r="M13898" i="6"/>
  <c r="M13899" i="6"/>
  <c r="M13900" i="6"/>
  <c r="M13901" i="6"/>
  <c r="M13902" i="6"/>
  <c r="M13903" i="6"/>
  <c r="M13904" i="6"/>
  <c r="M13905" i="6"/>
  <c r="M13906" i="6"/>
  <c r="M13907" i="6"/>
  <c r="M13908" i="6"/>
  <c r="M13909" i="6"/>
  <c r="M13910" i="6"/>
  <c r="M13911" i="6"/>
  <c r="M13912" i="6"/>
  <c r="M13913" i="6"/>
  <c r="M13914" i="6"/>
  <c r="M13915" i="6"/>
  <c r="M13916" i="6"/>
  <c r="M13917" i="6"/>
  <c r="M13918" i="6"/>
  <c r="M13919" i="6"/>
  <c r="M13920" i="6"/>
  <c r="M13921" i="6"/>
  <c r="M13922" i="6"/>
  <c r="M13923" i="6"/>
  <c r="M13924" i="6"/>
  <c r="M13925" i="6"/>
  <c r="M13926" i="6"/>
  <c r="M13927" i="6"/>
  <c r="M13928" i="6"/>
  <c r="M13929" i="6"/>
  <c r="M13930" i="6"/>
  <c r="M13931" i="6"/>
  <c r="M13932" i="6"/>
  <c r="M13933" i="6"/>
  <c r="M13934" i="6"/>
  <c r="M13935" i="6"/>
  <c r="M13936" i="6"/>
  <c r="M13937" i="6"/>
  <c r="M13938" i="6"/>
  <c r="M13939" i="6"/>
  <c r="M13940" i="6"/>
  <c r="M13941" i="6"/>
  <c r="M13942" i="6"/>
  <c r="M13943" i="6"/>
  <c r="M13944" i="6"/>
  <c r="M13945" i="6"/>
  <c r="M13946" i="6"/>
  <c r="M13947" i="6"/>
  <c r="M13948" i="6"/>
  <c r="M13949" i="6"/>
  <c r="M13950" i="6"/>
  <c r="M13951" i="6"/>
  <c r="M13952" i="6"/>
  <c r="M13953" i="6"/>
  <c r="M13954" i="6"/>
  <c r="M13955" i="6"/>
  <c r="M13956" i="6"/>
  <c r="M13957" i="6"/>
  <c r="M13958" i="6"/>
  <c r="M13959" i="6"/>
  <c r="M13960" i="6"/>
  <c r="M13961" i="6"/>
  <c r="M13962" i="6"/>
  <c r="M13963" i="6"/>
  <c r="M13964" i="6"/>
  <c r="M13965" i="6"/>
  <c r="M13966" i="6"/>
  <c r="M13967" i="6"/>
  <c r="M13968" i="6"/>
  <c r="M13969" i="6"/>
  <c r="M13970" i="6"/>
  <c r="M13971" i="6"/>
  <c r="M13972" i="6"/>
  <c r="M13973" i="6"/>
  <c r="M13974" i="6"/>
  <c r="M13975" i="6"/>
  <c r="M13976" i="6"/>
  <c r="M13977" i="6"/>
  <c r="M13978" i="6"/>
  <c r="M13979" i="6"/>
  <c r="M13980" i="6"/>
  <c r="M13981" i="6"/>
  <c r="M13982" i="6"/>
  <c r="M13983" i="6"/>
  <c r="M13984" i="6"/>
  <c r="M13985" i="6"/>
  <c r="M13986" i="6"/>
  <c r="M13987" i="6"/>
  <c r="M13988" i="6"/>
  <c r="M13989" i="6"/>
  <c r="M13990" i="6"/>
  <c r="M13991" i="6"/>
  <c r="M13992" i="6"/>
  <c r="M13993" i="6"/>
  <c r="M13994" i="6"/>
  <c r="M13995" i="6"/>
  <c r="M13996" i="6"/>
  <c r="M13997" i="6"/>
  <c r="M13998" i="6"/>
  <c r="M13999" i="6"/>
  <c r="M14000" i="6"/>
  <c r="M14001" i="6"/>
  <c r="M14002" i="6"/>
  <c r="M14003" i="6"/>
  <c r="M14004" i="6"/>
  <c r="M14005" i="6"/>
  <c r="M14006" i="6"/>
  <c r="M14007" i="6"/>
  <c r="M14008" i="6"/>
  <c r="M14009" i="6"/>
  <c r="M14010" i="6"/>
  <c r="M14011" i="6"/>
  <c r="M14012" i="6"/>
  <c r="M14013" i="6"/>
  <c r="M14014" i="6"/>
  <c r="M14015" i="6"/>
  <c r="M14016" i="6"/>
  <c r="M14017" i="6"/>
  <c r="M14018" i="6"/>
  <c r="M14019" i="6"/>
  <c r="M14020" i="6"/>
  <c r="M14021" i="6"/>
  <c r="M14022" i="6"/>
  <c r="M14023" i="6"/>
  <c r="M14024" i="6"/>
  <c r="M14025" i="6"/>
  <c r="M14026" i="6"/>
  <c r="M14027" i="6"/>
  <c r="M14028" i="6"/>
  <c r="M14029" i="6"/>
  <c r="M14030" i="6"/>
  <c r="M14031" i="6"/>
  <c r="M14032" i="6"/>
  <c r="M14033" i="6"/>
  <c r="M14034" i="6"/>
  <c r="M14035" i="6"/>
  <c r="M14036" i="6"/>
  <c r="M14037" i="6"/>
  <c r="M14038" i="6"/>
  <c r="M14039" i="6"/>
  <c r="M14040" i="6"/>
  <c r="M14041" i="6"/>
  <c r="M14042" i="6"/>
  <c r="M14043" i="6"/>
  <c r="M14044" i="6"/>
  <c r="M14045" i="6"/>
  <c r="M14046" i="6"/>
  <c r="M14047" i="6"/>
  <c r="M14048" i="6"/>
  <c r="M14049" i="6"/>
  <c r="M14050" i="6"/>
  <c r="M14051" i="6"/>
  <c r="M14052" i="6"/>
  <c r="M14053" i="6"/>
  <c r="M14054" i="6"/>
  <c r="M14055" i="6"/>
  <c r="M14056" i="6"/>
  <c r="M14057" i="6"/>
  <c r="M14058" i="6"/>
  <c r="M14059" i="6"/>
  <c r="M14060" i="6"/>
  <c r="M14061" i="6"/>
  <c r="M14062" i="6"/>
  <c r="M14063" i="6"/>
  <c r="M14064" i="6"/>
  <c r="M14065" i="6"/>
  <c r="M14066" i="6"/>
  <c r="M14067" i="6"/>
  <c r="M14068" i="6"/>
  <c r="M14069" i="6"/>
  <c r="M14070" i="6"/>
  <c r="M14071" i="6"/>
  <c r="M14072" i="6"/>
  <c r="M14073" i="6"/>
  <c r="M14074" i="6"/>
  <c r="M14075" i="6"/>
  <c r="M14076" i="6"/>
  <c r="M14077" i="6"/>
  <c r="M14078" i="6"/>
  <c r="M14079" i="6"/>
  <c r="M14080" i="6"/>
  <c r="M14081" i="6"/>
  <c r="M14082" i="6"/>
  <c r="M14083" i="6"/>
  <c r="M14084" i="6"/>
  <c r="M14085" i="6"/>
  <c r="M14086" i="6"/>
  <c r="M14087" i="6"/>
  <c r="M14088" i="6"/>
  <c r="M14089" i="6"/>
  <c r="M14090" i="6"/>
  <c r="M14091" i="6"/>
  <c r="M14092" i="6"/>
  <c r="M14093" i="6"/>
  <c r="M14094" i="6"/>
  <c r="M14095" i="6"/>
  <c r="M14096" i="6"/>
  <c r="M14097" i="6"/>
  <c r="M14098" i="6"/>
  <c r="M14099" i="6"/>
  <c r="M14100" i="6"/>
  <c r="M14101" i="6"/>
  <c r="M14102" i="6"/>
  <c r="M14103" i="6"/>
  <c r="M14104" i="6"/>
  <c r="M14105" i="6"/>
  <c r="M14106" i="6"/>
  <c r="M14107" i="6"/>
  <c r="M14108" i="6"/>
  <c r="M14109" i="6"/>
  <c r="M14110" i="6"/>
  <c r="M14111" i="6"/>
  <c r="M14112" i="6"/>
  <c r="M14113" i="6"/>
  <c r="M14114" i="6"/>
  <c r="M14115" i="6"/>
  <c r="M14116" i="6"/>
  <c r="M14117" i="6"/>
  <c r="M14118" i="6"/>
  <c r="M14119" i="6"/>
  <c r="M14120" i="6"/>
  <c r="M14121" i="6"/>
  <c r="M14122" i="6"/>
  <c r="M14123" i="6"/>
  <c r="M14124" i="6"/>
  <c r="M14125" i="6"/>
  <c r="M14126" i="6"/>
  <c r="M14127" i="6"/>
  <c r="M14128" i="6"/>
  <c r="M14129" i="6"/>
  <c r="M14130" i="6"/>
  <c r="M14131" i="6"/>
  <c r="M14132" i="6"/>
  <c r="M14133" i="6"/>
  <c r="M14134" i="6"/>
  <c r="M14135" i="6"/>
  <c r="M14136" i="6"/>
  <c r="M14137" i="6"/>
  <c r="M14138" i="6"/>
  <c r="M14139" i="6"/>
  <c r="M14140" i="6"/>
  <c r="M14141" i="6"/>
  <c r="M14142" i="6"/>
  <c r="M14143" i="6"/>
  <c r="M14144" i="6"/>
  <c r="M14145" i="6"/>
  <c r="M14146" i="6"/>
  <c r="M14147" i="6"/>
  <c r="M14148" i="6"/>
  <c r="M14149" i="6"/>
  <c r="M14150" i="6"/>
  <c r="M14151" i="6"/>
  <c r="M14152" i="6"/>
  <c r="M14153" i="6"/>
  <c r="M14154" i="6"/>
  <c r="M14155" i="6"/>
  <c r="M14156" i="6"/>
  <c r="M14157" i="6"/>
  <c r="M14158" i="6"/>
  <c r="M14159" i="6"/>
  <c r="M14160" i="6"/>
  <c r="M14161" i="6"/>
  <c r="M14162" i="6"/>
  <c r="M14163" i="6"/>
  <c r="M14164" i="6"/>
  <c r="M14165" i="6"/>
  <c r="M14166" i="6"/>
  <c r="M14167" i="6"/>
  <c r="M14168" i="6"/>
  <c r="M14169" i="6"/>
  <c r="M14170" i="6"/>
  <c r="M14171" i="6"/>
  <c r="M14172" i="6"/>
  <c r="M14173" i="6"/>
  <c r="M14174" i="6"/>
  <c r="M14175" i="6"/>
  <c r="M14176" i="6"/>
  <c r="M14177" i="6"/>
  <c r="M14178" i="6"/>
  <c r="M14179" i="6"/>
  <c r="M14180" i="6"/>
  <c r="M14181" i="6"/>
  <c r="M14182" i="6"/>
  <c r="M14183" i="6"/>
  <c r="M14184" i="6"/>
  <c r="M14185" i="6"/>
  <c r="M14186" i="6"/>
  <c r="M14187" i="6"/>
  <c r="M14188" i="6"/>
  <c r="M14189" i="6"/>
  <c r="M14190" i="6"/>
  <c r="M14191" i="6"/>
  <c r="M14192" i="6"/>
  <c r="M14193" i="6"/>
  <c r="M14194" i="6"/>
  <c r="M14195" i="6"/>
  <c r="M14196" i="6"/>
  <c r="M14197" i="6"/>
  <c r="M14198" i="6"/>
  <c r="M14199" i="6"/>
  <c r="M14200" i="6"/>
  <c r="M14201" i="6"/>
  <c r="M14202" i="6"/>
  <c r="M14203" i="6"/>
  <c r="M14204" i="6"/>
  <c r="M14205" i="6"/>
  <c r="M14206" i="6"/>
  <c r="M14207" i="6"/>
  <c r="M14208" i="6"/>
  <c r="M14209" i="6"/>
  <c r="M14210" i="6"/>
  <c r="M14211" i="6"/>
  <c r="M14212" i="6"/>
  <c r="M14213" i="6"/>
  <c r="M14214" i="6"/>
  <c r="M14215" i="6"/>
  <c r="M14216" i="6"/>
  <c r="M14217" i="6"/>
  <c r="M14218" i="6"/>
  <c r="M14219" i="6"/>
  <c r="M14220" i="6"/>
  <c r="M14221" i="6"/>
  <c r="M14222" i="6"/>
  <c r="M14223" i="6"/>
  <c r="M14224" i="6"/>
  <c r="M14225" i="6"/>
  <c r="M14226" i="6"/>
  <c r="M14227" i="6"/>
  <c r="M14228" i="6"/>
  <c r="M14229" i="6"/>
  <c r="M14230" i="6"/>
  <c r="M14231" i="6"/>
  <c r="M14232" i="6"/>
  <c r="M14233" i="6"/>
  <c r="M14234" i="6"/>
  <c r="M14235" i="6"/>
  <c r="M14236" i="6"/>
  <c r="M14237" i="6"/>
  <c r="M14238" i="6"/>
  <c r="M14239" i="6"/>
  <c r="M14240" i="6"/>
  <c r="M14241" i="6"/>
  <c r="M14242" i="6"/>
  <c r="M14243" i="6"/>
  <c r="M14244" i="6"/>
  <c r="M14245" i="6"/>
  <c r="M14246" i="6"/>
  <c r="M14247" i="6"/>
  <c r="M14248" i="6"/>
  <c r="M14249" i="6"/>
  <c r="M14250" i="6"/>
  <c r="M14251" i="6"/>
  <c r="M14252" i="6"/>
  <c r="M14253" i="6"/>
  <c r="M14254" i="6"/>
  <c r="M14255" i="6"/>
  <c r="M14256" i="6"/>
  <c r="M14257" i="6"/>
  <c r="M14258" i="6"/>
  <c r="M14259" i="6"/>
  <c r="M14260" i="6"/>
  <c r="M14261" i="6"/>
  <c r="M14262" i="6"/>
  <c r="M14263" i="6"/>
  <c r="M14264" i="6"/>
  <c r="M14265" i="6"/>
  <c r="M14266" i="6"/>
  <c r="M14267" i="6"/>
  <c r="M14268" i="6"/>
  <c r="M14269" i="6"/>
  <c r="M14270" i="6"/>
  <c r="M14271" i="6"/>
  <c r="M14272" i="6"/>
  <c r="M14273" i="6"/>
  <c r="M14274" i="6"/>
  <c r="M14275" i="6"/>
  <c r="M14276" i="6"/>
  <c r="M14277" i="6"/>
  <c r="M14278" i="6"/>
  <c r="M14279" i="6"/>
  <c r="M14280" i="6"/>
  <c r="M14281" i="6"/>
  <c r="M14282" i="6"/>
  <c r="M14283" i="6"/>
  <c r="M14284" i="6"/>
  <c r="M14285" i="6"/>
  <c r="M14286" i="6"/>
  <c r="M14287" i="6"/>
  <c r="M14288" i="6"/>
  <c r="M14289" i="6"/>
  <c r="M14290" i="6"/>
  <c r="M14291" i="6"/>
  <c r="M14292" i="6"/>
  <c r="M14293" i="6"/>
  <c r="M14294" i="6"/>
  <c r="M14295" i="6"/>
  <c r="M14296" i="6"/>
  <c r="M14297" i="6"/>
  <c r="M14298" i="6"/>
  <c r="M14299" i="6"/>
  <c r="M14300" i="6"/>
  <c r="M14301" i="6"/>
  <c r="M14302" i="6"/>
  <c r="M14303" i="6"/>
  <c r="M14304" i="6"/>
  <c r="M14305" i="6"/>
  <c r="M14306" i="6"/>
  <c r="M14307" i="6"/>
  <c r="M14308" i="6"/>
  <c r="M14309" i="6"/>
  <c r="M14310" i="6"/>
  <c r="M14311" i="6"/>
  <c r="M14312" i="6"/>
  <c r="M14313" i="6"/>
  <c r="M14314" i="6"/>
  <c r="M14315" i="6"/>
  <c r="M14316" i="6"/>
  <c r="M14317" i="6"/>
  <c r="M14318" i="6"/>
  <c r="M14319" i="6"/>
  <c r="M14320" i="6"/>
  <c r="M14321" i="6"/>
  <c r="M14322" i="6"/>
  <c r="M14323" i="6"/>
  <c r="M14324" i="6"/>
  <c r="M14325" i="6"/>
  <c r="M14326" i="6"/>
  <c r="M14327" i="6"/>
  <c r="M14328" i="6"/>
  <c r="M14329" i="6"/>
  <c r="M14330" i="6"/>
  <c r="M14331" i="6"/>
  <c r="M14332" i="6"/>
  <c r="M14333" i="6"/>
  <c r="M14334" i="6"/>
  <c r="M14335" i="6"/>
  <c r="M14336" i="6"/>
  <c r="M14337" i="6"/>
  <c r="M14338" i="6"/>
  <c r="M14339" i="6"/>
  <c r="M14340" i="6"/>
  <c r="M14341" i="6"/>
  <c r="M14342" i="6"/>
  <c r="M14343" i="6"/>
  <c r="M14344" i="6"/>
  <c r="M14345" i="6"/>
  <c r="M14346" i="6"/>
  <c r="M14347" i="6"/>
  <c r="M14348" i="6"/>
  <c r="M14349" i="6"/>
  <c r="M14350" i="6"/>
  <c r="M14351" i="6"/>
  <c r="M14352" i="6"/>
  <c r="M14353" i="6"/>
  <c r="M14354" i="6"/>
  <c r="M14355" i="6"/>
  <c r="M14356" i="6"/>
  <c r="M14357" i="6"/>
  <c r="M14358" i="6"/>
  <c r="M14359" i="6"/>
  <c r="M14360" i="6"/>
  <c r="M14361" i="6"/>
  <c r="M14362" i="6"/>
  <c r="M14363" i="6"/>
  <c r="M14364" i="6"/>
  <c r="M14365" i="6"/>
  <c r="M14366" i="6"/>
  <c r="M14367" i="6"/>
  <c r="M14368" i="6"/>
  <c r="M14369" i="6"/>
  <c r="M14370" i="6"/>
  <c r="M14371" i="6"/>
  <c r="M14372" i="6"/>
  <c r="M14373" i="6"/>
  <c r="M14374" i="6"/>
  <c r="M14375" i="6"/>
  <c r="M14376" i="6"/>
  <c r="M14377" i="6"/>
  <c r="M14378" i="6"/>
  <c r="M14379" i="6"/>
  <c r="M14380" i="6"/>
  <c r="M14381" i="6"/>
  <c r="M14382" i="6"/>
  <c r="M14383" i="6"/>
  <c r="M14384" i="6"/>
  <c r="M14385" i="6"/>
  <c r="M14386" i="6"/>
  <c r="M14387" i="6"/>
  <c r="M14388" i="6"/>
  <c r="M14389" i="6"/>
  <c r="M14390" i="6"/>
  <c r="M14391" i="6"/>
  <c r="M14392" i="6"/>
  <c r="M14393" i="6"/>
  <c r="M14394" i="6"/>
  <c r="M14395" i="6"/>
  <c r="M14396" i="6"/>
  <c r="M14397" i="6"/>
  <c r="M14398" i="6"/>
  <c r="M14399" i="6"/>
  <c r="M14400" i="6"/>
  <c r="M14401" i="6"/>
  <c r="M14402" i="6"/>
  <c r="M14403" i="6"/>
  <c r="M14404" i="6"/>
  <c r="M14405" i="6"/>
  <c r="M14406" i="6"/>
  <c r="M14407" i="6"/>
  <c r="M14408" i="6"/>
  <c r="M14409" i="6"/>
  <c r="M14410" i="6"/>
  <c r="M14411" i="6"/>
  <c r="M14412" i="6"/>
  <c r="M14413" i="6"/>
  <c r="M14414" i="6"/>
  <c r="M14415" i="6"/>
  <c r="M14416" i="6"/>
  <c r="M14417" i="6"/>
  <c r="M14418" i="6"/>
  <c r="M14419" i="6"/>
  <c r="M14420" i="6"/>
  <c r="M14421" i="6"/>
  <c r="M14422" i="6"/>
  <c r="M14423" i="6"/>
  <c r="M14424" i="6"/>
  <c r="M14425" i="6"/>
  <c r="M14426" i="6"/>
  <c r="M14427" i="6"/>
  <c r="M14428" i="6"/>
  <c r="M14429" i="6"/>
  <c r="M14430" i="6"/>
  <c r="M14431" i="6"/>
  <c r="M14432" i="6"/>
  <c r="M14433" i="6"/>
  <c r="M14434" i="6"/>
  <c r="M14435" i="6"/>
  <c r="M14436" i="6"/>
  <c r="M14437" i="6"/>
  <c r="M14438" i="6"/>
  <c r="M14439" i="6"/>
  <c r="M14440" i="6"/>
  <c r="M14441" i="6"/>
  <c r="M14442" i="6"/>
  <c r="M14443" i="6"/>
  <c r="M14444" i="6"/>
  <c r="M14445" i="6"/>
  <c r="M14446" i="6"/>
  <c r="M14447" i="6"/>
  <c r="M14448" i="6"/>
  <c r="M14449" i="6"/>
  <c r="M14450" i="6"/>
  <c r="M14451" i="6"/>
  <c r="M14452" i="6"/>
  <c r="M14453" i="6"/>
  <c r="M14454" i="6"/>
  <c r="M14455" i="6"/>
  <c r="M14456" i="6"/>
  <c r="M14457" i="6"/>
  <c r="M14458" i="6"/>
  <c r="M14459" i="6"/>
  <c r="M14460" i="6"/>
  <c r="M14461" i="6"/>
  <c r="M14462" i="6"/>
  <c r="M14463" i="6"/>
  <c r="M14464" i="6"/>
  <c r="M14465" i="6"/>
  <c r="M14466" i="6"/>
  <c r="M14467" i="6"/>
  <c r="M14468" i="6"/>
  <c r="M14469" i="6"/>
  <c r="M14470" i="6"/>
  <c r="M14471" i="6"/>
  <c r="M14472" i="6"/>
  <c r="M14473" i="6"/>
  <c r="M14474" i="6"/>
  <c r="M14475" i="6"/>
  <c r="M14476" i="6"/>
  <c r="M14477" i="6"/>
  <c r="M14478" i="6"/>
  <c r="M14479" i="6"/>
  <c r="M14480" i="6"/>
  <c r="M14481" i="6"/>
  <c r="M14482" i="6"/>
  <c r="M14483" i="6"/>
  <c r="M14484" i="6"/>
  <c r="M14485" i="6"/>
  <c r="M14486" i="6"/>
  <c r="M14487" i="6"/>
  <c r="M14488" i="6"/>
  <c r="M14489" i="6"/>
  <c r="M14490" i="6"/>
  <c r="M14491" i="6"/>
  <c r="M14492" i="6"/>
  <c r="M14493" i="6"/>
  <c r="M14494" i="6"/>
  <c r="M14495" i="6"/>
  <c r="M14496" i="6"/>
  <c r="M14497" i="6"/>
  <c r="M14498" i="6"/>
  <c r="M14499" i="6"/>
  <c r="M14500" i="6"/>
  <c r="M14501" i="6"/>
  <c r="M14502" i="6"/>
  <c r="M14503" i="6"/>
  <c r="M14504" i="6"/>
  <c r="M14505" i="6"/>
  <c r="M14506" i="6"/>
  <c r="M14507" i="6"/>
  <c r="M14508" i="6"/>
  <c r="M14509" i="6"/>
  <c r="M14510" i="6"/>
  <c r="M14511" i="6"/>
  <c r="M14512" i="6"/>
  <c r="M14513" i="6"/>
  <c r="M14514" i="6"/>
  <c r="M14515" i="6"/>
  <c r="M14516" i="6"/>
  <c r="M14517" i="6"/>
  <c r="M14518" i="6"/>
  <c r="M14519" i="6"/>
  <c r="M14520" i="6"/>
  <c r="M14521" i="6"/>
  <c r="M14522" i="6"/>
  <c r="M14523" i="6"/>
  <c r="M14524" i="6"/>
  <c r="M14525" i="6"/>
  <c r="M14526" i="6"/>
  <c r="M14527" i="6"/>
  <c r="M14528" i="6"/>
  <c r="M14529" i="6"/>
  <c r="M14530" i="6"/>
  <c r="M14531" i="6"/>
  <c r="M14532" i="6"/>
  <c r="M14533" i="6"/>
  <c r="M14534" i="6"/>
  <c r="M14535" i="6"/>
  <c r="M14536" i="6"/>
  <c r="M14537" i="6"/>
  <c r="M14538" i="6"/>
  <c r="M14539" i="6"/>
  <c r="M14540" i="6"/>
  <c r="M14541" i="6"/>
  <c r="M14542" i="6"/>
  <c r="M14543" i="6"/>
  <c r="M14544" i="6"/>
  <c r="M14545" i="6"/>
  <c r="M14546" i="6"/>
  <c r="M14547" i="6"/>
  <c r="M14548" i="6"/>
  <c r="M14549" i="6"/>
  <c r="M14550" i="6"/>
  <c r="M14551" i="6"/>
  <c r="M14552" i="6"/>
  <c r="M14553" i="6"/>
  <c r="M14554" i="6"/>
  <c r="M14555" i="6"/>
  <c r="M14556" i="6"/>
  <c r="M14557" i="6"/>
  <c r="M14558" i="6"/>
  <c r="M14559" i="6"/>
  <c r="M14560" i="6"/>
  <c r="M14561" i="6"/>
  <c r="M14562" i="6"/>
  <c r="M14563" i="6"/>
  <c r="M14564" i="6"/>
  <c r="M14565" i="6"/>
  <c r="M14566" i="6"/>
  <c r="M14567" i="6"/>
  <c r="M14568" i="6"/>
  <c r="M14569" i="6"/>
  <c r="M14570" i="6"/>
  <c r="M14571" i="6"/>
  <c r="M14572" i="6"/>
  <c r="M14573" i="6"/>
  <c r="M14574" i="6"/>
  <c r="M14575" i="6"/>
  <c r="M14576" i="6"/>
  <c r="M14577" i="6"/>
  <c r="M14578" i="6"/>
  <c r="M14579" i="6"/>
  <c r="M14580" i="6"/>
  <c r="M14581" i="6"/>
  <c r="M14582" i="6"/>
  <c r="M14583" i="6"/>
  <c r="M14584" i="6"/>
  <c r="M14585" i="6"/>
  <c r="M14586" i="6"/>
  <c r="M14587" i="6"/>
  <c r="M14588" i="6"/>
  <c r="M14589" i="6"/>
  <c r="M14590" i="6"/>
  <c r="M14591" i="6"/>
  <c r="M14592" i="6"/>
  <c r="M14593" i="6"/>
  <c r="M14594" i="6"/>
  <c r="M14595" i="6"/>
  <c r="M14596" i="6"/>
  <c r="M14597" i="6"/>
  <c r="M14598" i="6"/>
  <c r="M14599" i="6"/>
  <c r="M14600" i="6"/>
  <c r="M14601" i="6"/>
  <c r="M14602" i="6"/>
  <c r="M14603" i="6"/>
  <c r="M14604" i="6"/>
  <c r="M14605" i="6"/>
  <c r="M14606" i="6"/>
  <c r="M14607" i="6"/>
  <c r="M14608" i="6"/>
  <c r="M14609" i="6"/>
  <c r="M14610" i="6"/>
  <c r="M14611" i="6"/>
  <c r="M14612" i="6"/>
  <c r="M14613" i="6"/>
  <c r="M14614" i="6"/>
  <c r="M14615" i="6"/>
  <c r="M14616" i="6"/>
  <c r="M14617" i="6"/>
  <c r="M14618" i="6"/>
  <c r="M14619" i="6"/>
  <c r="M14620" i="6"/>
  <c r="M14621" i="6"/>
  <c r="M14622" i="6"/>
  <c r="M14623" i="6"/>
  <c r="M14624" i="6"/>
  <c r="M14625" i="6"/>
  <c r="M14626" i="6"/>
  <c r="M14627" i="6"/>
  <c r="M14628" i="6"/>
  <c r="M14629" i="6"/>
  <c r="M14630" i="6"/>
  <c r="M14631" i="6"/>
  <c r="M14632" i="6"/>
  <c r="M14633" i="6"/>
  <c r="M14634" i="6"/>
  <c r="M14635" i="6"/>
  <c r="M14636" i="6"/>
  <c r="M14637" i="6"/>
  <c r="M14638" i="6"/>
  <c r="M14639" i="6"/>
  <c r="M14640" i="6"/>
  <c r="M14641" i="6"/>
  <c r="M14642" i="6"/>
  <c r="M14643" i="6"/>
  <c r="M14644" i="6"/>
  <c r="M14645" i="6"/>
  <c r="M14646" i="6"/>
  <c r="M14647" i="6"/>
  <c r="M14648" i="6"/>
  <c r="M14649" i="6"/>
  <c r="M14650" i="6"/>
  <c r="M14651" i="6"/>
  <c r="M14652" i="6"/>
  <c r="M14653" i="6"/>
  <c r="M14654" i="6"/>
  <c r="M14655" i="6"/>
  <c r="M14656" i="6"/>
  <c r="M14657" i="6"/>
  <c r="M14658" i="6"/>
  <c r="M14659" i="6"/>
  <c r="M14660" i="6"/>
  <c r="M14661" i="6"/>
  <c r="M14662" i="6"/>
  <c r="M14663" i="6"/>
  <c r="M14664" i="6"/>
  <c r="M14665" i="6"/>
  <c r="M14666" i="6"/>
  <c r="M14667" i="6"/>
  <c r="M14668" i="6"/>
  <c r="M14669" i="6"/>
  <c r="M14670" i="6"/>
  <c r="M14671" i="6"/>
  <c r="M14672" i="6"/>
  <c r="M14673" i="6"/>
  <c r="M14674" i="6"/>
  <c r="M14675" i="6"/>
  <c r="M14676" i="6"/>
  <c r="M14677" i="6"/>
  <c r="M14678" i="6"/>
  <c r="M14679" i="6"/>
  <c r="M14680" i="6"/>
  <c r="M14681" i="6"/>
  <c r="M14682" i="6"/>
  <c r="M14683" i="6"/>
  <c r="M14684" i="6"/>
  <c r="M14685" i="6"/>
  <c r="M14686" i="6"/>
  <c r="M14687" i="6"/>
  <c r="M14688" i="6"/>
  <c r="M14689" i="6"/>
  <c r="M14690" i="6"/>
  <c r="M14691" i="6"/>
  <c r="M14692" i="6"/>
  <c r="M14693" i="6"/>
  <c r="M14694" i="6"/>
  <c r="M14695" i="6"/>
  <c r="M14696" i="6"/>
  <c r="M14697" i="6"/>
  <c r="M14698" i="6"/>
  <c r="M14699" i="6"/>
  <c r="M14700" i="6"/>
  <c r="M14701" i="6"/>
  <c r="M14702" i="6"/>
  <c r="M14703" i="6"/>
  <c r="M14704" i="6"/>
  <c r="M14705" i="6"/>
  <c r="M14706" i="6"/>
  <c r="M14707" i="6"/>
  <c r="M14708" i="6"/>
  <c r="M14709" i="6"/>
  <c r="M14710" i="6"/>
  <c r="M14711" i="6"/>
  <c r="M14712" i="6"/>
  <c r="M14713" i="6"/>
  <c r="M14714" i="6"/>
  <c r="M14715" i="6"/>
  <c r="M14716" i="6"/>
  <c r="M14717" i="6"/>
  <c r="M14718" i="6"/>
  <c r="M14719" i="6"/>
  <c r="M14720" i="6"/>
  <c r="M14721" i="6"/>
  <c r="M14722" i="6"/>
  <c r="M14723" i="6"/>
  <c r="M14724" i="6"/>
  <c r="M14725" i="6"/>
  <c r="M14726" i="6"/>
  <c r="M14727" i="6"/>
  <c r="M14728" i="6"/>
  <c r="M14729" i="6"/>
  <c r="M14730" i="6"/>
  <c r="M14731" i="6"/>
  <c r="M14732" i="6"/>
  <c r="M14733" i="6"/>
  <c r="M14734" i="6"/>
  <c r="M14735" i="6"/>
  <c r="M14736" i="6"/>
  <c r="M14737" i="6"/>
  <c r="M14738" i="6"/>
  <c r="M14739" i="6"/>
  <c r="M14740" i="6"/>
  <c r="M14741" i="6"/>
  <c r="M14742" i="6"/>
  <c r="M14743" i="6"/>
  <c r="M14744" i="6"/>
  <c r="M14745" i="6"/>
  <c r="M14746" i="6"/>
  <c r="M14747" i="6"/>
  <c r="M14748" i="6"/>
  <c r="M14749" i="6"/>
  <c r="M14750" i="6"/>
  <c r="M14751" i="6"/>
  <c r="M14752" i="6"/>
  <c r="M14753" i="6"/>
  <c r="M14754" i="6"/>
  <c r="M14755" i="6"/>
  <c r="M14756" i="6"/>
  <c r="M14757" i="6"/>
  <c r="M14758" i="6"/>
  <c r="M14759" i="6"/>
  <c r="M14760" i="6"/>
  <c r="M14761" i="6"/>
  <c r="M14762" i="6"/>
  <c r="M14763" i="6"/>
  <c r="M14764" i="6"/>
  <c r="M14765" i="6"/>
  <c r="M14766" i="6"/>
  <c r="M14767" i="6"/>
  <c r="M14768" i="6"/>
  <c r="M14769" i="6"/>
  <c r="M14770" i="6"/>
  <c r="M14771" i="6"/>
  <c r="M14772" i="6"/>
  <c r="M14773" i="6"/>
  <c r="M14774" i="6"/>
  <c r="M14775" i="6"/>
  <c r="M14776" i="6"/>
  <c r="M14777" i="6"/>
  <c r="M14778" i="6"/>
  <c r="M14779" i="6"/>
  <c r="M14780" i="6"/>
  <c r="M14781" i="6"/>
  <c r="M14782" i="6"/>
  <c r="M14783" i="6"/>
  <c r="M14784" i="6"/>
  <c r="M14785" i="6"/>
  <c r="M14786" i="6"/>
  <c r="M14787" i="6"/>
  <c r="M14788" i="6"/>
  <c r="M14789" i="6"/>
  <c r="M14790" i="6"/>
  <c r="M14791" i="6"/>
  <c r="M14792" i="6"/>
  <c r="M14793" i="6"/>
  <c r="M14794" i="6"/>
  <c r="M14795" i="6"/>
  <c r="M14796" i="6"/>
  <c r="M14797" i="6"/>
  <c r="M14798" i="6"/>
  <c r="M14799" i="6"/>
  <c r="M14800" i="6"/>
  <c r="M14801" i="6"/>
  <c r="M14802" i="6"/>
  <c r="M14803" i="6"/>
  <c r="M14804" i="6"/>
  <c r="M14805" i="6"/>
  <c r="M14806" i="6"/>
  <c r="M14807" i="6"/>
  <c r="M14808" i="6"/>
  <c r="M14809" i="6"/>
  <c r="M14810" i="6"/>
  <c r="M14811" i="6"/>
  <c r="M14812" i="6"/>
  <c r="M14813" i="6"/>
  <c r="M14814" i="6"/>
  <c r="M14815" i="6"/>
  <c r="M14816" i="6"/>
  <c r="M14817" i="6"/>
  <c r="M14818" i="6"/>
  <c r="M14819" i="6"/>
  <c r="M14820" i="6"/>
  <c r="M14821" i="6"/>
  <c r="M14822" i="6"/>
  <c r="M14823" i="6"/>
  <c r="M14824" i="6"/>
  <c r="M14825" i="6"/>
  <c r="M14826" i="6"/>
  <c r="M14827" i="6"/>
  <c r="M14828" i="6"/>
  <c r="M14829" i="6"/>
  <c r="M14830" i="6"/>
  <c r="M14831" i="6"/>
  <c r="M14832" i="6"/>
  <c r="M14833" i="6"/>
  <c r="M14834" i="6"/>
  <c r="M14835" i="6"/>
  <c r="M14836" i="6"/>
  <c r="M14837" i="6"/>
  <c r="M14838" i="6"/>
  <c r="M14839" i="6"/>
  <c r="M14840" i="6"/>
  <c r="M14841" i="6"/>
  <c r="M14842" i="6"/>
  <c r="M14843" i="6"/>
  <c r="M14844" i="6"/>
  <c r="M14845" i="6"/>
  <c r="M14846" i="6"/>
  <c r="M14847" i="6"/>
  <c r="M14848" i="6"/>
  <c r="M14849" i="6"/>
  <c r="M14850" i="6"/>
  <c r="M14851" i="6"/>
  <c r="M14852" i="6"/>
  <c r="M14853" i="6"/>
  <c r="M14854" i="6"/>
  <c r="M14855" i="6"/>
  <c r="M14856" i="6"/>
  <c r="M14857" i="6"/>
  <c r="M14858" i="6"/>
  <c r="M14859" i="6"/>
  <c r="M14860" i="6"/>
  <c r="M14861" i="6"/>
  <c r="M14862" i="6"/>
  <c r="M14863" i="6"/>
  <c r="M14864" i="6"/>
  <c r="M14865" i="6"/>
  <c r="M14866" i="6"/>
  <c r="M14867" i="6"/>
  <c r="M14868" i="6"/>
  <c r="M14869" i="6"/>
  <c r="M14870" i="6"/>
  <c r="M14871" i="6"/>
  <c r="M14872" i="6"/>
  <c r="M14873" i="6"/>
  <c r="M14874" i="6"/>
  <c r="M14875" i="6"/>
  <c r="M14876" i="6"/>
  <c r="M14877" i="6"/>
  <c r="M14878" i="6"/>
  <c r="M14879" i="6"/>
  <c r="M14880" i="6"/>
  <c r="M14881" i="6"/>
  <c r="M14882" i="6"/>
  <c r="M14883" i="6"/>
  <c r="M14884" i="6"/>
  <c r="M14885" i="6"/>
  <c r="M14886" i="6"/>
  <c r="M14887" i="6"/>
  <c r="M14888" i="6"/>
  <c r="M14889" i="6"/>
  <c r="M14890" i="6"/>
  <c r="M14891" i="6"/>
  <c r="M14892" i="6"/>
  <c r="M14893" i="6"/>
  <c r="M14894" i="6"/>
  <c r="M14895" i="6"/>
  <c r="M14896" i="6"/>
  <c r="M14897" i="6"/>
  <c r="M14898" i="6"/>
  <c r="M14899" i="6"/>
  <c r="M14900" i="6"/>
  <c r="M14901" i="6"/>
  <c r="M14902" i="6"/>
  <c r="M14903" i="6"/>
  <c r="M14904" i="6"/>
  <c r="M14905" i="6"/>
  <c r="M14906" i="6"/>
  <c r="M14907" i="6"/>
  <c r="M14908" i="6"/>
  <c r="M14909" i="6"/>
  <c r="M14910" i="6"/>
  <c r="M14911" i="6"/>
  <c r="M14912" i="6"/>
  <c r="M14913" i="6"/>
  <c r="M14914" i="6"/>
  <c r="M14915" i="6"/>
  <c r="M14916" i="6"/>
  <c r="M14917" i="6"/>
  <c r="M14918" i="6"/>
  <c r="M14919" i="6"/>
  <c r="M14920" i="6"/>
  <c r="M14921" i="6"/>
  <c r="M14922" i="6"/>
  <c r="M14923" i="6"/>
  <c r="M14924" i="6"/>
  <c r="M14925" i="6"/>
  <c r="M14926" i="6"/>
  <c r="M14927" i="6"/>
  <c r="M14928" i="6"/>
  <c r="M14929" i="6"/>
  <c r="M14930" i="6"/>
  <c r="M14931" i="6"/>
  <c r="M14932" i="6"/>
  <c r="M14933" i="6"/>
  <c r="M14934" i="6"/>
  <c r="M14935" i="6"/>
  <c r="M14936" i="6"/>
  <c r="M14937" i="6"/>
  <c r="M14938" i="6"/>
  <c r="M14939" i="6"/>
  <c r="M14940" i="6"/>
  <c r="M14941" i="6"/>
  <c r="M14942" i="6"/>
  <c r="M14943" i="6"/>
  <c r="M14944" i="6"/>
  <c r="M14945" i="6"/>
  <c r="M14946" i="6"/>
  <c r="M14947" i="6"/>
  <c r="M14948" i="6"/>
  <c r="M14949" i="6"/>
  <c r="M14950" i="6"/>
  <c r="M14951" i="6"/>
  <c r="M14952" i="6"/>
  <c r="M14953" i="6"/>
  <c r="M14954" i="6"/>
  <c r="M14955" i="6"/>
  <c r="M14956" i="6"/>
  <c r="M14957" i="6"/>
  <c r="M14958" i="6"/>
  <c r="M14959" i="6"/>
  <c r="M14960" i="6"/>
  <c r="M14961" i="6"/>
  <c r="M14962" i="6"/>
  <c r="M14963" i="6"/>
  <c r="M14964" i="6"/>
  <c r="M14965" i="6"/>
  <c r="M14966" i="6"/>
  <c r="M14967" i="6"/>
  <c r="M14968" i="6"/>
  <c r="M14969" i="6"/>
  <c r="M14970" i="6"/>
  <c r="M14971" i="6"/>
  <c r="M14972" i="6"/>
  <c r="M14973" i="6"/>
  <c r="M14974" i="6"/>
  <c r="M14975" i="6"/>
  <c r="M14976" i="6"/>
  <c r="M14977" i="6"/>
  <c r="M14978" i="6"/>
  <c r="M14979" i="6"/>
  <c r="M14980" i="6"/>
  <c r="M14981" i="6"/>
  <c r="M14982" i="6"/>
  <c r="M14983" i="6"/>
  <c r="M14984" i="6"/>
  <c r="M14985" i="6"/>
  <c r="M14986" i="6"/>
  <c r="M14987" i="6"/>
  <c r="M14988" i="6"/>
  <c r="M14989" i="6"/>
  <c r="M14990" i="6"/>
  <c r="M14991" i="6"/>
  <c r="M14992" i="6"/>
  <c r="M14993" i="6"/>
  <c r="M14994" i="6"/>
  <c r="M14995" i="6"/>
  <c r="M14996" i="6"/>
  <c r="M14997" i="6"/>
  <c r="M14998" i="6"/>
  <c r="M14999" i="6"/>
  <c r="M15000" i="6"/>
  <c r="M15001" i="6"/>
  <c r="M15002" i="6"/>
  <c r="M15003" i="6"/>
  <c r="M15004" i="6"/>
  <c r="M15005" i="6"/>
  <c r="M15006" i="6"/>
  <c r="M15007" i="6"/>
  <c r="M15008" i="6"/>
  <c r="M15009" i="6"/>
  <c r="M15010" i="6"/>
  <c r="M15011" i="6"/>
  <c r="M15012" i="6"/>
  <c r="M15013" i="6"/>
  <c r="M15014" i="6"/>
  <c r="M15015" i="6"/>
  <c r="M15016" i="6"/>
  <c r="M15017" i="6"/>
  <c r="M15018" i="6"/>
  <c r="M15019" i="6"/>
  <c r="M15020" i="6"/>
  <c r="M15021" i="6"/>
  <c r="M15022" i="6"/>
  <c r="M15023" i="6"/>
  <c r="M15024" i="6"/>
  <c r="M15025" i="6"/>
  <c r="M15026" i="6"/>
  <c r="M15027" i="6"/>
  <c r="M15028" i="6"/>
  <c r="M15029" i="6"/>
  <c r="M15030" i="6"/>
  <c r="M15031" i="6"/>
  <c r="M15032" i="6"/>
  <c r="M15033" i="6"/>
  <c r="M15034" i="6"/>
  <c r="M15035" i="6"/>
  <c r="M15036" i="6"/>
  <c r="M15037" i="6"/>
  <c r="M15038" i="6"/>
  <c r="M15039" i="6"/>
  <c r="M15040" i="6"/>
  <c r="M15041" i="6"/>
  <c r="M15042" i="6"/>
  <c r="M15043" i="6"/>
  <c r="M15044" i="6"/>
  <c r="M15045" i="6"/>
  <c r="M15046" i="6"/>
  <c r="M15047" i="6"/>
  <c r="M15048" i="6"/>
  <c r="M15049" i="6"/>
  <c r="M15050" i="6"/>
  <c r="M15051" i="6"/>
  <c r="M15052" i="6"/>
  <c r="M15053" i="6"/>
  <c r="M15054" i="6"/>
  <c r="M15055" i="6"/>
  <c r="M15056" i="6"/>
  <c r="M15057" i="6"/>
  <c r="M15058" i="6"/>
  <c r="M15059" i="6"/>
  <c r="M15060" i="6"/>
  <c r="M15061" i="6"/>
  <c r="M15062" i="6"/>
  <c r="M15063" i="6"/>
  <c r="M15064" i="6"/>
  <c r="M15065" i="6"/>
  <c r="M15066" i="6"/>
  <c r="M15067" i="6"/>
  <c r="M15068" i="6"/>
  <c r="M15069" i="6"/>
  <c r="M15070" i="6"/>
  <c r="M15071" i="6"/>
  <c r="M15072" i="6"/>
  <c r="M15073" i="6"/>
  <c r="M15074" i="6"/>
  <c r="M15075" i="6"/>
  <c r="M15076" i="6"/>
  <c r="M15077" i="6"/>
  <c r="M15078" i="6"/>
  <c r="M15079" i="6"/>
  <c r="M15080" i="6"/>
  <c r="M15081" i="6"/>
  <c r="M15082" i="6"/>
  <c r="M15083" i="6"/>
  <c r="M15084" i="6"/>
  <c r="M15085" i="6"/>
  <c r="M15086" i="6"/>
  <c r="M15087" i="6"/>
  <c r="M15088" i="6"/>
  <c r="M15089" i="6"/>
  <c r="M15090" i="6"/>
  <c r="M15091" i="6"/>
  <c r="M15092" i="6"/>
  <c r="M15093" i="6"/>
  <c r="M15094" i="6"/>
  <c r="M15095" i="6"/>
  <c r="M15096" i="6"/>
  <c r="M15097" i="6"/>
  <c r="M15098" i="6"/>
  <c r="M15099" i="6"/>
  <c r="M15100" i="6"/>
  <c r="M15101" i="6"/>
  <c r="M15102" i="6"/>
  <c r="M15103" i="6"/>
  <c r="M15104" i="6"/>
  <c r="M15105" i="6"/>
  <c r="M15106" i="6"/>
  <c r="M15107" i="6"/>
  <c r="M15108" i="6"/>
  <c r="M15109" i="6"/>
  <c r="M15110" i="6"/>
  <c r="M15111" i="6"/>
  <c r="M15112" i="6"/>
  <c r="M15113" i="6"/>
  <c r="M15114" i="6"/>
  <c r="M15115" i="6"/>
  <c r="M15116" i="6"/>
  <c r="M15117" i="6"/>
  <c r="M15118" i="6"/>
  <c r="M15119" i="6"/>
  <c r="M15120" i="6"/>
  <c r="M15121" i="6"/>
  <c r="M15122" i="6"/>
  <c r="M15123" i="6"/>
  <c r="M15124" i="6"/>
  <c r="M15125" i="6"/>
  <c r="M15126" i="6"/>
  <c r="M15127" i="6"/>
  <c r="M15128" i="6"/>
  <c r="M15129" i="6"/>
  <c r="M15130" i="6"/>
  <c r="M15131" i="6"/>
  <c r="M15132" i="6"/>
  <c r="M15133" i="6"/>
  <c r="M15134" i="6"/>
  <c r="M15135" i="6"/>
  <c r="M15136" i="6"/>
  <c r="M15137" i="6"/>
  <c r="M15138" i="6"/>
  <c r="M15139" i="6"/>
  <c r="M15140" i="6"/>
  <c r="M15141" i="6"/>
  <c r="M15142" i="6"/>
  <c r="M15143" i="6"/>
  <c r="M15144" i="6"/>
  <c r="M15145" i="6"/>
  <c r="M15146" i="6"/>
  <c r="M15147" i="6"/>
  <c r="M15148" i="6"/>
  <c r="M15149" i="6"/>
  <c r="M15150" i="6"/>
  <c r="M15151" i="6"/>
  <c r="M15152" i="6"/>
  <c r="M15153" i="6"/>
  <c r="M15154" i="6"/>
  <c r="M15155" i="6"/>
  <c r="M15156" i="6"/>
  <c r="M15157" i="6"/>
  <c r="M15158" i="6"/>
  <c r="M15159" i="6"/>
  <c r="M15160" i="6"/>
  <c r="M15161" i="6"/>
  <c r="M15162" i="6"/>
  <c r="M15163" i="6"/>
  <c r="M15164" i="6"/>
  <c r="M15165" i="6"/>
  <c r="M15166" i="6"/>
  <c r="M15167" i="6"/>
  <c r="M15168" i="6"/>
  <c r="M15169" i="6"/>
  <c r="M15170" i="6"/>
  <c r="M15171" i="6"/>
  <c r="M15172" i="6"/>
  <c r="M15173" i="6"/>
  <c r="M15174" i="6"/>
  <c r="M15175" i="6"/>
  <c r="M15176" i="6"/>
  <c r="M15177" i="6"/>
  <c r="M15178" i="6"/>
  <c r="M15179" i="6"/>
  <c r="M15180" i="6"/>
  <c r="M15181" i="6"/>
  <c r="M15182" i="6"/>
  <c r="M15183" i="6"/>
  <c r="M15184" i="6"/>
  <c r="M15185" i="6"/>
  <c r="M15186" i="6"/>
  <c r="M15187" i="6"/>
  <c r="M15188" i="6"/>
  <c r="M15189" i="6"/>
  <c r="M15190" i="6"/>
  <c r="M15191" i="6"/>
  <c r="M15192" i="6"/>
  <c r="M15193" i="6"/>
  <c r="M15194" i="6"/>
  <c r="M15195" i="6"/>
  <c r="M15196" i="6"/>
  <c r="M15197" i="6"/>
  <c r="M15198" i="6"/>
  <c r="M15199" i="6"/>
  <c r="M15200" i="6"/>
  <c r="M15201" i="6"/>
  <c r="M15202" i="6"/>
  <c r="M15203" i="6"/>
  <c r="M15204" i="6"/>
  <c r="M15205" i="6"/>
  <c r="M15206" i="6"/>
  <c r="M15207" i="6"/>
  <c r="M15208" i="6"/>
  <c r="M15209" i="6"/>
  <c r="M15210" i="6"/>
  <c r="M15211" i="6"/>
  <c r="M15212" i="6"/>
  <c r="M15213" i="6"/>
  <c r="M15214" i="6"/>
  <c r="M15215" i="6"/>
  <c r="M15216" i="6"/>
  <c r="M15217" i="6"/>
  <c r="M15218" i="6"/>
  <c r="M15219" i="6"/>
  <c r="M15220" i="6"/>
  <c r="M15221" i="6"/>
  <c r="M15222" i="6"/>
  <c r="M15223" i="6"/>
  <c r="M15224" i="6"/>
  <c r="M15225" i="6"/>
  <c r="M15226" i="6"/>
  <c r="M15227" i="6"/>
  <c r="M15228" i="6"/>
  <c r="M15229" i="6"/>
  <c r="M15230" i="6"/>
  <c r="M15231" i="6"/>
  <c r="M15232" i="6"/>
  <c r="M15233" i="6"/>
  <c r="M15234" i="6"/>
  <c r="M15235" i="6"/>
  <c r="M15236" i="6"/>
  <c r="M15237" i="6"/>
  <c r="M15238" i="6"/>
  <c r="M15239" i="6"/>
  <c r="M15240" i="6"/>
  <c r="M15241" i="6"/>
  <c r="M15242" i="6"/>
  <c r="M15243" i="6"/>
  <c r="M15244" i="6"/>
  <c r="M15245" i="6"/>
  <c r="M15246" i="6"/>
  <c r="M15247" i="6"/>
  <c r="M15248" i="6"/>
  <c r="M15249" i="6"/>
  <c r="M15250" i="6"/>
  <c r="M15251" i="6"/>
  <c r="M15252" i="6"/>
  <c r="M15253" i="6"/>
  <c r="M15254" i="6"/>
  <c r="M15255" i="6"/>
  <c r="M15256" i="6"/>
  <c r="M15257" i="6"/>
  <c r="M15258" i="6"/>
  <c r="M15259" i="6"/>
  <c r="M15260" i="6"/>
  <c r="M15261" i="6"/>
  <c r="M15262" i="6"/>
  <c r="M15263" i="6"/>
  <c r="M15264" i="6"/>
  <c r="M15265" i="6"/>
  <c r="M15266" i="6"/>
  <c r="M15267" i="6"/>
  <c r="M15268" i="6"/>
  <c r="M15269" i="6"/>
  <c r="M15270" i="6"/>
  <c r="M15271" i="6"/>
  <c r="M15272" i="6"/>
  <c r="M15273" i="6"/>
  <c r="M15274" i="6"/>
  <c r="M15275" i="6"/>
  <c r="M15276" i="6"/>
  <c r="M15277" i="6"/>
  <c r="M15278" i="6"/>
  <c r="M15279" i="6"/>
  <c r="M15280" i="6"/>
  <c r="M15281" i="6"/>
  <c r="M15282" i="6"/>
  <c r="M15283" i="6"/>
  <c r="M15284" i="6"/>
  <c r="M15285" i="6"/>
  <c r="M15286" i="6"/>
  <c r="M15287" i="6"/>
  <c r="M15288" i="6"/>
  <c r="M15289" i="6"/>
  <c r="M15290" i="6"/>
  <c r="M15291" i="6"/>
  <c r="M15292" i="6"/>
  <c r="M15293" i="6"/>
  <c r="M15294" i="6"/>
  <c r="M15295" i="6"/>
  <c r="M15296" i="6"/>
  <c r="M15297" i="6"/>
  <c r="M15298" i="6"/>
  <c r="M15299" i="6"/>
  <c r="M15300" i="6"/>
  <c r="M15301" i="6"/>
  <c r="M15302" i="6"/>
  <c r="M15303" i="6"/>
  <c r="M15304" i="6"/>
  <c r="M15305" i="6"/>
  <c r="M15306" i="6"/>
  <c r="M15307" i="6"/>
  <c r="M15308" i="6"/>
  <c r="M15309" i="6"/>
  <c r="M15310" i="6"/>
  <c r="M15311" i="6"/>
  <c r="M15312" i="6"/>
  <c r="M15313" i="6"/>
  <c r="M15314" i="6"/>
  <c r="M15315" i="6"/>
  <c r="M15316" i="6"/>
  <c r="M15317" i="6"/>
  <c r="M15318" i="6"/>
  <c r="M15319" i="6"/>
  <c r="M15320" i="6"/>
  <c r="M15321" i="6"/>
  <c r="M15322" i="6"/>
  <c r="M15323" i="6"/>
  <c r="M15324" i="6"/>
  <c r="M15325" i="6"/>
  <c r="M15326" i="6"/>
  <c r="M15327" i="6"/>
  <c r="M15328" i="6"/>
  <c r="M15329" i="6"/>
  <c r="M15330" i="6"/>
  <c r="M15331" i="6"/>
  <c r="M15332" i="6"/>
  <c r="M15333" i="6"/>
  <c r="M15334" i="6"/>
  <c r="M15335" i="6"/>
  <c r="M15336" i="6"/>
  <c r="M15337" i="6"/>
  <c r="M15338" i="6"/>
  <c r="M15339" i="6"/>
  <c r="M15340" i="6"/>
  <c r="M15341" i="6"/>
  <c r="M15342" i="6"/>
  <c r="M15343" i="6"/>
  <c r="M15344" i="6"/>
  <c r="M15345" i="6"/>
  <c r="M15346" i="6"/>
  <c r="M15347" i="6"/>
  <c r="M15348" i="6"/>
  <c r="M15349" i="6"/>
  <c r="M15350" i="6"/>
  <c r="M15351" i="6"/>
  <c r="M15352" i="6"/>
  <c r="M15353" i="6"/>
  <c r="M15354" i="6"/>
  <c r="M15355" i="6"/>
  <c r="M15356" i="6"/>
  <c r="M15357" i="6"/>
  <c r="M15358" i="6"/>
  <c r="M15359" i="6"/>
  <c r="M15360" i="6"/>
  <c r="M15361" i="6"/>
  <c r="M15362" i="6"/>
  <c r="M15363" i="6"/>
  <c r="M15364" i="6"/>
  <c r="M15365" i="6"/>
  <c r="M15366" i="6"/>
  <c r="M15367" i="6"/>
  <c r="M15368" i="6"/>
  <c r="M15369" i="6"/>
  <c r="M15370" i="6"/>
  <c r="M15371" i="6"/>
  <c r="M15372" i="6"/>
  <c r="M15373" i="6"/>
  <c r="M15374" i="6"/>
  <c r="M15375" i="6"/>
  <c r="M15376" i="6"/>
  <c r="M15377" i="6"/>
  <c r="M15378" i="6"/>
  <c r="M15379" i="6"/>
  <c r="M15380" i="6"/>
  <c r="M15381" i="6"/>
  <c r="M15382" i="6"/>
  <c r="M15383" i="6"/>
  <c r="M15384" i="6"/>
  <c r="M15385" i="6"/>
  <c r="M15386" i="6"/>
  <c r="M15387" i="6"/>
  <c r="M15388" i="6"/>
  <c r="M15389" i="6"/>
  <c r="M15390" i="6"/>
  <c r="M15391" i="6"/>
  <c r="M15392" i="6"/>
  <c r="M15393" i="6"/>
  <c r="M15394" i="6"/>
  <c r="M15395" i="6"/>
  <c r="M15396" i="6"/>
  <c r="M15397" i="6"/>
  <c r="M15398" i="6"/>
  <c r="M15399" i="6"/>
  <c r="M15400" i="6"/>
  <c r="M15401" i="6"/>
  <c r="M15402" i="6"/>
  <c r="M15403" i="6"/>
  <c r="M15404" i="6"/>
  <c r="M15405" i="6"/>
  <c r="M15406" i="6"/>
  <c r="M15407" i="6"/>
  <c r="M15408" i="6"/>
  <c r="M15409" i="6"/>
  <c r="M15410" i="6"/>
  <c r="M15411" i="6"/>
  <c r="M15412" i="6"/>
  <c r="M15413" i="6"/>
  <c r="M15414" i="6"/>
  <c r="M15415" i="6"/>
  <c r="M15416" i="6"/>
  <c r="M15417" i="6"/>
  <c r="M15418" i="6"/>
  <c r="M15419" i="6"/>
  <c r="M15420" i="6"/>
  <c r="M15421" i="6"/>
  <c r="M15422" i="6"/>
  <c r="M15423" i="6"/>
  <c r="M15424" i="6"/>
  <c r="M15425" i="6"/>
  <c r="M15426" i="6"/>
  <c r="M15427" i="6"/>
  <c r="M15428" i="6"/>
  <c r="M15429" i="6"/>
  <c r="M15430" i="6"/>
  <c r="M15431" i="6"/>
  <c r="M15432" i="6"/>
  <c r="M15433" i="6"/>
  <c r="M15434" i="6"/>
  <c r="M15435" i="6"/>
  <c r="M15436" i="6"/>
  <c r="M15437" i="6"/>
  <c r="M15438" i="6"/>
  <c r="M15439" i="6"/>
  <c r="M15440" i="6"/>
  <c r="M15441" i="6"/>
  <c r="M15442" i="6"/>
  <c r="M15443" i="6"/>
  <c r="M15444" i="6"/>
  <c r="M15445" i="6"/>
  <c r="M15446" i="6"/>
  <c r="M15447" i="6"/>
  <c r="M15448" i="6"/>
  <c r="M15449" i="6"/>
  <c r="M15450" i="6"/>
  <c r="M15451" i="6"/>
  <c r="M15452" i="6"/>
  <c r="M15453" i="6"/>
  <c r="M15454" i="6"/>
  <c r="M15455" i="6"/>
  <c r="M15456" i="6"/>
  <c r="M15457" i="6"/>
  <c r="M15458" i="6"/>
  <c r="M15459" i="6"/>
  <c r="M15460" i="6"/>
  <c r="M15461" i="6"/>
  <c r="M15462" i="6"/>
  <c r="M15463" i="6"/>
  <c r="M15464" i="6"/>
  <c r="M15465" i="6"/>
  <c r="M15466" i="6"/>
  <c r="M15467" i="6"/>
  <c r="M15468" i="6"/>
  <c r="M15469" i="6"/>
  <c r="M15470" i="6"/>
  <c r="M15471" i="6"/>
  <c r="M15472" i="6"/>
  <c r="M15473" i="6"/>
  <c r="M15474" i="6"/>
  <c r="M15475" i="6"/>
  <c r="M15476" i="6"/>
  <c r="M15477" i="6"/>
  <c r="M15478" i="6"/>
  <c r="M15479" i="6"/>
  <c r="M15480" i="6"/>
  <c r="M15481" i="6"/>
  <c r="M15482" i="6"/>
  <c r="M15483" i="6"/>
  <c r="M15484" i="6"/>
  <c r="M15485" i="6"/>
  <c r="M15486" i="6"/>
  <c r="M15487" i="6"/>
  <c r="M15488" i="6"/>
  <c r="M15489" i="6"/>
  <c r="M15490" i="6"/>
  <c r="M15491" i="6"/>
  <c r="M15492" i="6"/>
  <c r="M15493" i="6"/>
  <c r="M15494" i="6"/>
  <c r="M15495" i="6"/>
  <c r="M15496" i="6"/>
  <c r="M15497" i="6"/>
  <c r="M15498" i="6"/>
  <c r="M15499" i="6"/>
  <c r="M15500" i="6"/>
  <c r="M15501" i="6"/>
  <c r="M15502" i="6"/>
  <c r="M15503" i="6"/>
  <c r="M15504" i="6"/>
  <c r="M15505" i="6"/>
  <c r="M15506" i="6"/>
  <c r="M15507" i="6"/>
  <c r="M15508" i="6"/>
  <c r="M15509" i="6"/>
  <c r="M15510" i="6"/>
  <c r="M15511" i="6"/>
  <c r="M15512" i="6"/>
  <c r="M15513" i="6"/>
  <c r="M15514" i="6"/>
  <c r="M15515" i="6"/>
  <c r="M15516" i="6"/>
  <c r="M15517" i="6"/>
  <c r="M15518" i="6"/>
  <c r="M15519" i="6"/>
  <c r="M15520" i="6"/>
  <c r="M15521" i="6"/>
  <c r="M15522" i="6"/>
  <c r="M15523" i="6"/>
  <c r="M15524" i="6"/>
  <c r="M15525" i="6"/>
  <c r="M15526" i="6"/>
  <c r="M15527" i="6"/>
  <c r="M15528" i="6"/>
  <c r="M15529" i="6"/>
  <c r="M15530" i="6"/>
  <c r="M15531" i="6"/>
  <c r="M15532" i="6"/>
  <c r="M15533" i="6"/>
  <c r="M15534" i="6"/>
  <c r="M15535" i="6"/>
  <c r="M15536" i="6"/>
  <c r="M15537" i="6"/>
  <c r="M15538" i="6"/>
  <c r="M15539" i="6"/>
  <c r="M15540" i="6"/>
  <c r="M15541" i="6"/>
  <c r="M15542" i="6"/>
  <c r="M15543" i="6"/>
  <c r="M15544" i="6"/>
  <c r="M15545" i="6"/>
  <c r="M15546" i="6"/>
  <c r="M15547" i="6"/>
  <c r="M15548" i="6"/>
  <c r="M15549" i="6"/>
  <c r="M15550" i="6"/>
  <c r="M15551" i="6"/>
  <c r="M15552" i="6"/>
  <c r="M15553" i="6"/>
  <c r="M15554" i="6"/>
  <c r="M15555" i="6"/>
  <c r="M15556" i="6"/>
  <c r="M15557" i="6"/>
  <c r="M15558" i="6"/>
  <c r="M15559" i="6"/>
  <c r="M15560" i="6"/>
  <c r="M15561" i="6"/>
  <c r="M15562" i="6"/>
  <c r="M15563" i="6"/>
  <c r="M15564" i="6"/>
  <c r="M15565" i="6"/>
  <c r="M15566" i="6"/>
  <c r="M15567" i="6"/>
  <c r="M15568" i="6"/>
  <c r="M15569" i="6"/>
  <c r="M15570" i="6"/>
  <c r="M15571" i="6"/>
  <c r="M15572" i="6"/>
  <c r="M15573" i="6"/>
  <c r="M15574" i="6"/>
  <c r="M15575" i="6"/>
  <c r="M15576" i="6"/>
  <c r="M15577" i="6"/>
  <c r="M15578" i="6"/>
  <c r="M15579" i="6"/>
  <c r="M15580" i="6"/>
  <c r="M15581" i="6"/>
  <c r="M15582" i="6"/>
  <c r="M15583" i="6"/>
  <c r="M15584" i="6"/>
  <c r="M15585" i="6"/>
  <c r="M15586" i="6"/>
  <c r="M15587" i="6"/>
  <c r="M15588" i="6"/>
  <c r="M15589" i="6"/>
  <c r="M15590" i="6"/>
  <c r="M15591" i="6"/>
  <c r="M15592" i="6"/>
  <c r="M15593" i="6"/>
  <c r="M15594" i="6"/>
  <c r="M15595" i="6"/>
  <c r="M15596" i="6"/>
  <c r="M15597" i="6"/>
  <c r="M15598" i="6"/>
  <c r="M15599" i="6"/>
  <c r="M15600" i="6"/>
  <c r="M15601" i="6"/>
  <c r="M15602" i="6"/>
  <c r="M15603" i="6"/>
  <c r="M15604" i="6"/>
  <c r="M15605" i="6"/>
  <c r="M15606" i="6"/>
  <c r="M15607" i="6"/>
  <c r="M15608" i="6"/>
  <c r="M15609" i="6"/>
  <c r="M15610" i="6"/>
  <c r="M15611" i="6"/>
  <c r="M15612" i="6"/>
  <c r="M15613" i="6"/>
  <c r="M15614" i="6"/>
  <c r="M15615" i="6"/>
  <c r="M15616" i="6"/>
  <c r="M15617" i="6"/>
  <c r="M15618" i="6"/>
  <c r="M15619" i="6"/>
  <c r="M15620" i="6"/>
  <c r="M15621" i="6"/>
  <c r="M15622" i="6"/>
  <c r="M15623" i="6"/>
  <c r="M15624" i="6"/>
  <c r="M15625" i="6"/>
  <c r="M15626" i="6"/>
  <c r="M15627" i="6"/>
  <c r="M15628" i="6"/>
  <c r="M15629" i="6"/>
  <c r="M15630" i="6"/>
  <c r="M15631" i="6"/>
  <c r="M15632" i="6"/>
  <c r="M15633" i="6"/>
  <c r="M15634" i="6"/>
  <c r="M15635" i="6"/>
  <c r="M15636" i="6"/>
  <c r="M15637" i="6"/>
  <c r="M15638" i="6"/>
  <c r="M15639" i="6"/>
  <c r="M15640" i="6"/>
  <c r="M15641" i="6"/>
  <c r="M15642" i="6"/>
  <c r="M15643" i="6"/>
  <c r="M15644" i="6"/>
  <c r="M15645" i="6"/>
  <c r="M15646" i="6"/>
  <c r="M15647" i="6"/>
  <c r="M15648" i="6"/>
  <c r="M15649" i="6"/>
  <c r="M15650" i="6"/>
  <c r="M15651" i="6"/>
  <c r="M15652" i="6"/>
  <c r="M15653" i="6"/>
  <c r="M15654" i="6"/>
  <c r="M15655" i="6"/>
  <c r="M15656" i="6"/>
  <c r="M15657" i="6"/>
  <c r="M15658" i="6"/>
  <c r="M15659" i="6"/>
  <c r="M15660" i="6"/>
  <c r="M15661" i="6"/>
  <c r="M15662" i="6"/>
  <c r="M15663" i="6"/>
  <c r="M15664" i="6"/>
  <c r="M15665" i="6"/>
  <c r="M15666" i="6"/>
  <c r="M15667" i="6"/>
  <c r="M15668" i="6"/>
  <c r="M15669" i="6"/>
  <c r="M15670" i="6"/>
  <c r="M15671" i="6"/>
  <c r="M15672" i="6"/>
  <c r="M15673" i="6"/>
  <c r="M15674" i="6"/>
  <c r="M15675" i="6"/>
  <c r="M15676" i="6"/>
  <c r="M15677" i="6"/>
  <c r="M15678" i="6"/>
  <c r="M15679" i="6"/>
  <c r="M15680" i="6"/>
  <c r="M15681" i="6"/>
  <c r="M15682" i="6"/>
  <c r="M15683" i="6"/>
  <c r="M15684" i="6"/>
  <c r="M15685" i="6"/>
  <c r="M15686" i="6"/>
  <c r="M15687" i="6"/>
  <c r="M15688" i="6"/>
  <c r="M15689" i="6"/>
  <c r="M15690" i="6"/>
  <c r="M15691" i="6"/>
  <c r="M15692" i="6"/>
  <c r="M15693" i="6"/>
  <c r="M15694" i="6"/>
  <c r="M15695" i="6"/>
  <c r="M15696" i="6"/>
  <c r="M15697" i="6"/>
  <c r="M15698" i="6"/>
  <c r="M15699" i="6"/>
  <c r="M15700" i="6"/>
  <c r="M15701" i="6"/>
  <c r="M15702" i="6"/>
  <c r="M15703" i="6"/>
  <c r="M15704" i="6"/>
  <c r="M15705" i="6"/>
  <c r="M15706" i="6"/>
  <c r="M15707" i="6"/>
  <c r="M15708" i="6"/>
  <c r="M15709" i="6"/>
  <c r="M15710" i="6"/>
  <c r="M15711" i="6"/>
  <c r="M15712" i="6"/>
  <c r="M15713" i="6"/>
  <c r="M15714" i="6"/>
  <c r="M15715" i="6"/>
  <c r="M15716" i="6"/>
  <c r="M15717" i="6"/>
  <c r="M15718" i="6"/>
  <c r="M15719" i="6"/>
  <c r="M15720" i="6"/>
  <c r="M15721" i="6"/>
  <c r="M15722" i="6"/>
  <c r="M15723" i="6"/>
  <c r="M15724" i="6"/>
  <c r="M15725" i="6"/>
  <c r="M15726" i="6"/>
  <c r="M15727" i="6"/>
  <c r="M15728" i="6"/>
  <c r="M15729" i="6"/>
  <c r="M15730" i="6"/>
  <c r="M15731" i="6"/>
  <c r="M15732" i="6"/>
  <c r="M15733" i="6"/>
  <c r="M15734" i="6"/>
  <c r="M15735" i="6"/>
  <c r="M15736" i="6"/>
  <c r="M15737" i="6"/>
  <c r="M15738" i="6"/>
  <c r="M15739" i="6"/>
  <c r="M15740" i="6"/>
  <c r="M15741" i="6"/>
  <c r="M15742" i="6"/>
  <c r="M15743" i="6"/>
  <c r="M15744" i="6"/>
  <c r="M15745" i="6"/>
  <c r="M15746" i="6"/>
  <c r="M15747" i="6"/>
  <c r="M15748" i="6"/>
  <c r="M15749" i="6"/>
  <c r="M15750" i="6"/>
  <c r="M15751" i="6"/>
  <c r="M15752" i="6"/>
  <c r="M15753" i="6"/>
  <c r="M15754" i="6"/>
  <c r="M15755" i="6"/>
  <c r="M15756" i="6"/>
  <c r="M15757" i="6"/>
  <c r="M15758" i="6"/>
  <c r="M15759" i="6"/>
  <c r="M15760" i="6"/>
  <c r="M15761" i="6"/>
  <c r="M15762" i="6"/>
  <c r="M15763" i="6"/>
  <c r="M15764" i="6"/>
  <c r="M15765" i="6"/>
  <c r="M15766" i="6"/>
  <c r="M15767" i="6"/>
  <c r="M15768" i="6"/>
  <c r="M15769" i="6"/>
  <c r="M15770" i="6"/>
  <c r="M15771" i="6"/>
  <c r="M15772" i="6"/>
  <c r="M15773" i="6"/>
  <c r="M15774" i="6"/>
  <c r="M15775" i="6"/>
  <c r="M15776" i="6"/>
  <c r="M15777" i="6"/>
  <c r="M15778" i="6"/>
  <c r="M15779" i="6"/>
  <c r="M15780" i="6"/>
  <c r="M15781" i="6"/>
  <c r="M15782" i="6"/>
  <c r="M15783" i="6"/>
  <c r="M15784" i="6"/>
  <c r="M15785" i="6"/>
  <c r="M15786" i="6"/>
  <c r="M15787" i="6"/>
  <c r="M15788" i="6"/>
  <c r="M15789" i="6"/>
  <c r="M15790" i="6"/>
  <c r="M15791" i="6"/>
  <c r="M15792" i="6"/>
  <c r="M15793" i="6"/>
  <c r="M15794" i="6"/>
  <c r="M15795" i="6"/>
  <c r="M15796" i="6"/>
  <c r="M15797" i="6"/>
  <c r="M15798" i="6"/>
  <c r="M15799" i="6"/>
  <c r="M15800" i="6"/>
  <c r="M15801" i="6"/>
  <c r="M15802" i="6"/>
  <c r="M15803" i="6"/>
  <c r="M15804" i="6"/>
  <c r="M15805" i="6"/>
  <c r="M15806" i="6"/>
  <c r="M15807" i="6"/>
  <c r="M15808" i="6"/>
  <c r="M15809" i="6"/>
  <c r="M15810" i="6"/>
  <c r="M15811" i="6"/>
  <c r="M15812" i="6"/>
  <c r="M15813" i="6"/>
  <c r="M15814" i="6"/>
  <c r="M15815" i="6"/>
  <c r="M15816" i="6"/>
  <c r="M15817" i="6"/>
  <c r="M15818" i="6"/>
  <c r="M15819" i="6"/>
  <c r="M15820" i="6"/>
  <c r="M15821" i="6"/>
  <c r="M15822" i="6"/>
  <c r="M15823" i="6"/>
  <c r="M15824" i="6"/>
  <c r="M15825" i="6"/>
  <c r="M15826" i="6"/>
  <c r="M15827" i="6"/>
  <c r="M15828" i="6"/>
  <c r="M15829" i="6"/>
  <c r="M15830" i="6"/>
  <c r="M15831" i="6"/>
  <c r="M15832" i="6"/>
  <c r="M15833" i="6"/>
  <c r="M15834" i="6"/>
  <c r="M15835" i="6"/>
  <c r="M15836" i="6"/>
  <c r="M15837" i="6"/>
  <c r="M15838" i="6"/>
  <c r="M15839" i="6"/>
  <c r="M15840" i="6"/>
  <c r="M15841" i="6"/>
  <c r="M15842" i="6"/>
  <c r="M15843" i="6"/>
  <c r="M15844" i="6"/>
  <c r="M15845" i="6"/>
  <c r="M15846" i="6"/>
  <c r="M15847" i="6"/>
  <c r="M15848" i="6"/>
  <c r="M15849" i="6"/>
  <c r="M15850" i="6"/>
  <c r="M15851" i="6"/>
  <c r="M15852" i="6"/>
  <c r="M15853" i="6"/>
  <c r="M15854" i="6"/>
  <c r="M15855" i="6"/>
  <c r="M15856" i="6"/>
  <c r="M15857" i="6"/>
  <c r="M15858" i="6"/>
  <c r="M15859" i="6"/>
  <c r="M15860" i="6"/>
  <c r="M15861" i="6"/>
  <c r="M15862" i="6"/>
  <c r="M15863" i="6"/>
  <c r="M15864" i="6"/>
  <c r="M15865" i="6"/>
  <c r="M15866" i="6"/>
  <c r="M15867" i="6"/>
  <c r="M15868" i="6"/>
  <c r="M15869" i="6"/>
  <c r="M15870" i="6"/>
  <c r="M15871" i="6"/>
  <c r="M15872" i="6"/>
  <c r="M15873" i="6"/>
  <c r="M15874" i="6"/>
  <c r="M15875" i="6"/>
  <c r="M15876" i="6"/>
  <c r="M15877" i="6"/>
  <c r="M15878" i="6"/>
  <c r="M15879" i="6"/>
  <c r="M15880" i="6"/>
  <c r="M15881" i="6"/>
  <c r="M15882" i="6"/>
  <c r="M15883" i="6"/>
  <c r="M15884" i="6"/>
  <c r="M15885" i="6"/>
  <c r="M15886" i="6"/>
  <c r="M15887" i="6"/>
  <c r="M15888" i="6"/>
  <c r="M15889" i="6"/>
  <c r="M15890" i="6"/>
  <c r="M15891" i="6"/>
  <c r="M15892" i="6"/>
  <c r="M15893" i="6"/>
  <c r="M15894" i="6"/>
  <c r="M15895" i="6"/>
  <c r="M15896" i="6"/>
  <c r="M15897" i="6"/>
  <c r="M15898" i="6"/>
  <c r="M15899" i="6"/>
  <c r="M15900" i="6"/>
  <c r="M15901" i="6"/>
  <c r="M15902" i="6"/>
  <c r="M15903" i="6"/>
  <c r="M15904" i="6"/>
  <c r="M15905" i="6"/>
  <c r="M15906" i="6"/>
  <c r="M15907" i="6"/>
  <c r="M15908" i="6"/>
  <c r="M15909" i="6"/>
  <c r="M15910" i="6"/>
  <c r="M15911" i="6"/>
  <c r="M15912" i="6"/>
  <c r="M15913" i="6"/>
  <c r="M15914" i="6"/>
  <c r="M15915" i="6"/>
  <c r="M15916" i="6"/>
  <c r="M15917" i="6"/>
  <c r="M15918" i="6"/>
  <c r="M15919" i="6"/>
  <c r="M15920" i="6"/>
  <c r="M15921" i="6"/>
  <c r="M15922" i="6"/>
  <c r="M15923" i="6"/>
  <c r="M15924" i="6"/>
  <c r="M15925" i="6"/>
  <c r="M15926" i="6"/>
  <c r="M15927" i="6"/>
  <c r="M15928" i="6"/>
  <c r="M15929" i="6"/>
  <c r="M15930" i="6"/>
  <c r="M15931" i="6"/>
  <c r="M15932" i="6"/>
  <c r="M15933" i="6"/>
  <c r="M15934" i="6"/>
  <c r="M15935" i="6"/>
  <c r="M15936" i="6"/>
  <c r="M15937" i="6"/>
  <c r="M15938" i="6"/>
  <c r="M15939" i="6"/>
  <c r="M15940" i="6"/>
  <c r="M15941" i="6"/>
  <c r="M15942" i="6"/>
  <c r="M15943" i="6"/>
  <c r="M15944" i="6"/>
  <c r="M15945" i="6"/>
  <c r="M15946" i="6"/>
  <c r="M15947" i="6"/>
  <c r="M15948" i="6"/>
  <c r="M15949" i="6"/>
  <c r="M15950" i="6"/>
  <c r="M15951" i="6"/>
  <c r="M15952" i="6"/>
  <c r="M15953" i="6"/>
  <c r="M15954" i="6"/>
  <c r="M15955" i="6"/>
  <c r="M15956" i="6"/>
  <c r="M15957" i="6"/>
  <c r="M15958" i="6"/>
  <c r="M15959" i="6"/>
  <c r="M15960" i="6"/>
  <c r="M15961" i="6"/>
  <c r="M15962" i="6"/>
  <c r="M15963" i="6"/>
  <c r="M15964" i="6"/>
  <c r="M15965" i="6"/>
  <c r="M15966" i="6"/>
  <c r="M15967" i="6"/>
  <c r="M15968" i="6"/>
  <c r="M15969" i="6"/>
  <c r="M15970" i="6"/>
  <c r="M15971" i="6"/>
  <c r="M15972" i="6"/>
  <c r="M15973" i="6"/>
  <c r="M15974" i="6"/>
  <c r="M15975" i="6"/>
  <c r="M15976" i="6"/>
  <c r="M15977" i="6"/>
  <c r="M15978" i="6"/>
  <c r="M15979" i="6"/>
  <c r="M15980" i="6"/>
  <c r="M15981" i="6"/>
  <c r="M15982" i="6"/>
  <c r="M15983" i="6"/>
  <c r="M15984" i="6"/>
  <c r="M15985" i="6"/>
  <c r="M15986" i="6"/>
  <c r="M15987" i="6"/>
  <c r="M15988" i="6"/>
  <c r="M15989" i="6"/>
  <c r="M15990" i="6"/>
  <c r="M15991" i="6"/>
  <c r="M15992" i="6"/>
  <c r="M15993" i="6"/>
  <c r="M15994" i="6"/>
  <c r="M15995" i="6"/>
  <c r="M15996" i="6"/>
  <c r="M15997" i="6"/>
  <c r="M15998" i="6"/>
  <c r="M15999" i="6"/>
  <c r="M16000" i="6"/>
  <c r="M16001" i="6"/>
  <c r="M16002" i="6"/>
  <c r="M16003" i="6"/>
  <c r="M16004" i="6"/>
  <c r="M16005" i="6"/>
  <c r="M16006" i="6"/>
  <c r="M16007" i="6"/>
  <c r="M16008" i="6"/>
  <c r="M16009" i="6"/>
  <c r="M16010" i="6"/>
  <c r="M16011" i="6"/>
  <c r="M16012" i="6"/>
  <c r="M16013" i="6"/>
  <c r="M16014" i="6"/>
  <c r="M16015" i="6"/>
  <c r="M16016" i="6"/>
  <c r="M16017" i="6"/>
  <c r="M16018" i="6"/>
  <c r="M16019" i="6"/>
  <c r="M16020" i="6"/>
  <c r="M16021" i="6"/>
  <c r="M16022" i="6"/>
  <c r="M16023" i="6"/>
  <c r="M16024" i="6"/>
  <c r="M16025" i="6"/>
  <c r="M16026" i="6"/>
  <c r="M16027" i="6"/>
  <c r="M16028" i="6"/>
  <c r="M16029" i="6"/>
  <c r="M16030" i="6"/>
  <c r="M16031" i="6"/>
  <c r="M16032" i="6"/>
  <c r="M16033" i="6"/>
  <c r="M16034" i="6"/>
  <c r="M16035" i="6"/>
  <c r="M16036" i="6"/>
  <c r="M16037" i="6"/>
  <c r="M16038" i="6"/>
  <c r="M16039" i="6"/>
  <c r="M16040" i="6"/>
  <c r="M16041" i="6"/>
  <c r="M16042" i="6"/>
  <c r="M16043" i="6"/>
  <c r="M16044" i="6"/>
  <c r="M16045" i="6"/>
  <c r="M16046" i="6"/>
  <c r="M16047" i="6"/>
  <c r="M16048" i="6"/>
  <c r="M16049" i="6"/>
  <c r="M16050" i="6"/>
  <c r="M16051" i="6"/>
  <c r="M16052" i="6"/>
  <c r="M16053" i="6"/>
  <c r="M16054" i="6"/>
  <c r="M16055" i="6"/>
  <c r="M16056" i="6"/>
  <c r="M16057" i="6"/>
  <c r="M16058" i="6"/>
  <c r="M16059" i="6"/>
  <c r="M16060" i="6"/>
  <c r="M16061" i="6"/>
  <c r="M16062" i="6"/>
  <c r="M16063" i="6"/>
  <c r="M16064" i="6"/>
  <c r="M16065" i="6"/>
  <c r="M16066" i="6"/>
  <c r="M16067" i="6"/>
  <c r="M16068" i="6"/>
  <c r="M16069" i="6"/>
  <c r="M16070" i="6"/>
  <c r="M16071" i="6"/>
  <c r="M16072" i="6"/>
  <c r="M16073" i="6"/>
  <c r="M16074" i="6"/>
  <c r="M16075" i="6"/>
  <c r="M16076" i="6"/>
  <c r="M16077" i="6"/>
  <c r="M16078" i="6"/>
  <c r="M16079" i="6"/>
  <c r="M16080" i="6"/>
  <c r="M16081" i="6"/>
  <c r="M16082" i="6"/>
  <c r="M16083" i="6"/>
  <c r="M16084" i="6"/>
  <c r="M16085" i="6"/>
  <c r="M16086" i="6"/>
  <c r="M16087" i="6"/>
  <c r="M16088" i="6"/>
  <c r="M16089" i="6"/>
  <c r="M16090" i="6"/>
  <c r="M16091" i="6"/>
  <c r="M16092" i="6"/>
  <c r="M16093" i="6"/>
  <c r="M16094" i="6"/>
  <c r="M16095" i="6"/>
  <c r="M16096" i="6"/>
  <c r="M16097" i="6"/>
  <c r="M16098" i="6"/>
  <c r="M16099" i="6"/>
  <c r="M16100" i="6"/>
  <c r="M16101" i="6"/>
  <c r="M16102" i="6"/>
  <c r="M16103" i="6"/>
  <c r="M16104" i="6"/>
  <c r="M16105" i="6"/>
  <c r="M16106" i="6"/>
  <c r="M16107" i="6"/>
  <c r="M16108" i="6"/>
  <c r="M16109" i="6"/>
  <c r="M16110" i="6"/>
  <c r="M16111" i="6"/>
  <c r="M16112" i="6"/>
  <c r="M16113" i="6"/>
  <c r="M16114" i="6"/>
  <c r="M16115" i="6"/>
  <c r="M16116" i="6"/>
  <c r="M16117" i="6"/>
  <c r="M16118" i="6"/>
  <c r="M16119" i="6"/>
  <c r="M16120" i="6"/>
  <c r="M16121" i="6"/>
  <c r="M16122" i="6"/>
  <c r="M16123" i="6"/>
  <c r="M16124" i="6"/>
  <c r="M16125" i="6"/>
  <c r="M16126" i="6"/>
  <c r="M16127" i="6"/>
  <c r="M16128" i="6"/>
  <c r="M16129" i="6"/>
  <c r="M16130" i="6"/>
  <c r="M16131" i="6"/>
  <c r="M16132" i="6"/>
  <c r="M16133" i="6"/>
  <c r="M16134" i="6"/>
  <c r="M16135" i="6"/>
  <c r="M16136" i="6"/>
  <c r="M16137" i="6"/>
  <c r="M16138" i="6"/>
  <c r="M16139" i="6"/>
  <c r="M16140" i="6"/>
  <c r="M16141" i="6"/>
  <c r="M16142" i="6"/>
  <c r="M16143" i="6"/>
  <c r="M16144" i="6"/>
  <c r="M16145" i="6"/>
  <c r="M16146" i="6"/>
  <c r="M16147" i="6"/>
  <c r="M16148" i="6"/>
  <c r="M16149" i="6"/>
  <c r="M16150" i="6"/>
  <c r="M16151" i="6"/>
  <c r="M16152" i="6"/>
  <c r="M16153" i="6"/>
  <c r="M16154" i="6"/>
  <c r="M16155" i="6"/>
  <c r="M16156" i="6"/>
  <c r="M16157" i="6"/>
  <c r="M16158" i="6"/>
  <c r="M16159" i="6"/>
  <c r="M16160" i="6"/>
  <c r="M16161" i="6"/>
  <c r="M16162" i="6"/>
  <c r="M16163" i="6"/>
  <c r="M16164" i="6"/>
  <c r="M16165" i="6"/>
  <c r="M16166" i="6"/>
  <c r="M16167" i="6"/>
  <c r="M16168" i="6"/>
  <c r="M16169" i="6"/>
  <c r="M16170" i="6"/>
  <c r="M16171" i="6"/>
  <c r="M16172" i="6"/>
  <c r="M16173" i="6"/>
  <c r="M16174" i="6"/>
  <c r="M16175" i="6"/>
  <c r="M16176" i="6"/>
  <c r="M16177" i="6"/>
  <c r="M16178" i="6"/>
  <c r="M16179" i="6"/>
  <c r="M16180" i="6"/>
  <c r="M16181" i="6"/>
  <c r="M16182" i="6"/>
  <c r="M16183" i="6"/>
  <c r="M16184" i="6"/>
  <c r="M16185" i="6"/>
  <c r="M16186" i="6"/>
  <c r="M16187" i="6"/>
  <c r="M16188" i="6"/>
  <c r="M16189" i="6"/>
  <c r="M16190" i="6"/>
  <c r="M16191" i="6"/>
  <c r="M16192" i="6"/>
  <c r="M16193" i="6"/>
  <c r="M16194" i="6"/>
  <c r="M16195" i="6"/>
  <c r="M16196" i="6"/>
  <c r="M16197" i="6"/>
  <c r="M16198" i="6"/>
  <c r="M16199" i="6"/>
  <c r="M16200" i="6"/>
  <c r="M16201" i="6"/>
  <c r="M16202" i="6"/>
  <c r="M16203" i="6"/>
  <c r="M16204" i="6"/>
  <c r="M16205" i="6"/>
  <c r="M16206" i="6"/>
  <c r="M16207" i="6"/>
  <c r="M16208" i="6"/>
  <c r="M16209" i="6"/>
  <c r="M16210" i="6"/>
  <c r="M16211" i="6"/>
  <c r="M16212" i="6"/>
  <c r="M16213" i="6"/>
  <c r="M16214" i="6"/>
  <c r="M16215" i="6"/>
  <c r="M16216" i="6"/>
  <c r="M16217" i="6"/>
  <c r="M16218" i="6"/>
  <c r="M16219" i="6"/>
  <c r="M16220" i="6"/>
  <c r="M16221" i="6"/>
  <c r="M16222" i="6"/>
  <c r="M16223" i="6"/>
  <c r="M16224" i="6"/>
  <c r="M16225" i="6"/>
  <c r="M16226" i="6"/>
  <c r="M16227" i="6"/>
  <c r="M16228" i="6"/>
  <c r="M16229" i="6"/>
  <c r="M16230" i="6"/>
  <c r="M16231" i="6"/>
  <c r="M16232" i="6"/>
  <c r="M16233" i="6"/>
  <c r="M16234" i="6"/>
  <c r="M16235" i="6"/>
  <c r="M16236" i="6"/>
  <c r="M16237" i="6"/>
  <c r="M16238" i="6"/>
  <c r="M16239" i="6"/>
  <c r="M16240" i="6"/>
  <c r="M16241" i="6"/>
  <c r="M16242" i="6"/>
  <c r="M16243" i="6"/>
  <c r="M16244" i="6"/>
  <c r="M16245" i="6"/>
  <c r="M16246" i="6"/>
  <c r="M16247" i="6"/>
  <c r="M16248" i="6"/>
  <c r="M16249" i="6"/>
  <c r="M16250" i="6"/>
  <c r="M16251" i="6"/>
  <c r="M16252" i="6"/>
  <c r="M16253" i="6"/>
  <c r="M16254" i="6"/>
  <c r="M16255" i="6"/>
  <c r="M16256" i="6"/>
  <c r="M16257" i="6"/>
  <c r="M16258" i="6"/>
  <c r="M16259" i="6"/>
  <c r="M16260" i="6"/>
  <c r="M16261" i="6"/>
  <c r="M16262" i="6"/>
  <c r="M16263" i="6"/>
  <c r="M16264" i="6"/>
  <c r="M16265" i="6"/>
  <c r="M16266" i="6"/>
  <c r="M16267" i="6"/>
  <c r="M16268" i="6"/>
  <c r="M16269" i="6"/>
  <c r="M16270" i="6"/>
  <c r="M16271" i="6"/>
  <c r="M16272" i="6"/>
  <c r="M16273" i="6"/>
  <c r="M16274" i="6"/>
  <c r="M16275" i="6"/>
  <c r="M16276" i="6"/>
  <c r="M16277" i="6"/>
  <c r="M16278" i="6"/>
  <c r="M16279" i="6"/>
  <c r="M16280" i="6"/>
  <c r="M16281" i="6"/>
  <c r="M16282" i="6"/>
  <c r="M16283" i="6"/>
  <c r="M16284" i="6"/>
  <c r="M16285" i="6"/>
  <c r="M16286" i="6"/>
  <c r="M16287" i="6"/>
  <c r="M16288" i="6"/>
  <c r="M16289" i="6"/>
  <c r="M16290" i="6"/>
  <c r="M16291" i="6"/>
  <c r="M16292" i="6"/>
  <c r="M16293" i="6"/>
  <c r="M16294" i="6"/>
  <c r="M16295" i="6"/>
  <c r="M16296" i="6"/>
  <c r="M16297" i="6"/>
  <c r="M16298" i="6"/>
  <c r="M16299" i="6"/>
  <c r="M16300" i="6"/>
  <c r="M16301" i="6"/>
  <c r="M16302" i="6"/>
  <c r="M16303" i="6"/>
  <c r="M16304" i="6"/>
  <c r="M16305" i="6"/>
  <c r="M16306" i="6"/>
  <c r="M16307" i="6"/>
  <c r="M16308" i="6"/>
  <c r="M16309" i="6"/>
  <c r="M16310" i="6"/>
  <c r="M16311" i="6"/>
  <c r="M16312" i="6"/>
  <c r="M16313" i="6"/>
  <c r="M16314" i="6"/>
  <c r="M16315" i="6"/>
  <c r="M16316" i="6"/>
  <c r="M16317" i="6"/>
  <c r="M16318" i="6"/>
  <c r="M16319" i="6"/>
  <c r="M16320" i="6"/>
  <c r="M16321" i="6"/>
  <c r="M16322" i="6"/>
  <c r="M16323" i="6"/>
  <c r="M16324" i="6"/>
  <c r="M16325" i="6"/>
  <c r="M16326" i="6"/>
  <c r="M16327" i="6"/>
  <c r="M16328" i="6"/>
  <c r="M16329" i="6"/>
  <c r="M16330" i="6"/>
  <c r="M16331" i="6"/>
  <c r="M16332" i="6"/>
  <c r="M16333" i="6"/>
  <c r="M16334" i="6"/>
  <c r="M16335" i="6"/>
  <c r="M16336" i="6"/>
  <c r="M16337" i="6"/>
  <c r="M16338" i="6"/>
  <c r="M16339" i="6"/>
  <c r="M16340" i="6"/>
  <c r="M16341" i="6"/>
  <c r="M16342" i="6"/>
  <c r="M16343" i="6"/>
  <c r="M16344" i="6"/>
  <c r="M16345" i="6"/>
  <c r="M16346" i="6"/>
  <c r="M16347" i="6"/>
  <c r="M16348" i="6"/>
  <c r="M16349" i="6"/>
  <c r="M16350" i="6"/>
  <c r="M16351" i="6"/>
  <c r="M16352" i="6"/>
  <c r="M16353" i="6"/>
  <c r="M16354" i="6"/>
  <c r="M16355" i="6"/>
  <c r="M16356" i="6"/>
  <c r="M16357" i="6"/>
  <c r="M16358" i="6"/>
  <c r="M16359" i="6"/>
  <c r="M16360" i="6"/>
  <c r="M16361" i="6"/>
  <c r="M16362" i="6"/>
  <c r="M16363" i="6"/>
  <c r="M16364" i="6"/>
  <c r="M16365" i="6"/>
  <c r="M16366" i="6"/>
  <c r="M16367" i="6"/>
  <c r="M16368" i="6"/>
  <c r="M16369" i="6"/>
  <c r="M16370" i="6"/>
  <c r="M16371" i="6"/>
  <c r="M16372" i="6"/>
  <c r="M16373" i="6"/>
  <c r="M16374" i="6"/>
  <c r="M16375" i="6"/>
  <c r="M16376" i="6"/>
  <c r="M16377" i="6"/>
  <c r="M16378" i="6"/>
  <c r="M16379" i="6"/>
  <c r="M16380" i="6"/>
  <c r="M16381" i="6"/>
  <c r="M16382" i="6"/>
  <c r="M16383" i="6"/>
  <c r="M16384" i="6"/>
  <c r="M16385" i="6"/>
  <c r="M16386" i="6"/>
  <c r="M16387" i="6"/>
  <c r="M16388" i="6"/>
  <c r="M16389" i="6"/>
  <c r="M16390" i="6"/>
  <c r="M16391" i="6"/>
  <c r="M16392" i="6"/>
  <c r="M16393" i="6"/>
  <c r="M16394" i="6"/>
  <c r="M16395" i="6"/>
  <c r="M16396" i="6"/>
  <c r="M16397" i="6"/>
  <c r="M16398" i="6"/>
  <c r="M16399" i="6"/>
  <c r="M16400" i="6"/>
  <c r="M16401" i="6"/>
  <c r="M16402" i="6"/>
  <c r="M16403" i="6"/>
  <c r="M16404" i="6"/>
  <c r="M16405" i="6"/>
  <c r="M16406" i="6"/>
  <c r="M16407" i="6"/>
  <c r="M16408" i="6"/>
  <c r="M16409" i="6"/>
  <c r="M16410" i="6"/>
  <c r="M16411" i="6"/>
  <c r="M16412" i="6"/>
  <c r="M16413" i="6"/>
  <c r="M16414" i="6"/>
  <c r="M16415" i="6"/>
  <c r="M16416" i="6"/>
  <c r="M16417" i="6"/>
  <c r="M16418" i="6"/>
  <c r="M16419" i="6"/>
  <c r="M16420" i="6"/>
  <c r="M16421" i="6"/>
  <c r="M16422" i="6"/>
  <c r="M16423" i="6"/>
  <c r="M16424" i="6"/>
  <c r="M16425" i="6"/>
  <c r="M16426" i="6"/>
  <c r="M16427" i="6"/>
  <c r="M16428" i="6"/>
  <c r="M16429" i="6"/>
  <c r="M16430" i="6"/>
  <c r="M16431" i="6"/>
  <c r="M16432" i="6"/>
  <c r="M16433" i="6"/>
  <c r="M16434" i="6"/>
  <c r="M16435" i="6"/>
  <c r="M16436" i="6"/>
  <c r="M16437" i="6"/>
  <c r="M16438" i="6"/>
  <c r="M16439" i="6"/>
  <c r="M16440" i="6"/>
  <c r="M16441" i="6"/>
  <c r="M16442" i="6"/>
  <c r="M16443" i="6"/>
  <c r="M16444" i="6"/>
  <c r="M16445" i="6"/>
  <c r="M16446" i="6"/>
  <c r="M16447" i="6"/>
  <c r="M16448" i="6"/>
  <c r="M16449" i="6"/>
  <c r="M16450" i="6"/>
  <c r="M16451" i="6"/>
  <c r="M16452" i="6"/>
  <c r="M16453" i="6"/>
  <c r="M16454" i="6"/>
  <c r="M16455" i="6"/>
  <c r="M16456" i="6"/>
  <c r="M16457" i="6"/>
  <c r="M16458" i="6"/>
  <c r="M16459" i="6"/>
  <c r="M16460" i="6"/>
  <c r="M16461" i="6"/>
  <c r="M16462" i="6"/>
  <c r="M16463" i="6"/>
  <c r="M16464" i="6"/>
  <c r="M16465" i="6"/>
  <c r="M16466" i="6"/>
  <c r="M16467" i="6"/>
  <c r="M16468" i="6"/>
  <c r="M16469" i="6"/>
  <c r="M16470" i="6"/>
  <c r="M16471" i="6"/>
  <c r="M16472" i="6"/>
  <c r="M16473" i="6"/>
  <c r="M16474" i="6"/>
  <c r="M16475" i="6"/>
  <c r="M16476" i="6"/>
  <c r="M16477" i="6"/>
  <c r="M16478" i="6"/>
  <c r="M16479" i="6"/>
  <c r="M16480" i="6"/>
  <c r="M16481" i="6"/>
  <c r="M16482" i="6"/>
  <c r="M16483" i="6"/>
  <c r="M16484" i="6"/>
  <c r="M16485" i="6"/>
  <c r="M16486" i="6"/>
  <c r="M16487" i="6"/>
  <c r="M16488" i="6"/>
  <c r="M16489" i="6"/>
  <c r="M16490" i="6"/>
  <c r="M16491" i="6"/>
  <c r="M16492" i="6"/>
  <c r="M16493" i="6"/>
  <c r="M16494" i="6"/>
  <c r="M16495" i="6"/>
  <c r="M16496" i="6"/>
  <c r="M16497" i="6"/>
  <c r="M16498" i="6"/>
  <c r="M16499" i="6"/>
  <c r="M16500" i="6"/>
  <c r="M16501" i="6"/>
  <c r="M16502" i="6"/>
  <c r="M16503" i="6"/>
  <c r="M16504" i="6"/>
  <c r="M16505" i="6"/>
  <c r="M16506" i="6"/>
  <c r="M16507" i="6"/>
  <c r="M16508" i="6"/>
  <c r="M16509" i="6"/>
  <c r="M16510" i="6"/>
  <c r="M16511" i="6"/>
  <c r="M16512" i="6"/>
  <c r="M16513" i="6"/>
  <c r="M16514" i="6"/>
  <c r="M16515" i="6"/>
  <c r="M16516" i="6"/>
  <c r="M16517" i="6"/>
  <c r="M16518" i="6"/>
  <c r="M16519" i="6"/>
  <c r="M16520" i="6"/>
  <c r="M16521" i="6"/>
  <c r="M16522" i="6"/>
  <c r="M16523" i="6"/>
  <c r="M16524" i="6"/>
  <c r="M16525" i="6"/>
  <c r="M16526" i="6"/>
  <c r="M16527" i="6"/>
  <c r="M16528" i="6"/>
  <c r="M16529" i="6"/>
  <c r="M16530" i="6"/>
  <c r="M16531" i="6"/>
  <c r="M16532" i="6"/>
  <c r="M16533" i="6"/>
  <c r="M16534" i="6"/>
  <c r="M16535" i="6"/>
  <c r="M16536" i="6"/>
  <c r="M16537" i="6"/>
  <c r="M16538" i="6"/>
  <c r="M16539" i="6"/>
  <c r="M16540" i="6"/>
  <c r="M16541" i="6"/>
  <c r="M16542" i="6"/>
  <c r="M16543" i="6"/>
  <c r="M16544" i="6"/>
  <c r="M16545" i="6"/>
  <c r="M16546" i="6"/>
  <c r="M16547" i="6"/>
  <c r="M16548" i="6"/>
  <c r="M16549" i="6"/>
  <c r="M16550" i="6"/>
  <c r="M16551" i="6"/>
  <c r="M16552" i="6"/>
  <c r="M16553" i="6"/>
  <c r="M16554" i="6"/>
  <c r="M16555" i="6"/>
  <c r="M16556" i="6"/>
  <c r="M16557" i="6"/>
  <c r="M16558" i="6"/>
  <c r="M16559" i="6"/>
  <c r="M16560" i="6"/>
  <c r="M16561" i="6"/>
  <c r="M16562" i="6"/>
  <c r="M16563" i="6"/>
  <c r="M16564" i="6"/>
  <c r="M16565" i="6"/>
  <c r="M16566" i="6"/>
  <c r="M16567" i="6"/>
  <c r="M16568" i="6"/>
  <c r="M16569" i="6"/>
  <c r="M16570" i="6"/>
  <c r="M16571" i="6"/>
  <c r="M16572" i="6"/>
  <c r="M16573" i="6"/>
  <c r="M16574" i="6"/>
  <c r="M16575" i="6"/>
  <c r="M16576" i="6"/>
  <c r="M16577" i="6"/>
  <c r="M16578" i="6"/>
  <c r="M16579" i="6"/>
  <c r="M16580" i="6"/>
  <c r="M16581" i="6"/>
  <c r="M16582" i="6"/>
  <c r="M16583" i="6"/>
  <c r="M16584" i="6"/>
  <c r="M16585" i="6"/>
  <c r="M16586" i="6"/>
  <c r="M16587" i="6"/>
  <c r="M16588" i="6"/>
  <c r="M16589" i="6"/>
  <c r="M16590" i="6"/>
  <c r="M16591" i="6"/>
  <c r="M16592" i="6"/>
  <c r="M16593" i="6"/>
  <c r="M16594" i="6"/>
  <c r="M16595" i="6"/>
  <c r="M16596" i="6"/>
  <c r="M16597" i="6"/>
  <c r="M16598" i="6"/>
  <c r="M16599" i="6"/>
  <c r="M16600" i="6"/>
  <c r="M16601" i="6"/>
  <c r="M16602" i="6"/>
  <c r="M16603" i="6"/>
  <c r="M16604" i="6"/>
  <c r="M16605" i="6"/>
  <c r="M16606" i="6"/>
  <c r="M16607" i="6"/>
  <c r="M16608" i="6"/>
  <c r="M16609" i="6"/>
  <c r="M16610" i="6"/>
  <c r="M16611" i="6"/>
  <c r="M16612" i="6"/>
  <c r="M16613" i="6"/>
  <c r="M16614" i="6"/>
  <c r="M16615" i="6"/>
  <c r="M16616" i="6"/>
  <c r="M16617" i="6"/>
  <c r="M16618" i="6"/>
  <c r="M16619" i="6"/>
  <c r="M16620" i="6"/>
  <c r="M16621" i="6"/>
  <c r="M16622" i="6"/>
  <c r="M16623" i="6"/>
  <c r="M16624" i="6"/>
  <c r="M16625" i="6"/>
  <c r="M16626" i="6"/>
  <c r="M16627" i="6"/>
  <c r="M16628" i="6"/>
  <c r="M16629" i="6"/>
  <c r="M16630" i="6"/>
  <c r="M16631" i="6"/>
  <c r="M16632" i="6"/>
  <c r="M16633" i="6"/>
  <c r="M16634" i="6"/>
  <c r="M16635" i="6"/>
  <c r="M16636" i="6"/>
  <c r="M16637" i="6"/>
  <c r="M16638" i="6"/>
  <c r="M16639" i="6"/>
  <c r="M16640" i="6"/>
  <c r="M16641" i="6"/>
  <c r="M16642" i="6"/>
  <c r="M16643" i="6"/>
  <c r="M16644" i="6"/>
  <c r="M16645" i="6"/>
  <c r="M16646" i="6"/>
  <c r="M16647" i="6"/>
  <c r="M16648" i="6"/>
  <c r="M16649" i="6"/>
  <c r="M16650" i="6"/>
  <c r="M16651" i="6"/>
  <c r="M16652" i="6"/>
  <c r="M16653" i="6"/>
  <c r="M16654" i="6"/>
  <c r="M16655" i="6"/>
  <c r="M16656" i="6"/>
  <c r="M16657" i="6"/>
  <c r="M16658" i="6"/>
  <c r="M16659" i="6"/>
  <c r="M16660" i="6"/>
  <c r="M16661" i="6"/>
  <c r="M16662" i="6"/>
  <c r="M16663" i="6"/>
  <c r="M16664" i="6"/>
  <c r="M16665" i="6"/>
  <c r="M16666" i="6"/>
  <c r="M16667" i="6"/>
  <c r="M16668" i="6"/>
  <c r="M16669" i="6"/>
  <c r="M16670" i="6"/>
  <c r="M16671" i="6"/>
  <c r="M16672" i="6"/>
  <c r="M16673" i="6"/>
  <c r="M16674" i="6"/>
  <c r="M16675" i="6"/>
  <c r="M16676" i="6"/>
  <c r="M16677" i="6"/>
  <c r="M16678" i="6"/>
  <c r="M16679" i="6"/>
  <c r="M16680" i="6"/>
  <c r="M16681" i="6"/>
  <c r="M16682" i="6"/>
  <c r="M16683" i="6"/>
  <c r="M16684" i="6"/>
  <c r="M16685" i="6"/>
  <c r="M16686" i="6"/>
  <c r="M16687" i="6"/>
  <c r="M16688" i="6"/>
  <c r="M16689" i="6"/>
  <c r="M16690" i="6"/>
  <c r="M16691" i="6"/>
  <c r="M16692" i="6"/>
  <c r="M16693" i="6"/>
  <c r="M16694" i="6"/>
  <c r="M16695" i="6"/>
  <c r="M16696" i="6"/>
  <c r="M16697" i="6"/>
  <c r="M16698" i="6"/>
  <c r="M16699" i="6"/>
  <c r="M16700" i="6"/>
  <c r="M16701" i="6"/>
  <c r="M16702" i="6"/>
  <c r="M16703" i="6"/>
  <c r="M16704" i="6"/>
  <c r="M16705" i="6"/>
  <c r="M16706" i="6"/>
  <c r="M16707" i="6"/>
  <c r="M16708" i="6"/>
  <c r="M16709" i="6"/>
  <c r="M16710" i="6"/>
  <c r="M16711" i="6"/>
  <c r="M16712" i="6"/>
  <c r="M16713" i="6"/>
  <c r="M16714" i="6"/>
  <c r="M16715" i="6"/>
  <c r="M16716" i="6"/>
  <c r="M16717" i="6"/>
  <c r="M16718" i="6"/>
  <c r="M16719" i="6"/>
  <c r="M16720" i="6"/>
  <c r="M16721" i="6"/>
  <c r="M16722" i="6"/>
  <c r="M16723" i="6"/>
  <c r="M16724" i="6"/>
  <c r="M16725" i="6"/>
  <c r="M16726" i="6"/>
  <c r="M16727" i="6"/>
  <c r="M16728" i="6"/>
  <c r="M16729" i="6"/>
  <c r="M16730" i="6"/>
  <c r="M16731" i="6"/>
  <c r="M16732" i="6"/>
  <c r="M16733" i="6"/>
  <c r="M16734" i="6"/>
  <c r="M16735" i="6"/>
  <c r="M16736" i="6"/>
  <c r="M16737" i="6"/>
  <c r="M16738" i="6"/>
  <c r="M16739" i="6"/>
  <c r="M16740" i="6"/>
  <c r="M16741" i="6"/>
  <c r="M16742" i="6"/>
  <c r="M16743" i="6"/>
  <c r="M16744" i="6"/>
  <c r="M16745" i="6"/>
  <c r="M16746" i="6"/>
  <c r="M16747" i="6"/>
  <c r="M16748" i="6"/>
  <c r="M16749" i="6"/>
  <c r="M16750" i="6"/>
  <c r="M16751" i="6"/>
  <c r="M16752" i="6"/>
  <c r="M16753" i="6"/>
  <c r="M16754" i="6"/>
  <c r="M16755" i="6"/>
  <c r="M16756" i="6"/>
  <c r="M16757" i="6"/>
  <c r="M16758" i="6"/>
  <c r="M16759" i="6"/>
  <c r="M16760" i="6"/>
  <c r="M16761" i="6"/>
  <c r="M16762" i="6"/>
  <c r="M16763" i="6"/>
  <c r="M16764" i="6"/>
  <c r="M16765" i="6"/>
  <c r="M16766" i="6"/>
  <c r="M16767" i="6"/>
  <c r="M16768" i="6"/>
  <c r="M16769" i="6"/>
  <c r="M16770" i="6"/>
  <c r="M16771" i="6"/>
  <c r="M16772" i="6"/>
  <c r="M16773" i="6"/>
  <c r="M16774" i="6"/>
  <c r="M16775" i="6"/>
  <c r="M16776" i="6"/>
  <c r="M16777" i="6"/>
  <c r="M16778" i="6"/>
  <c r="M16779" i="6"/>
  <c r="M16780" i="6"/>
  <c r="M16781" i="6"/>
  <c r="M16782" i="6"/>
  <c r="M16783" i="6"/>
  <c r="M16784" i="6"/>
  <c r="M16785" i="6"/>
  <c r="M16786" i="6"/>
  <c r="M16787" i="6"/>
  <c r="M16788" i="6"/>
  <c r="M16789" i="6"/>
  <c r="M16790" i="6"/>
  <c r="M16791" i="6"/>
  <c r="M16792" i="6"/>
  <c r="M16793" i="6"/>
  <c r="M16794" i="6"/>
  <c r="M16795" i="6"/>
  <c r="M16796" i="6"/>
  <c r="M16797" i="6"/>
  <c r="M16798" i="6"/>
  <c r="M16799" i="6"/>
  <c r="M16800" i="6"/>
  <c r="M16801" i="6"/>
  <c r="M16802" i="6"/>
  <c r="M16803" i="6"/>
  <c r="M16804" i="6"/>
  <c r="M16805" i="6"/>
  <c r="M16806" i="6"/>
  <c r="M16807" i="6"/>
  <c r="M16808" i="6"/>
  <c r="M16809" i="6"/>
  <c r="M16810" i="6"/>
  <c r="M16811" i="6"/>
  <c r="M16812" i="6"/>
  <c r="M16813" i="6"/>
  <c r="M16814" i="6"/>
  <c r="M16815" i="6"/>
  <c r="M16816" i="6"/>
  <c r="M16817" i="6"/>
  <c r="M16818" i="6"/>
  <c r="M16819" i="6"/>
  <c r="M16820" i="6"/>
  <c r="M16821" i="6"/>
  <c r="M16822" i="6"/>
  <c r="M16823" i="6"/>
  <c r="M16824" i="6"/>
  <c r="M16825" i="6"/>
  <c r="M16826" i="6"/>
  <c r="M16827" i="6"/>
  <c r="M16828" i="6"/>
  <c r="M16829" i="6"/>
  <c r="M16830" i="6"/>
  <c r="M16831" i="6"/>
  <c r="M16832" i="6"/>
  <c r="M16833" i="6"/>
  <c r="M16834" i="6"/>
  <c r="M16835" i="6"/>
  <c r="M16836" i="6"/>
  <c r="M16837" i="6"/>
  <c r="M16838" i="6"/>
  <c r="M16839" i="6"/>
  <c r="M16840" i="6"/>
  <c r="M16841" i="6"/>
  <c r="M16842" i="6"/>
  <c r="M16843" i="6"/>
  <c r="M16844" i="6"/>
  <c r="M16845" i="6"/>
  <c r="M16846" i="6"/>
  <c r="M16847" i="6"/>
  <c r="M16848" i="6"/>
  <c r="M16849" i="6"/>
  <c r="M16850" i="6"/>
  <c r="M16851" i="6"/>
  <c r="M16852" i="6"/>
  <c r="M16853" i="6"/>
  <c r="M16854" i="6"/>
  <c r="M16855" i="6"/>
  <c r="M16856" i="6"/>
  <c r="M16857" i="6"/>
  <c r="M16858" i="6"/>
  <c r="M16859" i="6"/>
  <c r="M16860" i="6"/>
  <c r="M16861" i="6"/>
  <c r="M16862" i="6"/>
  <c r="M16863" i="6"/>
  <c r="M16864" i="6"/>
  <c r="M16865" i="6"/>
  <c r="M16866" i="6"/>
  <c r="M16867" i="6"/>
  <c r="M16868" i="6"/>
  <c r="M16869" i="6"/>
  <c r="M16870" i="6"/>
  <c r="M16871" i="6"/>
  <c r="M16872" i="6"/>
  <c r="M16873" i="6"/>
  <c r="M16874" i="6"/>
  <c r="M16875" i="6"/>
  <c r="M16876" i="6"/>
  <c r="M16877" i="6"/>
  <c r="M16878" i="6"/>
  <c r="M16879" i="6"/>
  <c r="M16880" i="6"/>
  <c r="M16881" i="6"/>
  <c r="M16882" i="6"/>
  <c r="M16883" i="6"/>
  <c r="M16884" i="6"/>
  <c r="M16885" i="6"/>
  <c r="M16886" i="6"/>
  <c r="M16887" i="6"/>
  <c r="M16888" i="6"/>
  <c r="M16889" i="6"/>
  <c r="M16890" i="6"/>
  <c r="M16891" i="6"/>
  <c r="M16892" i="6"/>
  <c r="M16893" i="6"/>
  <c r="M16894" i="6"/>
  <c r="M16895" i="6"/>
  <c r="M16896" i="6"/>
  <c r="M16897" i="6"/>
  <c r="M16898" i="6"/>
  <c r="M16899" i="6"/>
  <c r="M16900" i="6"/>
  <c r="M16901" i="6"/>
  <c r="M16902" i="6"/>
  <c r="M16903" i="6"/>
  <c r="M16904" i="6"/>
  <c r="M16905" i="6"/>
  <c r="M16906" i="6"/>
  <c r="M16907" i="6"/>
  <c r="M16908" i="6"/>
  <c r="M16909" i="6"/>
  <c r="M16910" i="6"/>
  <c r="M16911" i="6"/>
  <c r="M16912" i="6"/>
  <c r="M16913" i="6"/>
  <c r="M16914" i="6"/>
  <c r="M16915" i="6"/>
  <c r="M16916" i="6"/>
  <c r="M16917" i="6"/>
  <c r="M16918" i="6"/>
  <c r="M16919" i="6"/>
  <c r="M16920" i="6"/>
  <c r="M16921" i="6"/>
  <c r="M16922" i="6"/>
  <c r="M16923" i="6"/>
  <c r="M16924" i="6"/>
  <c r="M16925" i="6"/>
  <c r="M16926" i="6"/>
  <c r="M16927" i="6"/>
  <c r="M16928" i="6"/>
  <c r="M16929" i="6"/>
  <c r="M16930" i="6"/>
  <c r="M16931" i="6"/>
  <c r="M16932" i="6"/>
  <c r="M16933" i="6"/>
  <c r="M16934" i="6"/>
  <c r="M16935" i="6"/>
  <c r="M16936" i="6"/>
  <c r="M16937" i="6"/>
  <c r="M16938" i="6"/>
  <c r="M16939" i="6"/>
  <c r="M16940" i="6"/>
  <c r="M16941" i="6"/>
  <c r="M16942" i="6"/>
  <c r="M16943" i="6"/>
  <c r="M16944" i="6"/>
  <c r="M16945" i="6"/>
  <c r="M16946" i="6"/>
  <c r="M16947" i="6"/>
  <c r="M16948" i="6"/>
  <c r="M16949" i="6"/>
  <c r="M16950" i="6"/>
  <c r="M16951" i="6"/>
  <c r="M16952" i="6"/>
  <c r="M16953" i="6"/>
  <c r="M16954" i="6"/>
  <c r="M16955" i="6"/>
  <c r="M16956" i="6"/>
  <c r="M16957" i="6"/>
  <c r="M16958" i="6"/>
  <c r="M16959" i="6"/>
  <c r="M16960" i="6"/>
  <c r="M16961" i="6"/>
  <c r="M16962" i="6"/>
  <c r="M16963" i="6"/>
  <c r="M16964" i="6"/>
  <c r="M16965" i="6"/>
  <c r="M16966" i="6"/>
  <c r="M16967" i="6"/>
  <c r="M16968" i="6"/>
  <c r="M16969" i="6"/>
  <c r="M16970" i="6"/>
  <c r="M16971" i="6"/>
  <c r="M16972" i="6"/>
  <c r="M16973" i="6"/>
  <c r="M16974" i="6"/>
  <c r="M16975" i="6"/>
  <c r="M16976" i="6"/>
  <c r="M16977" i="6"/>
  <c r="M16978" i="6"/>
  <c r="M16979" i="6"/>
  <c r="M16980" i="6"/>
  <c r="M16981" i="6"/>
  <c r="M16982" i="6"/>
  <c r="M16983" i="6"/>
  <c r="M16984" i="6"/>
  <c r="M16985" i="6"/>
  <c r="M16986" i="6"/>
  <c r="M16987" i="6"/>
  <c r="M16988" i="6"/>
  <c r="M16989" i="6"/>
  <c r="M16990" i="6"/>
  <c r="M16991" i="6"/>
  <c r="M16992" i="6"/>
  <c r="M16993" i="6"/>
  <c r="M16994" i="6"/>
  <c r="M16995" i="6"/>
  <c r="M16996" i="6"/>
  <c r="M16997" i="6"/>
  <c r="M16998" i="6"/>
  <c r="M16999" i="6"/>
  <c r="M17000" i="6"/>
  <c r="M17001" i="6"/>
  <c r="M17002" i="6"/>
  <c r="M17003" i="6"/>
  <c r="M17004" i="6"/>
  <c r="M17005" i="6"/>
  <c r="M17006" i="6"/>
  <c r="M17007" i="6"/>
  <c r="M17008" i="6"/>
  <c r="M17009" i="6"/>
  <c r="M17010" i="6"/>
  <c r="M17011" i="6"/>
  <c r="M17012" i="6"/>
  <c r="M17013" i="6"/>
  <c r="M17014" i="6"/>
  <c r="M17015" i="6"/>
  <c r="M17016" i="6"/>
  <c r="M17017" i="6"/>
  <c r="M17018" i="6"/>
  <c r="M17019" i="6"/>
  <c r="M17020" i="6"/>
  <c r="M17021" i="6"/>
  <c r="M17022" i="6"/>
  <c r="M17023" i="6"/>
  <c r="M17024" i="6"/>
  <c r="M17025" i="6"/>
  <c r="M17026" i="6"/>
  <c r="M17027" i="6"/>
  <c r="M17028" i="6"/>
  <c r="M17029" i="6"/>
  <c r="M17030" i="6"/>
  <c r="M17031" i="6"/>
  <c r="M17032" i="6"/>
  <c r="M17033" i="6"/>
  <c r="M17034" i="6"/>
  <c r="M17035" i="6"/>
  <c r="M17036" i="6"/>
  <c r="M17037" i="6"/>
  <c r="M17038" i="6"/>
  <c r="M17039" i="6"/>
  <c r="M17040" i="6"/>
  <c r="M17041" i="6"/>
  <c r="M17042" i="6"/>
  <c r="M17043" i="6"/>
  <c r="M17044" i="6"/>
  <c r="M17045" i="6"/>
  <c r="M17046" i="6"/>
  <c r="M17047" i="6"/>
  <c r="M17048" i="6"/>
  <c r="M17049" i="6"/>
  <c r="M17050" i="6"/>
  <c r="M17051" i="6"/>
  <c r="M17052" i="6"/>
  <c r="M17053" i="6"/>
  <c r="M17054" i="6"/>
  <c r="M17055" i="6"/>
  <c r="M17056" i="6"/>
  <c r="M17057" i="6"/>
  <c r="M17058" i="6"/>
  <c r="M17059" i="6"/>
  <c r="M17060" i="6"/>
  <c r="M17061" i="6"/>
  <c r="M17062" i="6"/>
  <c r="M17063" i="6"/>
  <c r="M17064" i="6"/>
  <c r="M17065" i="6"/>
  <c r="M17066" i="6"/>
  <c r="M17067" i="6"/>
  <c r="M17068" i="6"/>
  <c r="M17069" i="6"/>
  <c r="M17070" i="6"/>
  <c r="M17071" i="6"/>
  <c r="M17072" i="6"/>
  <c r="M17073" i="6"/>
  <c r="M17074" i="6"/>
  <c r="M17075" i="6"/>
  <c r="M17076" i="6"/>
  <c r="M17077" i="6"/>
  <c r="M17078" i="6"/>
  <c r="M17079" i="6"/>
  <c r="M17080" i="6"/>
  <c r="M17081" i="6"/>
  <c r="M17082" i="6"/>
  <c r="M17083" i="6"/>
  <c r="M17084" i="6"/>
  <c r="M17085" i="6"/>
  <c r="M17086" i="6"/>
  <c r="M17087" i="6"/>
  <c r="M17088" i="6"/>
  <c r="M17089" i="6"/>
  <c r="M17090" i="6"/>
  <c r="M17091" i="6"/>
  <c r="M17092" i="6"/>
  <c r="M17093" i="6"/>
  <c r="M17094" i="6"/>
  <c r="M17095" i="6"/>
  <c r="M17096" i="6"/>
  <c r="M17097" i="6"/>
  <c r="M17098" i="6"/>
  <c r="M17099" i="6"/>
  <c r="M17100" i="6"/>
  <c r="M17101" i="6"/>
  <c r="M17102" i="6"/>
  <c r="M17103" i="6"/>
  <c r="M17104" i="6"/>
  <c r="M17105" i="6"/>
  <c r="M17106" i="6"/>
  <c r="M17107" i="6"/>
  <c r="M17108" i="6"/>
  <c r="M17109" i="6"/>
  <c r="M17110" i="6"/>
  <c r="M17111" i="6"/>
  <c r="M17112" i="6"/>
  <c r="M17113" i="6"/>
  <c r="M17114" i="6"/>
  <c r="M17115" i="6"/>
  <c r="M17116" i="6"/>
  <c r="M17117" i="6"/>
  <c r="M17118" i="6"/>
  <c r="M17119" i="6"/>
  <c r="M17120" i="6"/>
  <c r="M17121" i="6"/>
  <c r="M17122" i="6"/>
  <c r="M17123" i="6"/>
  <c r="M17124" i="6"/>
  <c r="M17125" i="6"/>
  <c r="M17126" i="6"/>
  <c r="M17127" i="6"/>
  <c r="M17128" i="6"/>
  <c r="M17129" i="6"/>
  <c r="M17130" i="6"/>
  <c r="M17131" i="6"/>
  <c r="M17132" i="6"/>
  <c r="M17133" i="6"/>
  <c r="M17134" i="6"/>
  <c r="M17135" i="6"/>
  <c r="M17136" i="6"/>
  <c r="M17137" i="6"/>
  <c r="M17138" i="6"/>
  <c r="M17139" i="6"/>
  <c r="M17140" i="6"/>
  <c r="M17141" i="6"/>
  <c r="M17142" i="6"/>
  <c r="M17143" i="6"/>
  <c r="M17144" i="6"/>
  <c r="M17145" i="6"/>
  <c r="M17146" i="6"/>
  <c r="M17147" i="6"/>
  <c r="M17148" i="6"/>
  <c r="M17149" i="6"/>
  <c r="M17150" i="6"/>
  <c r="M17151" i="6"/>
  <c r="M17152" i="6"/>
  <c r="M17153" i="6"/>
  <c r="M17154" i="6"/>
  <c r="M17155" i="6"/>
  <c r="M17156" i="6"/>
  <c r="M17157" i="6"/>
  <c r="M17158" i="6"/>
  <c r="M17159" i="6"/>
  <c r="M17160" i="6"/>
  <c r="M17161" i="6"/>
  <c r="M17162" i="6"/>
  <c r="M17163" i="6"/>
  <c r="M17164" i="6"/>
  <c r="M17165" i="6"/>
  <c r="M17166" i="6"/>
  <c r="M17167" i="6"/>
  <c r="M17168" i="6"/>
  <c r="M17169" i="6"/>
  <c r="M17170" i="6"/>
  <c r="M17171" i="6"/>
  <c r="M17172" i="6"/>
  <c r="M17173" i="6"/>
  <c r="M17174" i="6"/>
  <c r="M17175" i="6"/>
  <c r="M17176" i="6"/>
  <c r="M17177" i="6"/>
  <c r="M17178" i="6"/>
  <c r="M17179" i="6"/>
  <c r="M17180" i="6"/>
  <c r="M17181" i="6"/>
  <c r="M17182" i="6"/>
  <c r="M17183" i="6"/>
  <c r="M17184" i="6"/>
  <c r="M17185" i="6"/>
  <c r="M17186" i="6"/>
  <c r="M17187" i="6"/>
  <c r="M17188" i="6"/>
  <c r="M17189" i="6"/>
  <c r="M17190" i="6"/>
  <c r="M17191" i="6"/>
  <c r="M17192" i="6"/>
  <c r="M17193" i="6"/>
  <c r="M17194" i="6"/>
  <c r="M17195" i="6"/>
  <c r="M17196" i="6"/>
  <c r="M17197" i="6"/>
  <c r="M17198" i="6"/>
  <c r="M17199" i="6"/>
  <c r="M17200" i="6"/>
  <c r="M17201" i="6"/>
  <c r="M17202" i="6"/>
  <c r="M17203" i="6"/>
  <c r="M17204" i="6"/>
  <c r="M17205" i="6"/>
  <c r="M17206" i="6"/>
  <c r="M17207" i="6"/>
  <c r="M17208" i="6"/>
  <c r="M17209" i="6"/>
  <c r="M17210" i="6"/>
  <c r="M17211" i="6"/>
  <c r="M17212" i="6"/>
  <c r="M17213" i="6"/>
  <c r="M17214" i="6"/>
  <c r="M17215" i="6"/>
  <c r="M17216" i="6"/>
  <c r="M17217" i="6"/>
  <c r="M17218" i="6"/>
  <c r="M17219" i="6"/>
  <c r="M17220" i="6"/>
  <c r="M17221" i="6"/>
  <c r="M17222" i="6"/>
  <c r="M17223" i="6"/>
  <c r="M17224" i="6"/>
  <c r="M17225" i="6"/>
  <c r="M17226" i="6"/>
  <c r="M17227" i="6"/>
  <c r="M17228" i="6"/>
  <c r="M17229" i="6"/>
  <c r="M17230" i="6"/>
  <c r="M17231" i="6"/>
  <c r="M17232" i="6"/>
  <c r="M17233" i="6"/>
  <c r="M17234" i="6"/>
  <c r="M17235" i="6"/>
  <c r="M17236" i="6"/>
  <c r="M17237" i="6"/>
  <c r="M17238" i="6"/>
  <c r="M17239" i="6"/>
  <c r="M17240" i="6"/>
  <c r="M17241" i="6"/>
  <c r="M17242" i="6"/>
  <c r="M17243" i="6"/>
  <c r="M17244" i="6"/>
  <c r="M17245" i="6"/>
  <c r="M17246" i="6"/>
  <c r="M17247" i="6"/>
  <c r="M17248" i="6"/>
  <c r="M17249" i="6"/>
  <c r="M17250" i="6"/>
  <c r="M17251" i="6"/>
  <c r="M17252" i="6"/>
  <c r="M17253" i="6"/>
  <c r="M17254" i="6"/>
  <c r="M17255" i="6"/>
  <c r="M17256" i="6"/>
  <c r="M17257" i="6"/>
  <c r="M17258" i="6"/>
  <c r="M17259" i="6"/>
  <c r="M17260" i="6"/>
  <c r="M17261" i="6"/>
  <c r="M17262" i="6"/>
  <c r="M17263" i="6"/>
  <c r="M17264" i="6"/>
  <c r="M17265" i="6"/>
  <c r="M17266" i="6"/>
  <c r="M17267" i="6"/>
  <c r="M17268" i="6"/>
  <c r="M17269" i="6"/>
  <c r="M17270" i="6"/>
  <c r="M17271" i="6"/>
  <c r="M17272" i="6"/>
  <c r="M17273" i="6"/>
  <c r="M17274" i="6"/>
  <c r="M17275" i="6"/>
  <c r="M17276" i="6"/>
  <c r="M17277" i="6"/>
  <c r="M17278" i="6"/>
  <c r="M17279" i="6"/>
  <c r="M17280" i="6"/>
  <c r="M17281" i="6"/>
  <c r="M17282" i="6"/>
  <c r="M17283" i="6"/>
  <c r="M17284" i="6"/>
  <c r="M17285" i="6"/>
  <c r="M17286" i="6"/>
  <c r="M17287" i="6"/>
  <c r="M17288" i="6"/>
  <c r="M17289" i="6"/>
  <c r="M17290" i="6"/>
  <c r="M17291" i="6"/>
  <c r="M17292" i="6"/>
  <c r="M17293" i="6"/>
  <c r="M17294" i="6"/>
  <c r="M17295" i="6"/>
  <c r="M17296" i="6"/>
  <c r="M17297" i="6"/>
  <c r="M17298" i="6"/>
  <c r="M17299" i="6"/>
  <c r="M17300" i="6"/>
  <c r="M17301" i="6"/>
  <c r="M17302" i="6"/>
  <c r="M17303" i="6"/>
  <c r="M17304" i="6"/>
  <c r="M17305" i="6"/>
  <c r="M17306" i="6"/>
  <c r="M17307" i="6"/>
  <c r="M17308" i="6"/>
  <c r="M17309" i="6"/>
  <c r="M17310" i="6"/>
  <c r="M17311" i="6"/>
  <c r="M17312" i="6"/>
  <c r="M17313" i="6"/>
  <c r="M17314" i="6"/>
  <c r="M17315" i="6"/>
  <c r="M17316" i="6"/>
  <c r="M17317" i="6"/>
  <c r="M17318" i="6"/>
  <c r="M17319" i="6"/>
  <c r="M17320" i="6"/>
  <c r="M17321" i="6"/>
  <c r="M17322" i="6"/>
  <c r="M17323" i="6"/>
  <c r="M17324" i="6"/>
  <c r="M17325" i="6"/>
  <c r="M17326" i="6"/>
  <c r="M17327" i="6"/>
  <c r="M17328" i="6"/>
  <c r="M17329" i="6"/>
  <c r="M17330" i="6"/>
  <c r="M17331" i="6"/>
  <c r="M17332" i="6"/>
  <c r="M17333" i="6"/>
  <c r="M17334" i="6"/>
  <c r="M17335" i="6"/>
  <c r="M17336" i="6"/>
  <c r="M17337" i="6"/>
  <c r="M17338" i="6"/>
  <c r="M17339" i="6"/>
  <c r="M17340" i="6"/>
  <c r="M17341" i="6"/>
  <c r="M17342" i="6"/>
  <c r="M17343" i="6"/>
  <c r="M17344" i="6"/>
  <c r="M17345" i="6"/>
  <c r="M17346" i="6"/>
  <c r="M17347" i="6"/>
  <c r="M17348" i="6"/>
  <c r="M17349" i="6"/>
  <c r="M17350" i="6"/>
  <c r="M17351" i="6"/>
  <c r="M17352" i="6"/>
  <c r="M17353" i="6"/>
  <c r="M17354" i="6"/>
  <c r="M17355" i="6"/>
  <c r="M17356" i="6"/>
  <c r="M17357" i="6"/>
  <c r="M17358" i="6"/>
  <c r="M17359" i="6"/>
  <c r="M17360" i="6"/>
  <c r="M17361" i="6"/>
  <c r="M17362" i="6"/>
  <c r="M17363" i="6"/>
  <c r="M17364" i="6"/>
  <c r="M17365" i="6"/>
  <c r="M17366" i="6"/>
  <c r="M17367" i="6"/>
  <c r="M17368" i="6"/>
  <c r="M17369" i="6"/>
  <c r="M17370" i="6"/>
  <c r="M17371" i="6"/>
  <c r="M17372" i="6"/>
  <c r="M17373" i="6"/>
  <c r="M17374" i="6"/>
  <c r="M17375" i="6"/>
  <c r="M17376" i="6"/>
  <c r="M17377" i="6"/>
  <c r="M17378" i="6"/>
  <c r="M17379" i="6"/>
  <c r="M17380" i="6"/>
  <c r="M17381" i="6"/>
  <c r="M17382" i="6"/>
  <c r="M17383" i="6"/>
  <c r="M17384" i="6"/>
  <c r="M17385" i="6"/>
  <c r="M17386" i="6"/>
  <c r="M17387" i="6"/>
  <c r="M17388" i="6"/>
  <c r="M17389" i="6"/>
  <c r="M17390" i="6"/>
  <c r="M17391" i="6"/>
  <c r="M17392" i="6"/>
  <c r="M17393" i="6"/>
  <c r="M17394" i="6"/>
  <c r="M17395" i="6"/>
  <c r="M17396" i="6"/>
  <c r="M17397" i="6"/>
  <c r="M17398" i="6"/>
  <c r="M17399" i="6"/>
  <c r="M17400" i="6"/>
  <c r="M17401" i="6"/>
  <c r="M17402" i="6"/>
  <c r="M17403" i="6"/>
  <c r="M17404" i="6"/>
  <c r="M17405" i="6"/>
  <c r="M17406" i="6"/>
  <c r="M17407" i="6"/>
  <c r="M17408" i="6"/>
  <c r="M17409" i="6"/>
  <c r="M17410" i="6"/>
  <c r="M17411" i="6"/>
  <c r="M17412" i="6"/>
  <c r="M17413" i="6"/>
  <c r="M17414" i="6"/>
  <c r="M17415" i="6"/>
  <c r="M17416" i="6"/>
  <c r="M17417" i="6"/>
  <c r="M17418" i="6"/>
  <c r="M17419" i="6"/>
  <c r="M17420" i="6"/>
  <c r="M17421" i="6"/>
  <c r="M17422" i="6"/>
  <c r="M17423" i="6"/>
  <c r="M17424" i="6"/>
  <c r="M17425" i="6"/>
  <c r="M17426" i="6"/>
  <c r="M17427" i="6"/>
  <c r="M17428" i="6"/>
  <c r="M17429" i="6"/>
  <c r="M17430" i="6"/>
  <c r="M17431" i="6"/>
  <c r="M17432" i="6"/>
  <c r="M17433" i="6"/>
  <c r="M17434" i="6"/>
  <c r="M17435" i="6"/>
  <c r="M17436" i="6"/>
  <c r="M17437" i="6"/>
  <c r="M17438" i="6"/>
  <c r="M17439" i="6"/>
  <c r="M17440" i="6"/>
  <c r="M17441" i="6"/>
  <c r="M17442" i="6"/>
  <c r="M17443" i="6"/>
  <c r="M17444" i="6"/>
  <c r="M17445" i="6"/>
  <c r="M17446" i="6"/>
  <c r="M17447" i="6"/>
  <c r="M17448" i="6"/>
  <c r="M17449" i="6"/>
  <c r="M17450" i="6"/>
  <c r="M17451" i="6"/>
  <c r="M17452" i="6"/>
  <c r="M17453" i="6"/>
  <c r="M17454" i="6"/>
  <c r="M17455" i="6"/>
  <c r="M17456" i="6"/>
  <c r="M17457" i="6"/>
  <c r="M17458" i="6"/>
  <c r="M17459" i="6"/>
  <c r="M17460" i="6"/>
  <c r="M17461" i="6"/>
  <c r="M17462" i="6"/>
  <c r="M17463" i="6"/>
  <c r="M17464" i="6"/>
  <c r="M17465" i="6"/>
  <c r="M17466" i="6"/>
  <c r="M17467" i="6"/>
  <c r="M17468" i="6"/>
  <c r="M17469" i="6"/>
  <c r="M17470" i="6"/>
  <c r="M17471" i="6"/>
  <c r="M17472" i="6"/>
  <c r="M17473" i="6"/>
  <c r="M17474" i="6"/>
  <c r="M17475" i="6"/>
  <c r="M17476" i="6"/>
  <c r="M17477" i="6"/>
  <c r="M17478" i="6"/>
  <c r="M17479" i="6"/>
  <c r="M17480" i="6"/>
  <c r="M17481" i="6"/>
  <c r="M17482" i="6"/>
  <c r="M17483" i="6"/>
  <c r="M17484" i="6"/>
  <c r="M17485" i="6"/>
  <c r="M17486" i="6"/>
  <c r="M17487" i="6"/>
  <c r="M17488" i="6"/>
  <c r="M17489" i="6"/>
  <c r="M17490" i="6"/>
  <c r="M17491" i="6"/>
  <c r="M17492" i="6"/>
  <c r="M17493" i="6"/>
  <c r="M17494" i="6"/>
  <c r="M17495" i="6"/>
  <c r="M17496" i="6"/>
  <c r="M17497" i="6"/>
  <c r="M17498" i="6"/>
  <c r="M17499" i="6"/>
  <c r="M17500" i="6"/>
  <c r="M17501" i="6"/>
  <c r="M17502" i="6"/>
  <c r="M17503" i="6"/>
  <c r="M17504" i="6"/>
  <c r="M17505" i="6"/>
  <c r="M17506" i="6"/>
  <c r="M17507" i="6"/>
  <c r="M17508" i="6"/>
  <c r="M17509" i="6"/>
  <c r="M17510" i="6"/>
  <c r="M17511" i="6"/>
  <c r="M17512" i="6"/>
  <c r="M17513" i="6"/>
  <c r="M17514" i="6"/>
  <c r="M17515" i="6"/>
  <c r="M17516" i="6"/>
  <c r="M17517" i="6"/>
  <c r="M17518" i="6"/>
  <c r="M17519" i="6"/>
  <c r="M17520" i="6"/>
  <c r="M17521" i="6"/>
  <c r="M17522" i="6"/>
  <c r="M17523" i="6"/>
  <c r="M17524" i="6"/>
  <c r="M17525" i="6"/>
  <c r="M17526" i="6"/>
  <c r="M17527" i="6"/>
  <c r="M17528" i="6"/>
  <c r="M17529" i="6"/>
  <c r="M17530" i="6"/>
  <c r="M17531" i="6"/>
  <c r="M17532" i="6"/>
  <c r="M17533" i="6"/>
  <c r="M17534" i="6"/>
  <c r="M17535" i="6"/>
  <c r="M17536" i="6"/>
  <c r="M17537" i="6"/>
  <c r="M17538" i="6"/>
  <c r="M17539" i="6"/>
  <c r="M17540" i="6"/>
  <c r="M17541" i="6"/>
  <c r="M17542" i="6"/>
  <c r="M17543" i="6"/>
  <c r="M17544" i="6"/>
  <c r="M17545" i="6"/>
  <c r="M17546" i="6"/>
  <c r="M17547" i="6"/>
  <c r="M17548" i="6"/>
  <c r="M17549" i="6"/>
  <c r="M17550" i="6"/>
  <c r="M17551" i="6"/>
  <c r="M17552" i="6"/>
  <c r="M17553" i="6"/>
  <c r="M17554" i="6"/>
  <c r="M17555" i="6"/>
  <c r="M17556" i="6"/>
  <c r="M17557" i="6"/>
  <c r="M17558" i="6"/>
  <c r="M17559" i="6"/>
  <c r="M17560" i="6"/>
  <c r="M17561" i="6"/>
  <c r="M17562" i="6"/>
  <c r="M17563" i="6"/>
  <c r="M17564" i="6"/>
  <c r="M17565" i="6"/>
  <c r="M17566" i="6"/>
  <c r="M17567" i="6"/>
  <c r="M17568" i="6"/>
  <c r="M17569" i="6"/>
  <c r="M17570" i="6"/>
  <c r="M17571" i="6"/>
  <c r="M17572" i="6"/>
  <c r="M17573" i="6"/>
  <c r="M17574" i="6"/>
  <c r="M17575" i="6"/>
  <c r="M17576" i="6"/>
  <c r="M17577" i="6"/>
  <c r="M17578" i="6"/>
  <c r="M17579" i="6"/>
  <c r="M17580" i="6"/>
  <c r="M17581" i="6"/>
  <c r="M17582" i="6"/>
  <c r="M17583" i="6"/>
  <c r="M17584" i="6"/>
  <c r="M17585" i="6"/>
  <c r="M17586" i="6"/>
  <c r="M17587" i="6"/>
  <c r="M17588" i="6"/>
  <c r="M17589" i="6"/>
  <c r="M17590" i="6"/>
  <c r="M17591" i="6"/>
  <c r="M17592" i="6"/>
  <c r="M17593" i="6"/>
  <c r="M17594" i="6"/>
  <c r="M17595" i="6"/>
  <c r="M17596" i="6"/>
  <c r="M17597" i="6"/>
  <c r="M17598" i="6"/>
  <c r="M17599" i="6"/>
  <c r="M17600" i="6"/>
  <c r="M17601" i="6"/>
  <c r="M17602" i="6"/>
  <c r="M17603" i="6"/>
  <c r="M17604" i="6"/>
  <c r="M17605" i="6"/>
  <c r="M17606" i="6"/>
  <c r="M17607" i="6"/>
  <c r="M17608" i="6"/>
  <c r="M17609" i="6"/>
  <c r="M17610" i="6"/>
  <c r="M17611" i="6"/>
  <c r="M17612" i="6"/>
  <c r="M17613" i="6"/>
  <c r="M17614" i="6"/>
  <c r="M17615" i="6"/>
  <c r="M17616" i="6"/>
  <c r="M17617" i="6"/>
  <c r="M17618" i="6"/>
  <c r="M17619" i="6"/>
  <c r="M17620" i="6"/>
  <c r="M17621" i="6"/>
  <c r="M17622" i="6"/>
  <c r="M17623" i="6"/>
  <c r="M17624" i="6"/>
  <c r="M17625" i="6"/>
  <c r="M17626" i="6"/>
  <c r="M17627" i="6"/>
  <c r="M17628" i="6"/>
  <c r="M17629" i="6"/>
  <c r="M17630" i="6"/>
  <c r="M17631" i="6"/>
  <c r="M17632" i="6"/>
  <c r="M17633" i="6"/>
  <c r="M17634" i="6"/>
  <c r="M17635" i="6"/>
  <c r="M17636" i="6"/>
  <c r="M17637" i="6"/>
  <c r="M17638" i="6"/>
  <c r="M17639" i="6"/>
  <c r="M17640" i="6"/>
  <c r="M17641" i="6"/>
  <c r="M17642" i="6"/>
  <c r="M17643" i="6"/>
  <c r="M17644" i="6"/>
  <c r="M17645" i="6"/>
  <c r="M17646" i="6"/>
  <c r="M17647" i="6"/>
  <c r="M17648" i="6"/>
  <c r="M17649" i="6"/>
  <c r="M17650" i="6"/>
  <c r="M17651" i="6"/>
  <c r="M17652" i="6"/>
  <c r="M17653" i="6"/>
  <c r="M17654" i="6"/>
  <c r="M17655" i="6"/>
  <c r="M17656" i="6"/>
  <c r="M17657" i="6"/>
  <c r="M17658" i="6"/>
  <c r="M17659" i="6"/>
  <c r="M17660" i="6"/>
  <c r="M17661" i="6"/>
  <c r="M17662" i="6"/>
  <c r="M17663" i="6"/>
  <c r="M17664" i="6"/>
  <c r="M17665" i="6"/>
  <c r="M17666" i="6"/>
  <c r="M17667" i="6"/>
  <c r="M17668" i="6"/>
  <c r="M17669" i="6"/>
  <c r="M17670" i="6"/>
  <c r="M17671" i="6"/>
  <c r="M17672" i="6"/>
  <c r="M17673" i="6"/>
  <c r="M17674" i="6"/>
  <c r="M17675" i="6"/>
  <c r="M17676" i="6"/>
  <c r="M17677" i="6"/>
  <c r="M17678" i="6"/>
  <c r="M17679" i="6"/>
  <c r="M17680" i="6"/>
  <c r="M17681" i="6"/>
  <c r="M17682" i="6"/>
  <c r="M17683" i="6"/>
  <c r="M17684" i="6"/>
  <c r="M17685" i="6"/>
  <c r="M17686" i="6"/>
  <c r="M17687" i="6"/>
  <c r="M17688" i="6"/>
  <c r="M17689" i="6"/>
  <c r="M17690" i="6"/>
  <c r="M17691" i="6"/>
  <c r="M17692" i="6"/>
  <c r="M17693" i="6"/>
  <c r="M17694" i="6"/>
  <c r="M17695" i="6"/>
  <c r="M17696" i="6"/>
  <c r="M17697" i="6"/>
  <c r="M17698" i="6"/>
  <c r="M17699" i="6"/>
  <c r="M17700" i="6"/>
  <c r="M17701" i="6"/>
  <c r="M17702" i="6"/>
  <c r="M17703" i="6"/>
  <c r="M17704" i="6"/>
  <c r="M17705" i="6"/>
  <c r="M17706" i="6"/>
  <c r="M17707" i="6"/>
  <c r="M17708" i="6"/>
  <c r="M17709" i="6"/>
  <c r="M17710" i="6"/>
  <c r="M17711" i="6"/>
  <c r="M17712" i="6"/>
  <c r="M17713" i="6"/>
  <c r="M17714" i="6"/>
  <c r="M17715" i="6"/>
  <c r="M17716" i="6"/>
  <c r="M17717" i="6"/>
  <c r="M17718" i="6"/>
  <c r="M17719" i="6"/>
  <c r="M17720" i="6"/>
  <c r="M17721" i="6"/>
  <c r="M17722" i="6"/>
  <c r="M17723" i="6"/>
  <c r="M17724" i="6"/>
  <c r="M17725" i="6"/>
  <c r="M17726" i="6"/>
  <c r="M17727" i="6"/>
  <c r="M17728" i="6"/>
  <c r="M17729" i="6"/>
  <c r="M17730" i="6"/>
  <c r="M17731" i="6"/>
  <c r="M17732" i="6"/>
  <c r="M17733" i="6"/>
  <c r="M17734" i="6"/>
  <c r="M17735" i="6"/>
  <c r="M17736" i="6"/>
  <c r="M17737" i="6"/>
  <c r="M17738" i="6"/>
  <c r="M17739" i="6"/>
  <c r="M17740" i="6"/>
  <c r="M17741" i="6"/>
  <c r="M17742" i="6"/>
  <c r="M17743" i="6"/>
  <c r="M17744" i="6"/>
  <c r="M17745" i="6"/>
  <c r="M17746" i="6"/>
  <c r="M17747" i="6"/>
  <c r="M17748" i="6"/>
  <c r="M17749" i="6"/>
  <c r="M17750" i="6"/>
  <c r="M17751" i="6"/>
  <c r="M17752" i="6"/>
  <c r="M17753" i="6"/>
  <c r="M17754" i="6"/>
  <c r="M17755" i="6"/>
  <c r="M17756" i="6"/>
  <c r="M17757" i="6"/>
  <c r="M17758" i="6"/>
  <c r="M17759" i="6"/>
  <c r="M17760" i="6"/>
  <c r="M17761" i="6"/>
  <c r="M17762" i="6"/>
  <c r="M17763" i="6"/>
  <c r="M17764" i="6"/>
  <c r="M17765" i="6"/>
  <c r="M17766" i="6"/>
  <c r="M17767" i="6"/>
  <c r="M17768" i="6"/>
  <c r="M17769" i="6"/>
  <c r="M17770" i="6"/>
  <c r="M17771" i="6"/>
  <c r="M17772" i="6"/>
  <c r="M17773" i="6"/>
  <c r="M17774" i="6"/>
  <c r="M17775" i="6"/>
  <c r="M17776" i="6"/>
  <c r="M17777" i="6"/>
  <c r="M17778" i="6"/>
  <c r="M17779" i="6"/>
  <c r="M17780" i="6"/>
  <c r="M17781" i="6"/>
  <c r="M17782" i="6"/>
  <c r="M17783" i="6"/>
  <c r="M17784" i="6"/>
  <c r="M17785" i="6"/>
  <c r="M17786" i="6"/>
  <c r="M17787" i="6"/>
  <c r="M17788" i="6"/>
  <c r="M17789" i="6"/>
  <c r="M17790" i="6"/>
  <c r="M17791" i="6"/>
  <c r="M17792" i="6"/>
  <c r="M17793" i="6"/>
  <c r="M17794" i="6"/>
  <c r="M17795" i="6"/>
  <c r="M17796" i="6"/>
  <c r="M17797" i="6"/>
  <c r="M17798" i="6"/>
  <c r="M17799" i="6"/>
  <c r="M17800" i="6"/>
  <c r="M17801" i="6"/>
  <c r="M17802" i="6"/>
  <c r="M17803" i="6"/>
  <c r="M17804" i="6"/>
  <c r="M17805" i="6"/>
  <c r="M17806" i="6"/>
  <c r="M17807" i="6"/>
  <c r="M17808" i="6"/>
  <c r="M17809" i="6"/>
  <c r="M17810" i="6"/>
  <c r="M17811" i="6"/>
  <c r="M17812" i="6"/>
  <c r="M17813" i="6"/>
  <c r="M17814" i="6"/>
  <c r="M17815" i="6"/>
  <c r="M17816" i="6"/>
  <c r="M17817" i="6"/>
  <c r="M17818" i="6"/>
  <c r="M17819" i="6"/>
  <c r="M17820" i="6"/>
  <c r="M17821" i="6"/>
  <c r="M17822" i="6"/>
  <c r="M17823" i="6"/>
  <c r="M17824" i="6"/>
  <c r="M17825" i="6"/>
  <c r="M17826" i="6"/>
  <c r="M17827" i="6"/>
  <c r="M17828" i="6"/>
  <c r="M17829" i="6"/>
  <c r="M17830" i="6"/>
  <c r="M17831" i="6"/>
  <c r="M17832" i="6"/>
  <c r="M17833" i="6"/>
  <c r="M17834" i="6"/>
  <c r="M17835" i="6"/>
  <c r="M17836" i="6"/>
  <c r="M17837" i="6"/>
  <c r="M17838" i="6"/>
  <c r="M17839" i="6"/>
  <c r="M17840" i="6"/>
  <c r="M17841" i="6"/>
  <c r="M17842" i="6"/>
  <c r="M17843" i="6"/>
  <c r="M17844" i="6"/>
  <c r="M17845" i="6"/>
  <c r="M17846" i="6"/>
  <c r="M17847" i="6"/>
  <c r="M17848" i="6"/>
  <c r="M17849" i="6"/>
  <c r="M17850" i="6"/>
  <c r="M17851" i="6"/>
  <c r="M17852" i="6"/>
  <c r="M17853" i="6"/>
  <c r="M17854" i="6"/>
  <c r="M17855" i="6"/>
  <c r="M17856" i="6"/>
  <c r="M17857" i="6"/>
  <c r="M17858" i="6"/>
  <c r="M17859" i="6"/>
  <c r="M17860" i="6"/>
  <c r="M17861" i="6"/>
  <c r="M17862" i="6"/>
  <c r="M17863" i="6"/>
  <c r="M17864" i="6"/>
  <c r="M17865" i="6"/>
  <c r="M17866" i="6"/>
  <c r="M17867" i="6"/>
  <c r="M17868" i="6"/>
  <c r="M17869" i="6"/>
  <c r="M17870" i="6"/>
  <c r="M17871" i="6"/>
  <c r="M17872" i="6"/>
  <c r="M17873" i="6"/>
  <c r="M17874" i="6"/>
  <c r="M17875" i="6"/>
  <c r="M17876" i="6"/>
  <c r="M17877" i="6"/>
  <c r="M17878" i="6"/>
  <c r="M17879" i="6"/>
  <c r="M17880" i="6"/>
  <c r="M17881" i="6"/>
  <c r="M17882" i="6"/>
  <c r="M17883" i="6"/>
  <c r="M17884" i="6"/>
  <c r="M17885" i="6"/>
  <c r="M17886" i="6"/>
  <c r="M17887" i="6"/>
  <c r="M17888" i="6"/>
  <c r="M17889" i="6"/>
  <c r="M17890" i="6"/>
  <c r="M17891" i="6"/>
  <c r="M17892" i="6"/>
  <c r="M17893" i="6"/>
  <c r="M17894" i="6"/>
  <c r="M17895" i="6"/>
  <c r="M17896" i="6"/>
  <c r="M17897" i="6"/>
  <c r="M17898" i="6"/>
  <c r="M17899" i="6"/>
  <c r="M17900" i="6"/>
  <c r="M17901" i="6"/>
  <c r="M17902" i="6"/>
  <c r="M17903" i="6"/>
  <c r="M17904" i="6"/>
  <c r="M17905" i="6"/>
  <c r="M17906" i="6"/>
  <c r="M17907" i="6"/>
  <c r="M17908" i="6"/>
  <c r="M17909" i="6"/>
  <c r="M17910" i="6"/>
  <c r="M17911" i="6"/>
  <c r="M17912" i="6"/>
  <c r="M17913" i="6"/>
  <c r="M17914" i="6"/>
  <c r="M17915" i="6"/>
  <c r="M17916" i="6"/>
  <c r="M17917" i="6"/>
  <c r="M17918" i="6"/>
  <c r="M17919" i="6"/>
  <c r="M17920" i="6"/>
  <c r="M17921" i="6"/>
  <c r="M17922" i="6"/>
  <c r="M17923" i="6"/>
  <c r="M17924" i="6"/>
  <c r="M17925" i="6"/>
  <c r="M17926" i="6"/>
  <c r="M17927" i="6"/>
  <c r="M17928" i="6"/>
  <c r="M17929" i="6"/>
  <c r="M17930" i="6"/>
  <c r="M17931" i="6"/>
  <c r="M17932" i="6"/>
  <c r="M17933" i="6"/>
  <c r="M17934" i="6"/>
  <c r="M17935" i="6"/>
  <c r="M17936" i="6"/>
  <c r="M17937" i="6"/>
  <c r="M17938" i="6"/>
  <c r="M17939" i="6"/>
  <c r="M17940" i="6"/>
  <c r="M17941" i="6"/>
  <c r="M17942" i="6"/>
  <c r="M17943" i="6"/>
  <c r="M17944" i="6"/>
  <c r="M17945" i="6"/>
  <c r="M17946" i="6"/>
  <c r="M17947" i="6"/>
  <c r="M17948" i="6"/>
  <c r="M17949" i="6"/>
  <c r="M17950" i="6"/>
  <c r="M17951" i="6"/>
  <c r="M17952" i="6"/>
  <c r="M17953" i="6"/>
  <c r="M17954" i="6"/>
  <c r="M17955" i="6"/>
  <c r="M17956" i="6"/>
  <c r="M17957" i="6"/>
  <c r="M17958" i="6"/>
  <c r="M17959" i="6"/>
  <c r="M17960" i="6"/>
  <c r="M17961" i="6"/>
  <c r="M17962" i="6"/>
  <c r="M17963" i="6"/>
  <c r="M17964" i="6"/>
  <c r="M17965" i="6"/>
  <c r="M17966" i="6"/>
  <c r="M17967" i="6"/>
  <c r="M17968" i="6"/>
  <c r="M17969" i="6"/>
  <c r="M17970" i="6"/>
  <c r="M17971" i="6"/>
  <c r="M17972" i="6"/>
  <c r="M17973" i="6"/>
  <c r="M17974" i="6"/>
  <c r="M17975" i="6"/>
  <c r="M17976" i="6"/>
  <c r="M17977" i="6"/>
  <c r="M17978" i="6"/>
  <c r="M17979" i="6"/>
  <c r="M17980" i="6"/>
  <c r="M17981" i="6"/>
  <c r="M17982" i="6"/>
  <c r="M17983" i="6"/>
  <c r="M17984" i="6"/>
  <c r="M17985" i="6"/>
  <c r="M17986" i="6"/>
  <c r="M17987" i="6"/>
  <c r="M17988" i="6"/>
  <c r="M17989" i="6"/>
  <c r="M17990" i="6"/>
  <c r="M17991" i="6"/>
  <c r="M17992" i="6"/>
  <c r="M17993" i="6"/>
  <c r="M17994" i="6"/>
  <c r="M17995" i="6"/>
  <c r="M17996" i="6"/>
  <c r="M17997" i="6"/>
  <c r="M17998" i="6"/>
  <c r="M17999" i="6"/>
  <c r="M18000" i="6"/>
  <c r="M18001" i="6"/>
  <c r="M18002" i="6"/>
  <c r="M18003" i="6"/>
  <c r="M18004" i="6"/>
  <c r="M18005" i="6"/>
  <c r="M18006" i="6"/>
  <c r="M18007" i="6"/>
  <c r="M18008" i="6"/>
  <c r="M18009" i="6"/>
  <c r="M18010" i="6"/>
  <c r="M18011" i="6"/>
  <c r="M18012" i="6"/>
  <c r="M18013" i="6"/>
  <c r="M18014" i="6"/>
  <c r="M18015" i="6"/>
  <c r="M18016" i="6"/>
  <c r="M18017" i="6"/>
  <c r="M18018" i="6"/>
  <c r="M18019" i="6"/>
  <c r="M18020" i="6"/>
  <c r="M18021" i="6"/>
  <c r="M18022" i="6"/>
  <c r="M18023" i="6"/>
  <c r="M18024" i="6"/>
  <c r="M18025" i="6"/>
  <c r="M18026" i="6"/>
  <c r="M18027" i="6"/>
  <c r="M18028" i="6"/>
  <c r="M18029" i="6"/>
  <c r="M18030" i="6"/>
  <c r="M18031" i="6"/>
  <c r="M18032" i="6"/>
  <c r="M18033" i="6"/>
  <c r="M18034" i="6"/>
  <c r="M18035" i="6"/>
  <c r="M18036" i="6"/>
  <c r="M18037" i="6"/>
  <c r="M18038" i="6"/>
  <c r="M18039" i="6"/>
  <c r="M18040" i="6"/>
  <c r="M18041" i="6"/>
  <c r="M18042" i="6"/>
  <c r="M18043" i="6"/>
  <c r="M18044" i="6"/>
  <c r="M18045" i="6"/>
  <c r="M18046" i="6"/>
  <c r="M18047" i="6"/>
  <c r="M18048" i="6"/>
  <c r="M18049" i="6"/>
  <c r="M18050" i="6"/>
  <c r="M18051" i="6"/>
  <c r="M18052" i="6"/>
  <c r="M18053" i="6"/>
  <c r="M18054" i="6"/>
  <c r="M18055" i="6"/>
  <c r="M18056" i="6"/>
  <c r="M18057" i="6"/>
  <c r="M18058" i="6"/>
  <c r="M18059" i="6"/>
  <c r="M18060" i="6"/>
  <c r="M18061" i="6"/>
  <c r="M18062" i="6"/>
  <c r="M18063" i="6"/>
  <c r="M18064" i="6"/>
  <c r="M18065" i="6"/>
  <c r="M18066" i="6"/>
  <c r="M18067" i="6"/>
  <c r="M18068" i="6"/>
  <c r="M18069" i="6"/>
  <c r="M18070" i="6"/>
  <c r="M18071" i="6"/>
  <c r="M18072" i="6"/>
  <c r="M18073" i="6"/>
  <c r="M18074" i="6"/>
  <c r="M18075" i="6"/>
  <c r="M18076" i="6"/>
  <c r="M18077" i="6"/>
  <c r="M18078" i="6"/>
  <c r="M18079" i="6"/>
  <c r="M18080" i="6"/>
  <c r="M18081" i="6"/>
  <c r="M18082" i="6"/>
  <c r="M18083" i="6"/>
  <c r="M18084" i="6"/>
  <c r="M18085" i="6"/>
  <c r="M18086" i="6"/>
  <c r="M18087" i="6"/>
  <c r="M18088" i="6"/>
  <c r="M18089" i="6"/>
  <c r="M18090" i="6"/>
  <c r="M18091" i="6"/>
  <c r="M18092" i="6"/>
  <c r="M18093" i="6"/>
  <c r="M18094" i="6"/>
  <c r="M18095" i="6"/>
  <c r="M18096" i="6"/>
  <c r="M18097" i="6"/>
  <c r="M18098" i="6"/>
  <c r="M18099" i="6"/>
  <c r="M18100" i="6"/>
  <c r="M18101" i="6"/>
  <c r="M18102" i="6"/>
  <c r="M18103" i="6"/>
  <c r="M18104" i="6"/>
  <c r="M18105" i="6"/>
  <c r="M18106" i="6"/>
  <c r="M18107" i="6"/>
  <c r="M18108" i="6"/>
  <c r="M18109" i="6"/>
  <c r="M18110" i="6"/>
  <c r="M18111" i="6"/>
  <c r="M18112" i="6"/>
  <c r="M18113" i="6"/>
  <c r="M18114" i="6"/>
  <c r="M18115" i="6"/>
  <c r="M18116" i="6"/>
  <c r="M18117" i="6"/>
  <c r="M18118" i="6"/>
  <c r="M18119" i="6"/>
  <c r="M18120" i="6"/>
  <c r="M18121" i="6"/>
  <c r="M18122" i="6"/>
  <c r="M18123" i="6"/>
  <c r="M18124" i="6"/>
  <c r="M18125" i="6"/>
  <c r="M18126" i="6"/>
  <c r="M18127" i="6"/>
  <c r="M18128" i="6"/>
  <c r="M18129" i="6"/>
  <c r="M18130" i="6"/>
  <c r="M18131" i="6"/>
  <c r="M18132" i="6"/>
  <c r="M18133" i="6"/>
  <c r="M18134" i="6"/>
  <c r="M18135" i="6"/>
  <c r="M18136" i="6"/>
  <c r="M18137" i="6"/>
  <c r="M18138" i="6"/>
  <c r="M18139" i="6"/>
  <c r="M18140" i="6"/>
  <c r="M18141" i="6"/>
  <c r="M18142" i="6"/>
  <c r="M18143" i="6"/>
  <c r="M18144" i="6"/>
  <c r="M18145" i="6"/>
  <c r="M18146" i="6"/>
  <c r="M18147" i="6"/>
  <c r="M18148" i="6"/>
  <c r="M18149" i="6"/>
  <c r="M18150" i="6"/>
  <c r="M18151" i="6"/>
  <c r="M18152" i="6"/>
  <c r="M18153" i="6"/>
  <c r="M18154" i="6"/>
  <c r="M18155" i="6"/>
  <c r="M18156" i="6"/>
  <c r="M18157" i="6"/>
  <c r="M18158" i="6"/>
  <c r="M18159" i="6"/>
  <c r="M18160" i="6"/>
  <c r="M18161" i="6"/>
  <c r="M18162" i="6"/>
  <c r="M18163" i="6"/>
  <c r="M18164" i="6"/>
  <c r="M18165" i="6"/>
  <c r="M18166" i="6"/>
  <c r="M18167" i="6"/>
  <c r="M18168" i="6"/>
  <c r="M18169" i="6"/>
  <c r="M18170" i="6"/>
  <c r="M18171" i="6"/>
  <c r="M18172" i="6"/>
  <c r="M18173" i="6"/>
  <c r="M18174" i="6"/>
  <c r="M18175" i="6"/>
  <c r="M18176" i="6"/>
  <c r="M18177" i="6"/>
  <c r="M18178" i="6"/>
  <c r="M18179" i="6"/>
  <c r="M18180" i="6"/>
  <c r="M18181" i="6"/>
  <c r="M18182" i="6"/>
  <c r="M18183" i="6"/>
  <c r="M18184" i="6"/>
  <c r="M18185" i="6"/>
  <c r="M18186" i="6"/>
  <c r="M18187" i="6"/>
  <c r="M18188" i="6"/>
  <c r="M18189" i="6"/>
  <c r="M18190" i="6"/>
  <c r="M18191" i="6"/>
  <c r="M18192" i="6"/>
  <c r="M18193" i="6"/>
  <c r="M18194" i="6"/>
  <c r="M18195" i="6"/>
  <c r="M18196" i="6"/>
  <c r="M18197" i="6"/>
  <c r="M18198" i="6"/>
  <c r="M18199" i="6"/>
  <c r="M18200" i="6"/>
  <c r="M18201" i="6"/>
  <c r="M18202" i="6"/>
  <c r="M18203" i="6"/>
  <c r="M18204" i="6"/>
  <c r="M18205" i="6"/>
  <c r="M18206" i="6"/>
  <c r="M18207" i="6"/>
  <c r="M18208" i="6"/>
  <c r="M18209" i="6"/>
  <c r="M18210" i="6"/>
  <c r="M18211" i="6"/>
  <c r="M18212" i="6"/>
  <c r="M18213" i="6"/>
  <c r="M18214" i="6"/>
  <c r="M18215" i="6"/>
  <c r="M18216" i="6"/>
  <c r="M18217" i="6"/>
  <c r="M18218" i="6"/>
  <c r="M18219" i="6"/>
  <c r="M18220" i="6"/>
  <c r="M18221" i="6"/>
  <c r="M18222" i="6"/>
  <c r="M18223" i="6"/>
  <c r="M18224" i="6"/>
  <c r="M18225" i="6"/>
  <c r="M18226" i="6"/>
  <c r="M18227" i="6"/>
  <c r="M18228" i="6"/>
  <c r="M18229" i="6"/>
  <c r="M18230" i="6"/>
  <c r="M18231" i="6"/>
  <c r="M18232" i="6"/>
  <c r="M18233" i="6"/>
  <c r="M18234" i="6"/>
  <c r="M18235" i="6"/>
  <c r="M18236" i="6"/>
  <c r="M18237" i="6"/>
  <c r="M18238" i="6"/>
  <c r="M18239" i="6"/>
  <c r="M18240" i="6"/>
  <c r="M18241" i="6"/>
  <c r="M18242" i="6"/>
  <c r="M18243" i="6"/>
  <c r="M18244" i="6"/>
  <c r="M18245" i="6"/>
  <c r="M18246" i="6"/>
  <c r="M18247" i="6"/>
  <c r="M18248" i="6"/>
  <c r="M18249" i="6"/>
  <c r="M18250" i="6"/>
  <c r="M18251" i="6"/>
  <c r="M18252" i="6"/>
  <c r="M18253" i="6"/>
  <c r="M18254" i="6"/>
  <c r="M18255" i="6"/>
  <c r="M18256" i="6"/>
  <c r="M18257" i="6"/>
  <c r="M18258" i="6"/>
  <c r="M18259" i="6"/>
  <c r="M18260" i="6"/>
  <c r="M18261" i="6"/>
  <c r="M18262" i="6"/>
  <c r="M18263" i="6"/>
  <c r="M18264" i="6"/>
  <c r="M18265" i="6"/>
  <c r="M18266" i="6"/>
  <c r="M18267" i="6"/>
  <c r="M18268" i="6"/>
  <c r="M18269" i="6"/>
  <c r="M18270" i="6"/>
  <c r="M18271" i="6"/>
  <c r="M18272" i="6"/>
  <c r="M18273" i="6"/>
  <c r="M18274" i="6"/>
  <c r="M18275" i="6"/>
  <c r="M18276" i="6"/>
  <c r="M18277" i="6"/>
  <c r="M18278" i="6"/>
  <c r="M18279" i="6"/>
  <c r="M18280" i="6"/>
  <c r="M18281" i="6"/>
  <c r="M18282" i="6"/>
  <c r="M18283" i="6"/>
  <c r="M18284" i="6"/>
  <c r="M18285" i="6"/>
  <c r="M18286" i="6"/>
  <c r="M18287" i="6"/>
  <c r="M18288" i="6"/>
  <c r="M18289" i="6"/>
  <c r="M18290" i="6"/>
  <c r="M18291" i="6"/>
  <c r="M18292" i="6"/>
  <c r="M18293" i="6"/>
  <c r="M18294" i="6"/>
  <c r="M18295" i="6"/>
  <c r="M18296" i="6"/>
  <c r="M18297" i="6"/>
  <c r="M18298" i="6"/>
  <c r="M18299" i="6"/>
  <c r="M18300" i="6"/>
  <c r="M18301" i="6"/>
  <c r="M18302" i="6"/>
  <c r="M18303" i="6"/>
  <c r="M18304" i="6"/>
  <c r="M18305" i="6"/>
  <c r="M18306" i="6"/>
  <c r="M18307" i="6"/>
  <c r="M18308" i="6"/>
  <c r="M18309" i="6"/>
  <c r="M18310" i="6"/>
  <c r="M18311" i="6"/>
  <c r="M18312" i="6"/>
  <c r="M18313" i="6"/>
  <c r="M18314" i="6"/>
  <c r="M18315" i="6"/>
  <c r="M18316" i="6"/>
  <c r="M18317" i="6"/>
  <c r="M18318" i="6"/>
  <c r="M18319" i="6"/>
  <c r="M18320" i="6"/>
  <c r="M18321" i="6"/>
  <c r="M18322" i="6"/>
  <c r="M18323" i="6"/>
  <c r="M18324" i="6"/>
  <c r="M18325" i="6"/>
  <c r="M18326" i="6"/>
  <c r="M18327" i="6"/>
  <c r="M18328" i="6"/>
  <c r="M18329" i="6"/>
  <c r="M18330" i="6"/>
  <c r="M18331" i="6"/>
  <c r="M18332" i="6"/>
  <c r="M18333" i="6"/>
  <c r="M18334" i="6"/>
  <c r="M18335" i="6"/>
  <c r="M18336" i="6"/>
  <c r="M18337" i="6"/>
  <c r="M18338" i="6"/>
  <c r="M18339" i="6"/>
  <c r="M18340" i="6"/>
  <c r="M18341" i="6"/>
  <c r="M18342" i="6"/>
  <c r="M18343" i="6"/>
  <c r="M18344" i="6"/>
  <c r="M18345" i="6"/>
  <c r="M18346" i="6"/>
  <c r="M18347" i="6"/>
  <c r="M18348" i="6"/>
  <c r="M18349" i="6"/>
  <c r="M18350" i="6"/>
  <c r="M18351" i="6"/>
  <c r="M18352" i="6"/>
  <c r="M18353" i="6"/>
  <c r="M18354" i="6"/>
  <c r="M18355" i="6"/>
  <c r="M18356" i="6"/>
  <c r="M18357" i="6"/>
  <c r="M18358" i="6"/>
  <c r="M18359" i="6"/>
  <c r="M18360" i="6"/>
  <c r="M18361" i="6"/>
  <c r="M18362" i="6"/>
  <c r="M18363" i="6"/>
  <c r="M18364" i="6"/>
  <c r="M18365" i="6"/>
  <c r="M18366" i="6"/>
  <c r="M18367" i="6"/>
  <c r="M18368" i="6"/>
  <c r="M18369" i="6"/>
  <c r="M18370" i="6"/>
  <c r="M18371" i="6"/>
  <c r="M18372" i="6"/>
  <c r="M18373" i="6"/>
  <c r="M18374" i="6"/>
  <c r="M18375" i="6"/>
  <c r="M18376" i="6"/>
  <c r="M18377" i="6"/>
  <c r="M18378" i="6"/>
  <c r="M18379" i="6"/>
  <c r="M18380" i="6"/>
  <c r="M18381" i="6"/>
  <c r="M18382" i="6"/>
  <c r="M18383" i="6"/>
  <c r="M18384" i="6"/>
  <c r="M18385" i="6"/>
  <c r="M18386" i="6"/>
  <c r="M18387" i="6"/>
  <c r="M18388" i="6"/>
  <c r="M18389" i="6"/>
  <c r="M18390" i="6"/>
  <c r="M18391" i="6"/>
  <c r="M18392" i="6"/>
  <c r="M18393" i="6"/>
  <c r="M18394" i="6"/>
  <c r="M18395" i="6"/>
  <c r="M18396" i="6"/>
  <c r="M18397" i="6"/>
  <c r="M18398" i="6"/>
  <c r="M18399" i="6"/>
  <c r="M18400" i="6"/>
  <c r="M18401" i="6"/>
  <c r="M18402" i="6"/>
  <c r="M18403" i="6"/>
  <c r="M18404" i="6"/>
  <c r="M18405" i="6"/>
  <c r="M18406" i="6"/>
  <c r="M18407" i="6"/>
  <c r="M18408" i="6"/>
  <c r="M18409" i="6"/>
  <c r="M18410" i="6"/>
  <c r="M18411" i="6"/>
  <c r="M18412" i="6"/>
  <c r="M18413" i="6"/>
  <c r="M18414" i="6"/>
  <c r="M18415" i="6"/>
  <c r="M18416" i="6"/>
  <c r="M18417" i="6"/>
  <c r="M18418" i="6"/>
  <c r="M18419" i="6"/>
  <c r="M18420" i="6"/>
  <c r="M18421" i="6"/>
  <c r="M18422" i="6"/>
  <c r="M18423" i="6"/>
  <c r="M18424" i="6"/>
  <c r="M18425" i="6"/>
  <c r="M18426" i="6"/>
  <c r="M18427" i="6"/>
  <c r="M18428" i="6"/>
  <c r="M18429" i="6"/>
  <c r="M18430" i="6"/>
  <c r="M18431" i="6"/>
  <c r="M18432" i="6"/>
  <c r="M18433" i="6"/>
  <c r="M18434" i="6"/>
  <c r="M18435" i="6"/>
  <c r="M18436" i="6"/>
  <c r="M18437" i="6"/>
  <c r="M18438" i="6"/>
  <c r="M18439" i="6"/>
  <c r="M18440" i="6"/>
  <c r="M18441" i="6"/>
  <c r="M18442" i="6"/>
  <c r="M18443" i="6"/>
  <c r="M18444" i="6"/>
  <c r="M18445" i="6"/>
  <c r="M18446" i="6"/>
  <c r="M18447" i="6"/>
  <c r="M18448" i="6"/>
  <c r="M18449" i="6"/>
  <c r="M18450" i="6"/>
  <c r="M18451" i="6"/>
  <c r="M18452" i="6"/>
  <c r="M18453" i="6"/>
  <c r="M18454" i="6"/>
  <c r="M18455" i="6"/>
  <c r="M18456" i="6"/>
  <c r="M18457" i="6"/>
  <c r="M18458" i="6"/>
  <c r="M18459" i="6"/>
  <c r="M18460" i="6"/>
  <c r="M18461" i="6"/>
  <c r="M18462" i="6"/>
  <c r="M18463" i="6"/>
  <c r="M18464" i="6"/>
  <c r="M18465" i="6"/>
  <c r="M18466" i="6"/>
  <c r="M18467" i="6"/>
  <c r="M18468" i="6"/>
  <c r="M18469" i="6"/>
  <c r="M18470" i="6"/>
  <c r="M18471" i="6"/>
  <c r="M18472" i="6"/>
  <c r="M18473" i="6"/>
  <c r="M18474" i="6"/>
  <c r="M18475" i="6"/>
  <c r="M18476" i="6"/>
  <c r="M18477" i="6"/>
  <c r="M18478" i="6"/>
  <c r="M18479" i="6"/>
  <c r="M18480" i="6"/>
  <c r="M18481" i="6"/>
  <c r="M18482" i="6"/>
  <c r="M18483" i="6"/>
  <c r="M18484" i="6"/>
  <c r="M18485" i="6"/>
  <c r="M18486" i="6"/>
  <c r="M18487" i="6"/>
  <c r="M18488" i="6"/>
  <c r="M18489" i="6"/>
  <c r="M18490" i="6"/>
  <c r="M18491" i="6"/>
  <c r="M18492" i="6"/>
  <c r="M18493" i="6"/>
  <c r="M18494" i="6"/>
  <c r="M18495" i="6"/>
  <c r="M18496" i="6"/>
  <c r="M18497" i="6"/>
  <c r="M18498" i="6"/>
  <c r="M18499" i="6"/>
  <c r="M18500" i="6"/>
  <c r="M18501" i="6"/>
  <c r="M18502" i="6"/>
  <c r="M18503" i="6"/>
  <c r="M18504" i="6"/>
  <c r="M18505" i="6"/>
  <c r="M18506" i="6"/>
  <c r="M18507" i="6"/>
  <c r="M18508" i="6"/>
  <c r="M18509" i="6"/>
  <c r="M18510" i="6"/>
  <c r="M18511" i="6"/>
  <c r="M18512" i="6"/>
  <c r="M18513" i="6"/>
  <c r="M18514" i="6"/>
  <c r="M18515" i="6"/>
  <c r="M18516" i="6"/>
  <c r="M18517" i="6"/>
  <c r="M18518" i="6"/>
  <c r="M18519" i="6"/>
  <c r="M18520" i="6"/>
  <c r="M18521" i="6"/>
  <c r="M18522" i="6"/>
  <c r="M18523" i="6"/>
  <c r="M18524" i="6"/>
  <c r="M18525" i="6"/>
  <c r="M18526" i="6"/>
  <c r="M18527" i="6"/>
  <c r="M18528" i="6"/>
  <c r="M18529" i="6"/>
  <c r="M18530" i="6"/>
  <c r="M18531" i="6"/>
  <c r="M18532" i="6"/>
  <c r="M18533" i="6"/>
  <c r="M18534" i="6"/>
  <c r="M18535" i="6"/>
  <c r="M18536" i="6"/>
  <c r="M18537" i="6"/>
  <c r="M18538" i="6"/>
  <c r="M18539" i="6"/>
  <c r="M18540" i="6"/>
  <c r="M18541" i="6"/>
  <c r="M18542" i="6"/>
  <c r="M18543" i="6"/>
  <c r="M18544" i="6"/>
  <c r="M18545" i="6"/>
  <c r="M18546" i="6"/>
  <c r="M18547" i="6"/>
  <c r="M18548" i="6"/>
  <c r="M18549" i="6"/>
  <c r="M18550" i="6"/>
  <c r="M18551" i="6"/>
  <c r="M18552" i="6"/>
  <c r="M18553" i="6"/>
  <c r="M18554" i="6"/>
  <c r="M18555" i="6"/>
  <c r="M18556" i="6"/>
  <c r="M18557" i="6"/>
  <c r="M18558" i="6"/>
  <c r="M18559" i="6"/>
  <c r="M18560" i="6"/>
  <c r="M18561" i="6"/>
  <c r="M18562" i="6"/>
  <c r="M18563" i="6"/>
  <c r="M18564" i="6"/>
  <c r="M18565" i="6"/>
  <c r="M18566" i="6"/>
  <c r="M18567" i="6"/>
  <c r="M18568" i="6"/>
  <c r="M18569" i="6"/>
  <c r="M18570" i="6"/>
  <c r="M18571" i="6"/>
  <c r="M18572" i="6"/>
  <c r="M18573" i="6"/>
  <c r="M18574" i="6"/>
  <c r="M18575" i="6"/>
  <c r="M18576" i="6"/>
  <c r="M18577" i="6"/>
  <c r="M18578" i="6"/>
  <c r="M18579" i="6"/>
  <c r="M18580" i="6"/>
  <c r="M18581" i="6"/>
  <c r="M18582" i="6"/>
  <c r="M18583" i="6"/>
  <c r="M18584" i="6"/>
  <c r="M18585" i="6"/>
  <c r="M18586" i="6"/>
  <c r="M18587" i="6"/>
  <c r="M18588" i="6"/>
  <c r="M18589" i="6"/>
  <c r="M18590" i="6"/>
  <c r="M18591" i="6"/>
  <c r="M18592" i="6"/>
  <c r="M18593" i="6"/>
  <c r="M18594" i="6"/>
  <c r="M18595" i="6"/>
  <c r="M18596" i="6"/>
  <c r="M18597" i="6"/>
  <c r="M18598" i="6"/>
  <c r="M18599" i="6"/>
  <c r="M18600" i="6"/>
  <c r="M18601" i="6"/>
  <c r="M18602" i="6"/>
  <c r="M18603" i="6"/>
  <c r="M18604" i="6"/>
  <c r="M18605" i="6"/>
  <c r="M18606" i="6"/>
  <c r="M18607" i="6"/>
  <c r="M18608" i="6"/>
  <c r="M18609" i="6"/>
  <c r="M18610" i="6"/>
  <c r="M18611" i="6"/>
  <c r="M18612" i="6"/>
  <c r="M18613" i="6"/>
  <c r="M18614" i="6"/>
  <c r="M18615" i="6"/>
  <c r="M18616" i="6"/>
  <c r="M18617" i="6"/>
  <c r="M18618" i="6"/>
  <c r="M18619" i="6"/>
  <c r="M18620" i="6"/>
  <c r="M18621" i="6"/>
  <c r="M18622" i="6"/>
  <c r="M18623" i="6"/>
  <c r="M18624" i="6"/>
  <c r="M18625" i="6"/>
  <c r="M18626" i="6"/>
  <c r="M18627" i="6"/>
  <c r="M18628" i="6"/>
  <c r="M18629" i="6"/>
  <c r="M18630" i="6"/>
  <c r="M18631" i="6"/>
  <c r="M18632" i="6"/>
  <c r="M18633" i="6"/>
  <c r="M18634" i="6"/>
  <c r="M18635" i="6"/>
  <c r="M18636" i="6"/>
  <c r="M18637" i="6"/>
  <c r="M18638" i="6"/>
  <c r="M18639" i="6"/>
  <c r="M18640" i="6"/>
  <c r="M18641" i="6"/>
  <c r="M18642" i="6"/>
  <c r="M18643" i="6"/>
  <c r="M18644" i="6"/>
  <c r="M18645" i="6"/>
  <c r="M18646" i="6"/>
  <c r="M18647" i="6"/>
  <c r="M18648" i="6"/>
  <c r="M18649" i="6"/>
  <c r="M18650" i="6"/>
  <c r="M18651" i="6"/>
  <c r="M18652" i="6"/>
  <c r="M18653" i="6"/>
  <c r="M18654" i="6"/>
  <c r="M18655" i="6"/>
  <c r="M18656" i="6"/>
  <c r="M18657" i="6"/>
  <c r="M18658" i="6"/>
  <c r="M18659" i="6"/>
  <c r="M18660" i="6"/>
  <c r="M18661" i="6"/>
  <c r="M18662" i="6"/>
  <c r="M18663" i="6"/>
  <c r="M18664" i="6"/>
  <c r="M18665" i="6"/>
  <c r="M18666" i="6"/>
  <c r="M18667" i="6"/>
  <c r="M18668" i="6"/>
  <c r="M18669" i="6"/>
  <c r="M18670" i="6"/>
  <c r="M18671" i="6"/>
  <c r="M18672" i="6"/>
  <c r="M18673" i="6"/>
  <c r="M18674" i="6"/>
  <c r="M18675" i="6"/>
  <c r="M18676" i="6"/>
  <c r="M18677" i="6"/>
  <c r="M18678" i="6"/>
  <c r="M18679" i="6"/>
  <c r="M18680" i="6"/>
  <c r="M18681" i="6"/>
  <c r="M18682" i="6"/>
  <c r="M18683" i="6"/>
  <c r="M18684" i="6"/>
  <c r="M18685" i="6"/>
  <c r="M18686" i="6"/>
  <c r="M18687" i="6"/>
  <c r="M18688" i="6"/>
  <c r="M18689" i="6"/>
  <c r="M18690" i="6"/>
  <c r="M18691" i="6"/>
  <c r="M18692" i="6"/>
  <c r="M18693" i="6"/>
  <c r="M18694" i="6"/>
  <c r="M18695" i="6"/>
  <c r="M18696" i="6"/>
  <c r="M18697" i="6"/>
  <c r="M18698" i="6"/>
  <c r="M18699" i="6"/>
  <c r="M18700" i="6"/>
  <c r="M18701" i="6"/>
  <c r="M18702" i="6"/>
  <c r="M18703" i="6"/>
  <c r="M18704" i="6"/>
  <c r="M18705" i="6"/>
  <c r="M18706" i="6"/>
  <c r="M18707" i="6"/>
  <c r="M18708" i="6"/>
  <c r="M18709" i="6"/>
  <c r="M18710" i="6"/>
  <c r="M18711" i="6"/>
  <c r="M18712" i="6"/>
  <c r="M18713" i="6"/>
  <c r="M18714" i="6"/>
  <c r="M18715" i="6"/>
  <c r="M18716" i="6"/>
  <c r="M18717" i="6"/>
  <c r="M18718" i="6"/>
  <c r="M18719" i="6"/>
  <c r="M18720" i="6"/>
  <c r="M18721" i="6"/>
  <c r="M18722" i="6"/>
  <c r="M18723" i="6"/>
  <c r="M18724" i="6"/>
  <c r="M18725" i="6"/>
  <c r="M18726" i="6"/>
  <c r="M18727" i="6"/>
  <c r="M18728" i="6"/>
  <c r="M18729" i="6"/>
  <c r="M18730" i="6"/>
  <c r="M18731" i="6"/>
  <c r="M18732" i="6"/>
  <c r="M18733" i="6"/>
  <c r="M18734" i="6"/>
  <c r="M18735" i="6"/>
  <c r="M18736" i="6"/>
  <c r="M18737" i="6"/>
  <c r="M18738" i="6"/>
  <c r="M18739" i="6"/>
  <c r="M18740" i="6"/>
  <c r="M18741" i="6"/>
  <c r="M18742" i="6"/>
  <c r="M18743" i="6"/>
  <c r="M18744" i="6"/>
  <c r="M18745" i="6"/>
  <c r="M18746" i="6"/>
  <c r="M18747" i="6"/>
  <c r="M18748" i="6"/>
  <c r="M18749" i="6"/>
  <c r="M18750" i="6"/>
  <c r="M18751" i="6"/>
  <c r="M18752" i="6"/>
  <c r="M18753" i="6"/>
  <c r="M18754" i="6"/>
  <c r="M18755" i="6"/>
  <c r="M18756" i="6"/>
  <c r="M18757" i="6"/>
  <c r="M18758" i="6"/>
  <c r="M18759" i="6"/>
  <c r="M18760" i="6"/>
  <c r="M18761" i="6"/>
  <c r="M18762" i="6"/>
  <c r="M18763" i="6"/>
  <c r="M18764" i="6"/>
  <c r="M18765" i="6"/>
  <c r="M18766" i="6"/>
  <c r="M18767" i="6"/>
  <c r="M18768" i="6"/>
  <c r="M18769" i="6"/>
  <c r="M18770" i="6"/>
  <c r="M18771" i="6"/>
  <c r="M18772" i="6"/>
  <c r="M18773" i="6"/>
  <c r="M18774" i="6"/>
  <c r="M18775" i="6"/>
  <c r="M18776" i="6"/>
  <c r="M18777" i="6"/>
  <c r="M18778" i="6"/>
  <c r="M18779" i="6"/>
  <c r="M18780" i="6"/>
  <c r="M18781" i="6"/>
  <c r="M18782" i="6"/>
  <c r="M18783" i="6"/>
  <c r="M18784" i="6"/>
  <c r="M18785" i="6"/>
  <c r="M18786" i="6"/>
  <c r="M18787" i="6"/>
  <c r="M18788" i="6"/>
  <c r="M18789" i="6"/>
  <c r="M18790" i="6"/>
  <c r="M18791" i="6"/>
  <c r="M18792" i="6"/>
  <c r="M18793" i="6"/>
  <c r="M18794" i="6"/>
  <c r="M18795" i="6"/>
  <c r="M18796" i="6"/>
  <c r="M18797" i="6"/>
  <c r="M18798" i="6"/>
  <c r="M18799" i="6"/>
  <c r="M18800" i="6"/>
  <c r="M18801" i="6"/>
  <c r="M18802" i="6"/>
  <c r="M18803" i="6"/>
  <c r="M18804" i="6"/>
  <c r="M18805" i="6"/>
  <c r="M18806" i="6"/>
  <c r="M18807" i="6"/>
  <c r="M18808" i="6"/>
  <c r="M18809" i="6"/>
  <c r="M18810" i="6"/>
  <c r="M18811" i="6"/>
  <c r="M18812" i="6"/>
  <c r="M18813" i="6"/>
  <c r="M18814" i="6"/>
  <c r="M18815" i="6"/>
  <c r="M18816" i="6"/>
  <c r="M18817" i="6"/>
  <c r="M18818" i="6"/>
  <c r="M18819" i="6"/>
  <c r="M18820" i="6"/>
  <c r="M18821" i="6"/>
  <c r="M18822" i="6"/>
  <c r="M18823" i="6"/>
  <c r="M18824" i="6"/>
  <c r="M18825" i="6"/>
  <c r="M18826" i="6"/>
  <c r="M18827" i="6"/>
  <c r="M18828" i="6"/>
  <c r="M18829" i="6"/>
  <c r="M18830" i="6"/>
  <c r="M18831" i="6"/>
  <c r="M18832" i="6"/>
  <c r="M18833" i="6"/>
  <c r="M18834" i="6"/>
  <c r="M18835" i="6"/>
  <c r="M18836" i="6"/>
  <c r="M18837" i="6"/>
  <c r="M18838" i="6"/>
  <c r="M18839" i="6"/>
  <c r="M18840" i="6"/>
  <c r="M18841" i="6"/>
  <c r="M18842" i="6"/>
  <c r="M18843" i="6"/>
  <c r="M18844" i="6"/>
  <c r="M18845" i="6"/>
  <c r="M18846" i="6"/>
  <c r="M18847" i="6"/>
  <c r="M18848" i="6"/>
  <c r="M18849" i="6"/>
  <c r="M18850" i="6"/>
  <c r="M18851" i="6"/>
  <c r="M18852" i="6"/>
  <c r="M18853" i="6"/>
  <c r="M18854" i="6"/>
  <c r="M18855" i="6"/>
  <c r="M18856" i="6"/>
  <c r="M18857" i="6"/>
  <c r="M18858" i="6"/>
  <c r="M18859" i="6"/>
  <c r="M18860" i="6"/>
  <c r="M18861" i="6"/>
  <c r="M18862" i="6"/>
  <c r="M18863" i="6"/>
  <c r="M18864" i="6"/>
  <c r="M18865" i="6"/>
  <c r="M18866" i="6"/>
  <c r="M18867" i="6"/>
  <c r="M18868" i="6"/>
  <c r="M18869" i="6"/>
  <c r="M18870" i="6"/>
  <c r="M18871" i="6"/>
  <c r="M18872" i="6"/>
  <c r="M18873" i="6"/>
  <c r="M18874" i="6"/>
  <c r="M18875" i="6"/>
  <c r="M18876" i="6"/>
  <c r="M18877" i="6"/>
  <c r="M18878" i="6"/>
  <c r="M18879" i="6"/>
  <c r="M18880" i="6"/>
  <c r="M18881" i="6"/>
  <c r="M18882" i="6"/>
  <c r="M18883" i="6"/>
  <c r="M18884" i="6"/>
  <c r="M18885" i="6"/>
  <c r="M18886" i="6"/>
  <c r="M18887" i="6"/>
  <c r="M18888" i="6"/>
  <c r="M18889" i="6"/>
  <c r="M18890" i="6"/>
  <c r="M18891" i="6"/>
  <c r="M18892" i="6"/>
  <c r="M18893" i="6"/>
  <c r="M18894" i="6"/>
  <c r="M18895" i="6"/>
  <c r="M18896" i="6"/>
  <c r="M18897" i="6"/>
  <c r="M18898" i="6"/>
  <c r="M18899" i="6"/>
  <c r="M18900" i="6"/>
  <c r="M18901" i="6"/>
  <c r="M18902" i="6"/>
  <c r="M18903" i="6"/>
  <c r="M18904" i="6"/>
  <c r="M18905" i="6"/>
  <c r="M18906" i="6"/>
  <c r="M18907" i="6"/>
  <c r="M18908" i="6"/>
  <c r="M18909" i="6"/>
  <c r="M18910" i="6"/>
  <c r="M18911" i="6"/>
  <c r="M18912" i="6"/>
  <c r="M18913" i="6"/>
  <c r="M18914" i="6"/>
  <c r="M18915" i="6"/>
  <c r="M18916" i="6"/>
  <c r="M18917" i="6"/>
  <c r="M18918" i="6"/>
  <c r="M18919" i="6"/>
  <c r="M18920" i="6"/>
  <c r="M18921" i="6"/>
  <c r="M18922" i="6"/>
  <c r="M18923" i="6"/>
  <c r="M18924" i="6"/>
  <c r="M18925" i="6"/>
  <c r="M18926" i="6"/>
  <c r="M18927" i="6"/>
  <c r="M18928" i="6"/>
  <c r="M18929" i="6"/>
  <c r="M18930" i="6"/>
  <c r="M18931" i="6"/>
  <c r="M18932" i="6"/>
  <c r="M18933" i="6"/>
  <c r="M18934" i="6"/>
  <c r="M18935" i="6"/>
  <c r="M18936" i="6"/>
  <c r="M18937" i="6"/>
  <c r="M18938" i="6"/>
  <c r="M18939" i="6"/>
  <c r="M18940" i="6"/>
  <c r="M18941" i="6"/>
  <c r="M18942" i="6"/>
  <c r="M18943" i="6"/>
  <c r="M18944" i="6"/>
  <c r="M18945" i="6"/>
  <c r="M18946" i="6"/>
  <c r="M18947" i="6"/>
  <c r="M18948" i="6"/>
  <c r="M18949" i="6"/>
  <c r="M18950" i="6"/>
  <c r="M18951" i="6"/>
  <c r="M18952" i="6"/>
  <c r="M18953" i="6"/>
  <c r="M18954" i="6"/>
  <c r="M18955" i="6"/>
  <c r="M18956" i="6"/>
  <c r="M18957" i="6"/>
  <c r="M18958" i="6"/>
  <c r="M18959" i="6"/>
  <c r="M18960" i="6"/>
  <c r="M18961" i="6"/>
  <c r="M18962" i="6"/>
  <c r="M18963" i="6"/>
  <c r="M18964" i="6"/>
  <c r="M18965" i="6"/>
  <c r="M18966" i="6"/>
  <c r="M18967" i="6"/>
  <c r="M18968" i="6"/>
  <c r="M18969" i="6"/>
  <c r="M18970" i="6"/>
  <c r="M18971" i="6"/>
  <c r="M18972" i="6"/>
  <c r="M18973" i="6"/>
  <c r="M18974" i="6"/>
  <c r="M18975" i="6"/>
  <c r="M18976" i="6"/>
  <c r="M18977" i="6"/>
  <c r="M18978" i="6"/>
  <c r="M18979" i="6"/>
  <c r="M18980" i="6"/>
  <c r="M18981" i="6"/>
  <c r="M18982" i="6"/>
  <c r="M18983" i="6"/>
  <c r="M18984" i="6"/>
  <c r="M18985" i="6"/>
  <c r="M18986" i="6"/>
  <c r="M18987" i="6"/>
  <c r="M18988" i="6"/>
  <c r="M18989" i="6"/>
  <c r="M18990" i="6"/>
  <c r="M18991" i="6"/>
  <c r="M18992" i="6"/>
  <c r="M18993" i="6"/>
  <c r="M18994" i="6"/>
  <c r="M18995" i="6"/>
  <c r="M18996" i="6"/>
  <c r="M18997" i="6"/>
  <c r="M18998" i="6"/>
  <c r="M18999" i="6"/>
  <c r="M19000" i="6"/>
  <c r="M19001" i="6"/>
  <c r="M19002" i="6"/>
  <c r="M19003" i="6"/>
  <c r="M19004" i="6"/>
  <c r="M19005" i="6"/>
  <c r="M19006" i="6"/>
  <c r="M19007" i="6"/>
  <c r="M19008" i="6"/>
  <c r="M19009" i="6"/>
  <c r="M19010" i="6"/>
  <c r="M19011" i="6"/>
  <c r="M19012" i="6"/>
  <c r="M19013" i="6"/>
  <c r="M19014" i="6"/>
  <c r="M19015" i="6"/>
  <c r="M19016" i="6"/>
  <c r="M19017" i="6"/>
  <c r="M19018" i="6"/>
  <c r="M19019" i="6"/>
  <c r="M19020" i="6"/>
  <c r="M19021" i="6"/>
  <c r="M19022" i="6"/>
  <c r="M19023" i="6"/>
  <c r="M19024" i="6"/>
  <c r="M19025" i="6"/>
  <c r="M19026" i="6"/>
  <c r="M19027" i="6"/>
  <c r="M19028" i="6"/>
  <c r="M19029" i="6"/>
  <c r="M19030" i="6"/>
  <c r="M19031" i="6"/>
  <c r="M19032" i="6"/>
  <c r="M19033" i="6"/>
  <c r="M19034" i="6"/>
  <c r="M19035" i="6"/>
  <c r="M19036" i="6"/>
  <c r="M19037" i="6"/>
  <c r="M19038" i="6"/>
  <c r="M19039" i="6"/>
  <c r="M19040" i="6"/>
  <c r="M19041" i="6"/>
  <c r="M19042" i="6"/>
  <c r="M19043" i="6"/>
  <c r="M19044" i="6"/>
  <c r="M19045" i="6"/>
  <c r="M19046" i="6"/>
  <c r="M19047" i="6"/>
  <c r="M19048" i="6"/>
  <c r="M19049" i="6"/>
  <c r="M19050" i="6"/>
  <c r="M19051" i="6"/>
  <c r="M19052" i="6"/>
  <c r="M19053" i="6"/>
  <c r="M19054" i="6"/>
  <c r="M19055" i="6"/>
  <c r="M19056" i="6"/>
  <c r="M19057" i="6"/>
  <c r="M19058" i="6"/>
  <c r="M19059" i="6"/>
  <c r="M19060" i="6"/>
  <c r="M19061" i="6"/>
  <c r="M19062" i="6"/>
  <c r="M19063" i="6"/>
  <c r="M19064" i="6"/>
  <c r="M19065" i="6"/>
  <c r="M19066" i="6"/>
  <c r="M19067" i="6"/>
  <c r="M19068" i="6"/>
  <c r="M19069" i="6"/>
  <c r="M19070" i="6"/>
  <c r="M19071" i="6"/>
  <c r="M19072" i="6"/>
  <c r="M19073" i="6"/>
  <c r="M19074" i="6"/>
  <c r="M19075" i="6"/>
  <c r="M19076" i="6"/>
  <c r="M19077" i="6"/>
  <c r="M19078" i="6"/>
  <c r="M19079" i="6"/>
  <c r="M19080" i="6"/>
  <c r="M19081" i="6"/>
  <c r="M19082" i="6"/>
  <c r="M19083" i="6"/>
  <c r="M19084" i="6"/>
  <c r="M19085" i="6"/>
  <c r="M19086" i="6"/>
  <c r="M19087" i="6"/>
  <c r="M19088" i="6"/>
  <c r="M19089" i="6"/>
  <c r="M19090" i="6"/>
  <c r="M19091" i="6"/>
  <c r="M19092" i="6"/>
  <c r="M19093" i="6"/>
  <c r="M19094" i="6"/>
  <c r="M19095" i="6"/>
  <c r="M19096" i="6"/>
  <c r="M19097" i="6"/>
  <c r="M19098" i="6"/>
  <c r="M19099" i="6"/>
  <c r="M19100" i="6"/>
  <c r="M19101" i="6"/>
  <c r="M19102" i="6"/>
  <c r="M19103" i="6"/>
  <c r="M19104" i="6"/>
  <c r="M19105" i="6"/>
  <c r="M19106" i="6"/>
  <c r="M19107" i="6"/>
  <c r="M19108" i="6"/>
  <c r="M19109" i="6"/>
  <c r="M19110" i="6"/>
  <c r="M19111" i="6"/>
  <c r="M19112" i="6"/>
  <c r="M19113" i="6"/>
  <c r="M19114" i="6"/>
  <c r="M19115" i="6"/>
  <c r="M19116" i="6"/>
  <c r="M19117" i="6"/>
  <c r="M19118" i="6"/>
  <c r="M19119" i="6"/>
  <c r="M19120" i="6"/>
  <c r="M19121" i="6"/>
  <c r="M19122" i="6"/>
  <c r="M19123" i="6"/>
  <c r="M19124" i="6"/>
  <c r="M19125" i="6"/>
  <c r="M19126" i="6"/>
  <c r="M19127" i="6"/>
  <c r="M19128" i="6"/>
  <c r="M19129" i="6"/>
  <c r="M19130" i="6"/>
  <c r="M19131" i="6"/>
  <c r="M19132" i="6"/>
  <c r="M19133" i="6"/>
  <c r="M19134" i="6"/>
  <c r="M19135" i="6"/>
  <c r="M19136" i="6"/>
  <c r="M19137" i="6"/>
  <c r="M19138" i="6"/>
  <c r="M19139" i="6"/>
  <c r="M19140" i="6"/>
  <c r="M19141" i="6"/>
  <c r="M19142" i="6"/>
  <c r="M19143" i="6"/>
  <c r="M19144" i="6"/>
  <c r="M19145" i="6"/>
  <c r="M19146" i="6"/>
  <c r="M19147" i="6"/>
  <c r="M19148" i="6"/>
  <c r="M19149" i="6"/>
  <c r="M19150" i="6"/>
  <c r="M19151" i="6"/>
  <c r="M19152" i="6"/>
  <c r="M19153" i="6"/>
  <c r="M19154" i="6"/>
  <c r="M19155" i="6"/>
  <c r="M19156" i="6"/>
  <c r="M19157" i="6"/>
  <c r="M19158" i="6"/>
  <c r="M19159" i="6"/>
  <c r="M19160" i="6"/>
  <c r="M19161" i="6"/>
  <c r="M19162" i="6"/>
  <c r="M19163" i="6"/>
  <c r="M19164" i="6"/>
  <c r="M19165" i="6"/>
  <c r="M19166" i="6"/>
  <c r="M19167" i="6"/>
  <c r="M19168" i="6"/>
  <c r="M19169" i="6"/>
  <c r="M19170" i="6"/>
  <c r="M19171" i="6"/>
  <c r="M19172" i="6"/>
  <c r="M19173" i="6"/>
  <c r="M19174" i="6"/>
  <c r="M19175" i="6"/>
  <c r="M19176" i="6"/>
  <c r="M19177" i="6"/>
  <c r="M19178" i="6"/>
  <c r="M19179" i="6"/>
  <c r="M19180" i="6"/>
  <c r="M19181" i="6"/>
  <c r="M19182" i="6"/>
  <c r="M19183" i="6"/>
  <c r="M19184" i="6"/>
  <c r="M19185" i="6"/>
  <c r="M19186" i="6"/>
  <c r="M19187" i="6"/>
  <c r="M19188" i="6"/>
  <c r="M19189" i="6"/>
  <c r="M19190" i="6"/>
  <c r="M19191" i="6"/>
  <c r="M19192" i="6"/>
  <c r="M19193" i="6"/>
  <c r="M19194" i="6"/>
  <c r="M19195" i="6"/>
  <c r="M19196" i="6"/>
  <c r="M19197" i="6"/>
  <c r="M19198" i="6"/>
  <c r="M19199" i="6"/>
  <c r="M19200" i="6"/>
  <c r="M19201" i="6"/>
  <c r="M19202" i="6"/>
  <c r="M19203" i="6"/>
  <c r="M19204" i="6"/>
  <c r="M19205" i="6"/>
  <c r="M19206" i="6"/>
  <c r="M19207" i="6"/>
  <c r="M19208" i="6"/>
  <c r="M19209" i="6"/>
  <c r="M19210" i="6"/>
  <c r="M19211" i="6"/>
  <c r="M19212" i="6"/>
  <c r="M19213" i="6"/>
  <c r="M19214" i="6"/>
  <c r="M19215" i="6"/>
  <c r="M19216" i="6"/>
  <c r="M19217" i="6"/>
  <c r="M19218" i="6"/>
  <c r="M19219" i="6"/>
  <c r="M19220" i="6"/>
  <c r="M19221" i="6"/>
  <c r="M19222" i="6"/>
  <c r="M19223" i="6"/>
  <c r="M19224" i="6"/>
  <c r="M19225" i="6"/>
  <c r="M19226" i="6"/>
  <c r="M19227" i="6"/>
  <c r="M19228" i="6"/>
  <c r="M19229" i="6"/>
  <c r="M19230" i="6"/>
  <c r="M19231" i="6"/>
  <c r="M19232" i="6"/>
  <c r="M19233" i="6"/>
  <c r="M19234" i="6"/>
  <c r="M19235" i="6"/>
  <c r="M19236" i="6"/>
  <c r="M19237" i="6"/>
  <c r="M19238" i="6"/>
  <c r="M19239" i="6"/>
  <c r="M19240" i="6"/>
  <c r="M19241" i="6"/>
  <c r="M19242" i="6"/>
  <c r="M19243" i="6"/>
  <c r="M19244" i="6"/>
  <c r="M19245" i="6"/>
  <c r="M19246" i="6"/>
  <c r="M19247" i="6"/>
  <c r="M19248" i="6"/>
  <c r="M19249" i="6"/>
  <c r="M19250" i="6"/>
  <c r="M19251" i="6"/>
  <c r="M19252" i="6"/>
  <c r="M19253" i="6"/>
  <c r="M19254" i="6"/>
  <c r="M19255" i="6"/>
  <c r="M19256" i="6"/>
  <c r="M19257" i="6"/>
  <c r="M19258" i="6"/>
  <c r="M19259" i="6"/>
  <c r="M19260" i="6"/>
  <c r="M19261" i="6"/>
  <c r="M19262" i="6"/>
  <c r="M19263" i="6"/>
  <c r="M19264" i="6"/>
  <c r="M19265" i="6"/>
  <c r="M19266" i="6"/>
  <c r="M19267" i="6"/>
  <c r="M19268" i="6"/>
  <c r="M19269" i="6"/>
  <c r="M19270" i="6"/>
  <c r="M19271" i="6"/>
  <c r="M19272" i="6"/>
  <c r="M19273" i="6"/>
  <c r="M19274" i="6"/>
  <c r="M19275" i="6"/>
  <c r="M19276" i="6"/>
  <c r="M19277" i="6"/>
  <c r="M19278" i="6"/>
  <c r="M19279" i="6"/>
  <c r="M19280" i="6"/>
  <c r="M19281" i="6"/>
  <c r="M19282" i="6"/>
  <c r="M19283" i="6"/>
  <c r="M19284" i="6"/>
  <c r="M19285" i="6"/>
  <c r="M19286" i="6"/>
  <c r="M19287" i="6"/>
  <c r="M19288" i="6"/>
  <c r="M19289" i="6"/>
  <c r="M19290" i="6"/>
  <c r="M19291" i="6"/>
  <c r="M19292" i="6"/>
  <c r="M19293" i="6"/>
  <c r="M19294" i="6"/>
  <c r="M19295" i="6"/>
  <c r="M19296" i="6"/>
  <c r="M19297" i="6"/>
  <c r="M19298" i="6"/>
  <c r="M19299" i="6"/>
  <c r="M19300" i="6"/>
  <c r="M19301" i="6"/>
  <c r="M19302" i="6"/>
  <c r="M19303" i="6"/>
  <c r="M19304" i="6"/>
  <c r="M19305" i="6"/>
  <c r="M19306" i="6"/>
  <c r="M19307" i="6"/>
  <c r="M19308" i="6"/>
  <c r="M19309" i="6"/>
  <c r="M19310" i="6"/>
  <c r="M19311" i="6"/>
  <c r="M19312" i="6"/>
  <c r="M19313" i="6"/>
  <c r="M19314" i="6"/>
  <c r="M19315" i="6"/>
  <c r="M19316" i="6"/>
  <c r="M19317" i="6"/>
  <c r="M19318" i="6"/>
  <c r="M19319" i="6"/>
  <c r="M19320" i="6"/>
  <c r="M19321" i="6"/>
  <c r="M19322" i="6"/>
  <c r="M19323" i="6"/>
  <c r="M19324" i="6"/>
  <c r="M19325" i="6"/>
  <c r="M19326" i="6"/>
  <c r="M19327" i="6"/>
  <c r="M19328" i="6"/>
  <c r="M19329" i="6"/>
  <c r="M19330" i="6"/>
  <c r="M19331" i="6"/>
  <c r="M19332" i="6"/>
  <c r="M19333" i="6"/>
  <c r="M19334" i="6"/>
  <c r="M19335" i="6"/>
  <c r="M19336" i="6"/>
  <c r="M19337" i="6"/>
  <c r="M19338" i="6"/>
  <c r="M19339" i="6"/>
  <c r="M19340" i="6"/>
  <c r="M19341" i="6"/>
  <c r="M19342" i="6"/>
  <c r="M19343" i="6"/>
  <c r="M19344" i="6"/>
  <c r="M19345" i="6"/>
  <c r="M19346" i="6"/>
  <c r="M19347" i="6"/>
  <c r="M19348" i="6"/>
  <c r="M19349" i="6"/>
  <c r="M19350" i="6"/>
  <c r="M19351" i="6"/>
  <c r="M19352" i="6"/>
  <c r="M19353" i="6"/>
  <c r="M19354" i="6"/>
  <c r="M19355" i="6"/>
  <c r="M19356" i="6"/>
  <c r="M19357" i="6"/>
  <c r="M19358" i="6"/>
  <c r="M19359" i="6"/>
  <c r="M19360" i="6"/>
  <c r="M19361" i="6"/>
  <c r="M19362" i="6"/>
  <c r="M19363" i="6"/>
  <c r="M19364" i="6"/>
  <c r="M19365" i="6"/>
  <c r="M19366" i="6"/>
  <c r="M19367" i="6"/>
  <c r="M19368" i="6"/>
  <c r="M19369" i="6"/>
  <c r="M19370" i="6"/>
  <c r="M19371" i="6"/>
  <c r="M19372" i="6"/>
  <c r="M19373" i="6"/>
  <c r="M19374" i="6"/>
  <c r="M19375" i="6"/>
  <c r="M19376" i="6"/>
  <c r="M19377" i="6"/>
  <c r="M19378" i="6"/>
  <c r="M19379" i="6"/>
  <c r="M19380" i="6"/>
  <c r="M19381" i="6"/>
  <c r="M19382" i="6"/>
  <c r="M19383" i="6"/>
  <c r="M19384" i="6"/>
  <c r="M19385" i="6"/>
  <c r="M19386" i="6"/>
  <c r="M19387" i="6"/>
  <c r="M19388" i="6"/>
  <c r="M19389" i="6"/>
  <c r="M19390" i="6"/>
  <c r="M19391" i="6"/>
  <c r="M19392" i="6"/>
  <c r="M19393" i="6"/>
  <c r="M19394" i="6"/>
  <c r="M19395" i="6"/>
  <c r="M19396" i="6"/>
  <c r="M19397" i="6"/>
  <c r="M19398" i="6"/>
  <c r="M19399" i="6"/>
  <c r="M19400" i="6"/>
  <c r="M19401" i="6"/>
  <c r="M19402" i="6"/>
  <c r="M19403" i="6"/>
  <c r="M19404" i="6"/>
  <c r="M19405" i="6"/>
  <c r="M19406" i="6"/>
  <c r="M19407" i="6"/>
  <c r="M19408" i="6"/>
  <c r="M19409" i="6"/>
  <c r="M19410" i="6"/>
  <c r="M19411" i="6"/>
  <c r="M19412" i="6"/>
  <c r="M19413" i="6"/>
  <c r="M19414" i="6"/>
  <c r="M19415" i="6"/>
  <c r="M19416" i="6"/>
  <c r="M19417" i="6"/>
  <c r="M19418" i="6"/>
  <c r="M19419" i="6"/>
  <c r="M19420" i="6"/>
  <c r="M19421" i="6"/>
  <c r="M19422" i="6"/>
  <c r="M19423" i="6"/>
  <c r="M19424" i="6"/>
  <c r="M19425" i="6"/>
  <c r="M19426" i="6"/>
  <c r="M19427" i="6"/>
  <c r="M19428" i="6"/>
  <c r="M19429" i="6"/>
  <c r="M19430" i="6"/>
  <c r="M19431" i="6"/>
  <c r="M19432" i="6"/>
  <c r="M19433" i="6"/>
  <c r="M19434" i="6"/>
  <c r="M19435" i="6"/>
  <c r="M19436" i="6"/>
  <c r="M19437" i="6"/>
  <c r="M19438" i="6"/>
  <c r="M19439" i="6"/>
  <c r="M19440" i="6"/>
  <c r="M19441" i="6"/>
  <c r="M19442" i="6"/>
  <c r="M19443" i="6"/>
  <c r="M19444" i="6"/>
  <c r="M19445" i="6"/>
  <c r="M19446" i="6"/>
  <c r="M19447" i="6"/>
  <c r="M19448" i="6"/>
  <c r="M19449" i="6"/>
  <c r="M19450" i="6"/>
  <c r="M19451" i="6"/>
  <c r="M19452" i="6"/>
  <c r="M19453" i="6"/>
  <c r="M19454" i="6"/>
  <c r="M19455" i="6"/>
  <c r="M19456" i="6"/>
  <c r="M19457" i="6"/>
  <c r="M19458" i="6"/>
  <c r="M19459" i="6"/>
  <c r="M19460" i="6"/>
  <c r="M19461" i="6"/>
  <c r="M19462" i="6"/>
  <c r="M19463" i="6"/>
  <c r="M19464" i="6"/>
  <c r="M19465" i="6"/>
  <c r="M19466" i="6"/>
  <c r="M19467" i="6"/>
  <c r="M19468" i="6"/>
  <c r="M19469" i="6"/>
  <c r="M19470" i="6"/>
  <c r="M19471" i="6"/>
  <c r="M19472" i="6"/>
  <c r="M19473" i="6"/>
  <c r="M19474" i="6"/>
  <c r="M19475" i="6"/>
  <c r="M19476" i="6"/>
  <c r="M19477" i="6"/>
  <c r="M19478" i="6"/>
  <c r="M19479" i="6"/>
  <c r="M19480" i="6"/>
  <c r="M19481" i="6"/>
  <c r="M19482" i="6"/>
  <c r="M19483" i="6"/>
  <c r="M19484" i="6"/>
  <c r="M19485" i="6"/>
  <c r="M19486" i="6"/>
  <c r="M19487" i="6"/>
  <c r="M19488" i="6"/>
  <c r="M19489" i="6"/>
  <c r="M19490" i="6"/>
  <c r="M19491" i="6"/>
  <c r="M19492" i="6"/>
  <c r="M19493" i="6"/>
  <c r="M19494" i="6"/>
  <c r="M19495" i="6"/>
  <c r="M19496" i="6"/>
  <c r="M19497" i="6"/>
  <c r="M19498" i="6"/>
  <c r="M19499" i="6"/>
  <c r="M19500" i="6"/>
  <c r="M19501" i="6"/>
  <c r="M19502" i="6"/>
  <c r="M19503" i="6"/>
  <c r="M19504" i="6"/>
  <c r="M19505" i="6"/>
  <c r="M19506" i="6"/>
  <c r="M19507" i="6"/>
  <c r="M19508" i="6"/>
  <c r="M19509" i="6"/>
  <c r="M19510" i="6"/>
  <c r="M19511" i="6"/>
  <c r="M19512" i="6"/>
  <c r="M19513" i="6"/>
  <c r="M19514" i="6"/>
  <c r="M19515" i="6"/>
  <c r="M19516" i="6"/>
  <c r="M19517" i="6"/>
  <c r="M19518" i="6"/>
  <c r="M19519" i="6"/>
  <c r="M19520" i="6"/>
  <c r="M19521" i="6"/>
  <c r="M19522" i="6"/>
  <c r="M19523" i="6"/>
  <c r="M19524" i="6"/>
  <c r="M19525" i="6"/>
  <c r="M19526" i="6"/>
  <c r="M19527" i="6"/>
  <c r="M19528" i="6"/>
  <c r="M19529" i="6"/>
  <c r="M19530" i="6"/>
  <c r="M19531" i="6"/>
  <c r="M19532" i="6"/>
  <c r="M19533" i="6"/>
  <c r="M19534" i="6"/>
  <c r="M19535" i="6"/>
  <c r="M19536" i="6"/>
  <c r="M19537" i="6"/>
  <c r="M19538" i="6"/>
  <c r="M19539" i="6"/>
  <c r="M19540" i="6"/>
  <c r="M19541" i="6"/>
  <c r="M19542" i="6"/>
  <c r="M19543" i="6"/>
  <c r="M19544" i="6"/>
  <c r="M19545" i="6"/>
  <c r="M19546" i="6"/>
  <c r="M19547" i="6"/>
  <c r="M19548" i="6"/>
  <c r="M19549" i="6"/>
  <c r="M19550" i="6"/>
  <c r="M19551" i="6"/>
  <c r="M19552" i="6"/>
  <c r="M19553" i="6"/>
  <c r="M19554" i="6"/>
  <c r="M19555" i="6"/>
  <c r="M19556" i="6"/>
  <c r="M19557" i="6"/>
  <c r="M19558" i="6"/>
  <c r="M19559" i="6"/>
  <c r="M19560" i="6"/>
  <c r="M19561" i="6"/>
  <c r="M19562" i="6"/>
  <c r="M19563" i="6"/>
  <c r="M19564" i="6"/>
  <c r="M19565" i="6"/>
  <c r="M19566" i="6"/>
  <c r="M19567" i="6"/>
  <c r="M19568" i="6"/>
  <c r="M19569" i="6"/>
  <c r="M19570" i="6"/>
  <c r="M19571" i="6"/>
  <c r="M19572" i="6"/>
  <c r="M19573" i="6"/>
  <c r="M19574" i="6"/>
  <c r="M19575" i="6"/>
  <c r="M19576" i="6"/>
  <c r="M19577" i="6"/>
  <c r="M19578" i="6"/>
  <c r="M19579" i="6"/>
  <c r="M19580" i="6"/>
  <c r="M19581" i="6"/>
  <c r="M19582" i="6"/>
  <c r="M19583" i="6"/>
  <c r="M19584" i="6"/>
  <c r="M19585" i="6"/>
  <c r="M19586" i="6"/>
  <c r="M19587" i="6"/>
  <c r="M19588" i="6"/>
  <c r="M19589" i="6"/>
  <c r="M19590" i="6"/>
  <c r="M19591" i="6"/>
  <c r="M19592" i="6"/>
  <c r="M19593" i="6"/>
  <c r="M19594" i="6"/>
  <c r="M19595" i="6"/>
  <c r="M19596" i="6"/>
  <c r="M19597" i="6"/>
  <c r="M19598" i="6"/>
  <c r="M19599" i="6"/>
  <c r="M19600" i="6"/>
  <c r="M19601" i="6"/>
  <c r="M19602" i="6"/>
  <c r="M19603" i="6"/>
  <c r="M19604" i="6"/>
  <c r="M19605" i="6"/>
  <c r="M19606" i="6"/>
  <c r="M19607" i="6"/>
  <c r="M19608" i="6"/>
  <c r="M19609" i="6"/>
  <c r="M19610" i="6"/>
  <c r="M19611" i="6"/>
  <c r="M19612" i="6"/>
  <c r="M19613" i="6"/>
  <c r="M19614" i="6"/>
  <c r="M19615" i="6"/>
  <c r="M19616" i="6"/>
  <c r="M19617" i="6"/>
  <c r="M19618" i="6"/>
  <c r="M19619" i="6"/>
  <c r="M19620" i="6"/>
  <c r="M19621" i="6"/>
  <c r="M19622" i="6"/>
  <c r="M19623" i="6"/>
  <c r="M19624" i="6"/>
  <c r="M19625" i="6"/>
  <c r="M19626" i="6"/>
  <c r="M19627" i="6"/>
  <c r="M19628" i="6"/>
  <c r="M19629" i="6"/>
  <c r="M19630" i="6"/>
  <c r="M19631" i="6"/>
  <c r="M19632" i="6"/>
  <c r="M19633" i="6"/>
  <c r="M19634" i="6"/>
  <c r="M19635" i="6"/>
  <c r="M19636" i="6"/>
  <c r="M19637" i="6"/>
  <c r="M19638" i="6"/>
  <c r="M19639" i="6"/>
  <c r="M19640" i="6"/>
  <c r="M19641" i="6"/>
  <c r="M19642" i="6"/>
  <c r="M19643" i="6"/>
  <c r="M19644" i="6"/>
  <c r="M19645" i="6"/>
  <c r="M19646" i="6"/>
  <c r="M19647" i="6"/>
  <c r="M19648" i="6"/>
  <c r="M19649" i="6"/>
  <c r="M19650" i="6"/>
  <c r="M19651" i="6"/>
  <c r="M19652" i="6"/>
  <c r="M19653" i="6"/>
  <c r="M19654" i="6"/>
  <c r="M19655" i="6"/>
  <c r="M19656" i="6"/>
  <c r="M19657" i="6"/>
  <c r="M19658" i="6"/>
  <c r="M19659" i="6"/>
  <c r="M19660" i="6"/>
  <c r="M19661" i="6"/>
  <c r="M19662" i="6"/>
  <c r="M19663" i="6"/>
  <c r="M19664" i="6"/>
  <c r="M19665" i="6"/>
  <c r="M19666" i="6"/>
  <c r="M19667" i="6"/>
  <c r="M19668" i="6"/>
  <c r="M19669" i="6"/>
  <c r="M19670" i="6"/>
  <c r="M19671" i="6"/>
  <c r="M19672" i="6"/>
  <c r="M19673" i="6"/>
  <c r="M19674" i="6"/>
  <c r="M19675" i="6"/>
  <c r="M19676" i="6"/>
  <c r="M19677" i="6"/>
  <c r="M19678" i="6"/>
  <c r="M19679" i="6"/>
  <c r="M19680" i="6"/>
  <c r="M19681" i="6"/>
  <c r="M19682" i="6"/>
  <c r="M19683" i="6"/>
  <c r="M19684" i="6"/>
  <c r="M19685" i="6"/>
  <c r="M19686" i="6"/>
  <c r="M19687" i="6"/>
  <c r="M19688" i="6"/>
  <c r="M19689" i="6"/>
  <c r="M19690" i="6"/>
  <c r="M19691" i="6"/>
  <c r="M19692" i="6"/>
  <c r="M19693" i="6"/>
  <c r="M19694" i="6"/>
  <c r="M19695" i="6"/>
  <c r="M19696" i="6"/>
  <c r="M19697" i="6"/>
  <c r="M19698" i="6"/>
  <c r="M19699" i="6"/>
  <c r="M19700" i="6"/>
  <c r="M19701" i="6"/>
  <c r="M19702" i="6"/>
  <c r="M19703" i="6"/>
  <c r="M19704" i="6"/>
  <c r="M19705" i="6"/>
  <c r="M19706" i="6"/>
  <c r="M19707" i="6"/>
  <c r="M19708" i="6"/>
  <c r="M19709" i="6"/>
  <c r="M19710" i="6"/>
  <c r="M19711" i="6"/>
  <c r="M19712" i="6"/>
  <c r="M19713" i="6"/>
  <c r="M19714" i="6"/>
  <c r="M19715" i="6"/>
  <c r="M19716" i="6"/>
  <c r="M19717" i="6"/>
  <c r="M19718" i="6"/>
  <c r="M19719" i="6"/>
  <c r="M19720" i="6"/>
  <c r="M19721" i="6"/>
  <c r="M19722" i="6"/>
  <c r="M19723" i="6"/>
  <c r="M19724" i="6"/>
  <c r="M19725" i="6"/>
  <c r="M19726" i="6"/>
  <c r="M19727" i="6"/>
  <c r="M19728" i="6"/>
  <c r="M19729" i="6"/>
  <c r="M19730" i="6"/>
  <c r="M19731" i="6"/>
  <c r="M19732" i="6"/>
  <c r="M19733" i="6"/>
  <c r="M19734" i="6"/>
  <c r="M19735" i="6"/>
  <c r="M19736" i="6"/>
  <c r="M19737" i="6"/>
  <c r="M19738" i="6"/>
  <c r="M19739" i="6"/>
  <c r="M19740" i="6"/>
  <c r="M19741" i="6"/>
  <c r="M19742" i="6"/>
  <c r="M19743" i="6"/>
  <c r="M19744" i="6"/>
  <c r="M19745" i="6"/>
  <c r="M19746" i="6"/>
  <c r="M19747" i="6"/>
  <c r="M19748" i="6"/>
  <c r="M19749" i="6"/>
  <c r="M19750" i="6"/>
  <c r="M19751" i="6"/>
  <c r="M19752" i="6"/>
  <c r="M19753" i="6"/>
  <c r="M19754" i="6"/>
  <c r="M19755" i="6"/>
  <c r="M19756" i="6"/>
  <c r="M19757" i="6"/>
  <c r="M19758" i="6"/>
  <c r="M19759" i="6"/>
  <c r="M19760" i="6"/>
  <c r="M19761" i="6"/>
  <c r="M19762" i="6"/>
  <c r="M19763" i="6"/>
  <c r="M19764" i="6"/>
  <c r="M19765" i="6"/>
  <c r="M19766" i="6"/>
  <c r="M19767" i="6"/>
  <c r="M19768" i="6"/>
  <c r="M19769" i="6"/>
  <c r="M19770" i="6"/>
  <c r="M19771" i="6"/>
  <c r="M19772" i="6"/>
  <c r="M19773" i="6"/>
  <c r="M19774" i="6"/>
  <c r="M19775" i="6"/>
  <c r="M19776" i="6"/>
  <c r="M19777" i="6"/>
  <c r="M19778" i="6"/>
  <c r="M19779" i="6"/>
  <c r="M19780" i="6"/>
  <c r="M19781" i="6"/>
  <c r="M19782" i="6"/>
  <c r="M19783" i="6"/>
  <c r="M19784" i="6"/>
  <c r="M19785" i="6"/>
  <c r="M19786" i="6"/>
  <c r="M19787" i="6"/>
  <c r="M19788" i="6"/>
  <c r="M19789" i="6"/>
  <c r="M19790" i="6"/>
  <c r="M19791" i="6"/>
  <c r="M19792" i="6"/>
  <c r="M19793" i="6"/>
  <c r="M19794" i="6"/>
  <c r="M19795" i="6"/>
  <c r="M19796" i="6"/>
  <c r="M19797" i="6"/>
  <c r="M19798" i="6"/>
  <c r="M19799" i="6"/>
  <c r="M19800" i="6"/>
  <c r="M19801" i="6"/>
  <c r="M19802" i="6"/>
  <c r="M19803" i="6"/>
  <c r="M19804" i="6"/>
  <c r="M19805" i="6"/>
  <c r="M19806" i="6"/>
  <c r="M19807" i="6"/>
  <c r="M19808" i="6"/>
  <c r="M19809" i="6"/>
  <c r="M19810" i="6"/>
  <c r="M19811" i="6"/>
  <c r="M19812" i="6"/>
  <c r="M19813" i="6"/>
  <c r="M19814" i="6"/>
  <c r="M19815" i="6"/>
  <c r="M19816" i="6"/>
  <c r="M19817" i="6"/>
  <c r="M19818" i="6"/>
  <c r="M19819" i="6"/>
  <c r="M19820" i="6"/>
  <c r="M19821" i="6"/>
  <c r="M19822" i="6"/>
  <c r="M19823" i="6"/>
  <c r="M19824" i="6"/>
  <c r="M19825" i="6"/>
  <c r="M19826" i="6"/>
  <c r="M19827" i="6"/>
  <c r="M19828" i="6"/>
  <c r="M19829" i="6"/>
  <c r="M19830" i="6"/>
  <c r="M19831" i="6"/>
  <c r="M19832" i="6"/>
  <c r="M19833" i="6"/>
  <c r="M19834" i="6"/>
  <c r="M19835" i="6"/>
  <c r="M19836" i="6"/>
  <c r="M19837" i="6"/>
  <c r="M19838" i="6"/>
  <c r="M19839" i="6"/>
  <c r="M19840" i="6"/>
  <c r="M19841" i="6"/>
  <c r="M19842" i="6"/>
  <c r="M19843" i="6"/>
  <c r="M19844" i="6"/>
  <c r="M19845" i="6"/>
  <c r="M19846" i="6"/>
  <c r="M19847" i="6"/>
  <c r="M19848" i="6"/>
  <c r="M19849" i="6"/>
  <c r="M19850" i="6"/>
  <c r="M19851" i="6"/>
  <c r="M19852" i="6"/>
  <c r="M19853" i="6"/>
  <c r="M19854" i="6"/>
  <c r="M19855" i="6"/>
  <c r="M19856" i="6"/>
  <c r="M19857" i="6"/>
  <c r="M19858" i="6"/>
  <c r="M19859" i="6"/>
  <c r="M19860" i="6"/>
  <c r="M19861" i="6"/>
  <c r="M19862" i="6"/>
  <c r="M19863" i="6"/>
  <c r="M19864" i="6"/>
  <c r="M19865" i="6"/>
  <c r="M19866" i="6"/>
  <c r="M19867" i="6"/>
  <c r="M19868" i="6"/>
  <c r="M19869" i="6"/>
  <c r="M19870" i="6"/>
  <c r="M19871" i="6"/>
  <c r="M19872" i="6"/>
  <c r="M19873" i="6"/>
  <c r="M19874" i="6"/>
  <c r="M19875" i="6"/>
  <c r="M19876" i="6"/>
  <c r="M19877" i="6"/>
  <c r="M19878" i="6"/>
  <c r="M19879" i="6"/>
  <c r="M19880" i="6"/>
  <c r="M19881" i="6"/>
  <c r="M19882" i="6"/>
  <c r="M19883" i="6"/>
  <c r="M19884" i="6"/>
  <c r="M19885" i="6"/>
  <c r="M19886" i="6"/>
  <c r="M19887" i="6"/>
  <c r="M19888" i="6"/>
  <c r="M19889" i="6"/>
  <c r="M19890" i="6"/>
  <c r="M19891" i="6"/>
  <c r="M19892" i="6"/>
  <c r="M19893" i="6"/>
  <c r="M19894" i="6"/>
  <c r="M19895" i="6"/>
  <c r="M19896" i="6"/>
  <c r="M19897" i="6"/>
  <c r="M19898" i="6"/>
  <c r="M19899" i="6"/>
  <c r="M19900" i="6"/>
  <c r="M19901" i="6"/>
  <c r="M19902" i="6"/>
  <c r="M19903" i="6"/>
  <c r="M19904" i="6"/>
  <c r="M19905" i="6"/>
  <c r="M19906" i="6"/>
  <c r="M19907" i="6"/>
  <c r="M19908" i="6"/>
  <c r="M19909" i="6"/>
  <c r="M19910" i="6"/>
  <c r="M19911" i="6"/>
  <c r="M19912" i="6"/>
  <c r="M19913" i="6"/>
  <c r="M19914" i="6"/>
  <c r="M19915" i="6"/>
  <c r="M19916" i="6"/>
  <c r="M19917" i="6"/>
  <c r="M19918" i="6"/>
  <c r="M19919" i="6"/>
  <c r="M19920" i="6"/>
  <c r="M19921" i="6"/>
  <c r="M19922" i="6"/>
  <c r="M19923" i="6"/>
  <c r="M19924" i="6"/>
  <c r="M19925" i="6"/>
  <c r="M19926" i="6"/>
  <c r="M19927" i="6"/>
  <c r="M19928" i="6"/>
  <c r="M19929" i="6"/>
  <c r="M19930" i="6"/>
  <c r="M19931" i="6"/>
  <c r="M19932" i="6"/>
  <c r="M19933" i="6"/>
  <c r="M19934" i="6"/>
  <c r="M19935" i="6"/>
  <c r="M19936" i="6"/>
  <c r="M19937" i="6"/>
  <c r="M19938" i="6"/>
  <c r="M19939" i="6"/>
  <c r="M19940" i="6"/>
  <c r="M19941" i="6"/>
  <c r="M19942" i="6"/>
  <c r="M19943" i="6"/>
  <c r="M19944" i="6"/>
  <c r="M19945" i="6"/>
  <c r="M19946" i="6"/>
  <c r="M19947" i="6"/>
  <c r="M19948" i="6"/>
  <c r="M19949" i="6"/>
  <c r="M19950" i="6"/>
  <c r="M19951" i="6"/>
  <c r="M19952" i="6"/>
  <c r="M19953" i="6"/>
  <c r="M19954" i="6"/>
  <c r="M19955" i="6"/>
  <c r="M19956" i="6"/>
  <c r="M19957" i="6"/>
  <c r="M19958" i="6"/>
  <c r="M19959" i="6"/>
  <c r="M19960" i="6"/>
  <c r="M19961" i="6"/>
  <c r="M19962" i="6"/>
  <c r="M19963" i="6"/>
  <c r="M19964" i="6"/>
  <c r="M19965" i="6"/>
  <c r="M19966" i="6"/>
  <c r="M19967" i="6"/>
  <c r="M19968" i="6"/>
  <c r="M19969" i="6"/>
  <c r="M19970" i="6"/>
  <c r="M19971" i="6"/>
  <c r="M19972" i="6"/>
  <c r="M19973" i="6"/>
  <c r="M19974" i="6"/>
  <c r="M19975" i="6"/>
  <c r="M19976" i="6"/>
  <c r="M19977" i="6"/>
  <c r="M19978" i="6"/>
  <c r="M19979" i="6"/>
  <c r="M19980" i="6"/>
  <c r="M19981" i="6"/>
  <c r="M19982" i="6"/>
  <c r="M19983" i="6"/>
  <c r="M19984" i="6"/>
  <c r="M19985" i="6"/>
  <c r="M19986" i="6"/>
  <c r="M19987" i="6"/>
  <c r="M19988" i="6"/>
  <c r="M19989" i="6"/>
  <c r="M19990" i="6"/>
  <c r="M19991" i="6"/>
  <c r="M19992" i="6"/>
  <c r="M19993" i="6"/>
  <c r="M19994" i="6"/>
  <c r="M19995" i="6"/>
  <c r="M19996" i="6"/>
  <c r="M19997" i="6"/>
  <c r="M19998" i="6"/>
  <c r="M19999" i="6"/>
  <c r="M20000" i="6"/>
  <c r="M2" i="6"/>
  <c r="H2" i="6"/>
  <c r="H3" i="6"/>
  <c r="H4" i="6"/>
  <c r="G2" i="6"/>
  <c r="G3" i="6"/>
  <c r="M3" i="6" s="1"/>
  <c r="G4" i="6"/>
  <c r="M4" i="6" s="1"/>
  <c r="H5" i="6" l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H3005" i="6"/>
  <c r="H3006" i="6"/>
  <c r="H3007" i="6"/>
  <c r="H3008" i="6"/>
  <c r="H3009" i="6"/>
  <c r="H3010" i="6"/>
  <c r="H3011" i="6"/>
  <c r="H3012" i="6"/>
  <c r="H3013" i="6"/>
  <c r="H3014" i="6"/>
  <c r="H3015" i="6"/>
  <c r="H3016" i="6"/>
  <c r="H3017" i="6"/>
  <c r="H3018" i="6"/>
  <c r="H3019" i="6"/>
  <c r="H3020" i="6"/>
  <c r="H3021" i="6"/>
  <c r="H3022" i="6"/>
  <c r="H3023" i="6"/>
  <c r="H3024" i="6"/>
  <c r="H3025" i="6"/>
  <c r="H3026" i="6"/>
  <c r="H3027" i="6"/>
  <c r="H3028" i="6"/>
  <c r="H3029" i="6"/>
  <c r="H3030" i="6"/>
  <c r="H3031" i="6"/>
  <c r="H3032" i="6"/>
  <c r="H3033" i="6"/>
  <c r="H3034" i="6"/>
  <c r="H3035" i="6"/>
  <c r="H3036" i="6"/>
  <c r="H3037" i="6"/>
  <c r="H3038" i="6"/>
  <c r="H3039" i="6"/>
  <c r="H3040" i="6"/>
  <c r="H3041" i="6"/>
  <c r="H3042" i="6"/>
  <c r="H3043" i="6"/>
  <c r="H3044" i="6"/>
  <c r="H3045" i="6"/>
  <c r="H3046" i="6"/>
  <c r="H3047" i="6"/>
  <c r="H3048" i="6"/>
  <c r="H3049" i="6"/>
  <c r="H3050" i="6"/>
  <c r="H3051" i="6"/>
  <c r="H3052" i="6"/>
  <c r="H3053" i="6"/>
  <c r="H3054" i="6"/>
  <c r="H3055" i="6"/>
  <c r="H3056" i="6"/>
  <c r="H3057" i="6"/>
  <c r="H3058" i="6"/>
  <c r="H3059" i="6"/>
  <c r="H3060" i="6"/>
  <c r="H3061" i="6"/>
  <c r="H3062" i="6"/>
  <c r="H3063" i="6"/>
  <c r="H3064" i="6"/>
  <c r="H3065" i="6"/>
  <c r="H3066" i="6"/>
  <c r="H3067" i="6"/>
  <c r="H3068" i="6"/>
  <c r="H3069" i="6"/>
  <c r="H3070" i="6"/>
  <c r="H3071" i="6"/>
  <c r="H3072" i="6"/>
  <c r="H3073" i="6"/>
  <c r="H3074" i="6"/>
  <c r="H3075" i="6"/>
  <c r="H3076" i="6"/>
  <c r="H3077" i="6"/>
  <c r="H3078" i="6"/>
  <c r="H3079" i="6"/>
  <c r="H3080" i="6"/>
  <c r="H3081" i="6"/>
  <c r="H3082" i="6"/>
  <c r="H3083" i="6"/>
  <c r="H3084" i="6"/>
  <c r="H3085" i="6"/>
  <c r="H3086" i="6"/>
  <c r="H3087" i="6"/>
  <c r="H3088" i="6"/>
  <c r="H3089" i="6"/>
  <c r="H3090" i="6"/>
  <c r="H3091" i="6"/>
  <c r="H3092" i="6"/>
  <c r="H3093" i="6"/>
  <c r="H3094" i="6"/>
  <c r="H3095" i="6"/>
  <c r="H3096" i="6"/>
  <c r="H3097" i="6"/>
  <c r="H3098" i="6"/>
  <c r="H3099" i="6"/>
  <c r="H3100" i="6"/>
  <c r="H3101" i="6"/>
  <c r="H3102" i="6"/>
  <c r="H3103" i="6"/>
  <c r="H3104" i="6"/>
  <c r="H3105" i="6"/>
  <c r="H3106" i="6"/>
  <c r="H3107" i="6"/>
  <c r="H3108" i="6"/>
  <c r="H3109" i="6"/>
  <c r="H3110" i="6"/>
  <c r="H3111" i="6"/>
  <c r="H3112" i="6"/>
  <c r="H3113" i="6"/>
  <c r="H3114" i="6"/>
  <c r="H3115" i="6"/>
  <c r="H3116" i="6"/>
  <c r="H3117" i="6"/>
  <c r="H3118" i="6"/>
  <c r="H3119" i="6"/>
  <c r="H3120" i="6"/>
  <c r="H3121" i="6"/>
  <c r="H3122" i="6"/>
  <c r="H3123" i="6"/>
  <c r="H3124" i="6"/>
  <c r="H3125" i="6"/>
  <c r="H3126" i="6"/>
  <c r="H3127" i="6"/>
  <c r="H3128" i="6"/>
  <c r="H3129" i="6"/>
  <c r="H3130" i="6"/>
  <c r="H3131" i="6"/>
  <c r="H3132" i="6"/>
  <c r="H3133" i="6"/>
  <c r="H3134" i="6"/>
  <c r="H3135" i="6"/>
  <c r="H3136" i="6"/>
  <c r="H3137" i="6"/>
  <c r="H3138" i="6"/>
  <c r="H3139" i="6"/>
  <c r="H3140" i="6"/>
  <c r="H3141" i="6"/>
  <c r="H3142" i="6"/>
  <c r="H3143" i="6"/>
  <c r="H3144" i="6"/>
  <c r="H3145" i="6"/>
  <c r="H3146" i="6"/>
  <c r="H3147" i="6"/>
  <c r="H3148" i="6"/>
  <c r="H3149" i="6"/>
  <c r="H3150" i="6"/>
  <c r="H3151" i="6"/>
  <c r="H3152" i="6"/>
  <c r="H3153" i="6"/>
  <c r="H3154" i="6"/>
  <c r="H3155" i="6"/>
  <c r="H3156" i="6"/>
  <c r="H3157" i="6"/>
  <c r="H3158" i="6"/>
  <c r="H3159" i="6"/>
  <c r="H3160" i="6"/>
  <c r="H3161" i="6"/>
  <c r="H3162" i="6"/>
  <c r="H3163" i="6"/>
  <c r="H3164" i="6"/>
  <c r="H3165" i="6"/>
  <c r="H3166" i="6"/>
  <c r="H3167" i="6"/>
  <c r="H3168" i="6"/>
  <c r="H3169" i="6"/>
  <c r="H3170" i="6"/>
  <c r="H3171" i="6"/>
  <c r="H3172" i="6"/>
  <c r="H3173" i="6"/>
  <c r="H3174" i="6"/>
  <c r="H3175" i="6"/>
  <c r="H3176" i="6"/>
  <c r="H3177" i="6"/>
  <c r="H3178" i="6"/>
  <c r="H3179" i="6"/>
  <c r="H3180" i="6"/>
  <c r="H3181" i="6"/>
  <c r="H3182" i="6"/>
  <c r="H3183" i="6"/>
  <c r="H3184" i="6"/>
  <c r="H3185" i="6"/>
  <c r="H3186" i="6"/>
  <c r="H3187" i="6"/>
  <c r="H3188" i="6"/>
  <c r="H3189" i="6"/>
  <c r="H3190" i="6"/>
  <c r="H3191" i="6"/>
  <c r="H3192" i="6"/>
  <c r="H3193" i="6"/>
  <c r="H3194" i="6"/>
  <c r="H3195" i="6"/>
  <c r="H3196" i="6"/>
  <c r="H3197" i="6"/>
  <c r="H3198" i="6"/>
  <c r="H3199" i="6"/>
  <c r="H3200" i="6"/>
  <c r="H3201" i="6"/>
  <c r="H3202" i="6"/>
  <c r="H3203" i="6"/>
  <c r="H3204" i="6"/>
  <c r="H3205" i="6"/>
  <c r="H3206" i="6"/>
  <c r="H3207" i="6"/>
  <c r="H3208" i="6"/>
  <c r="H3209" i="6"/>
  <c r="H3210" i="6"/>
  <c r="H3211" i="6"/>
  <c r="H3212" i="6"/>
  <c r="H3213" i="6"/>
  <c r="H3214" i="6"/>
  <c r="H3215" i="6"/>
  <c r="H3216" i="6"/>
  <c r="H3217" i="6"/>
  <c r="H3218" i="6"/>
  <c r="H3219" i="6"/>
  <c r="H3220" i="6"/>
  <c r="H3221" i="6"/>
  <c r="H3222" i="6"/>
  <c r="H3223" i="6"/>
  <c r="H3224" i="6"/>
  <c r="H3225" i="6"/>
  <c r="H3226" i="6"/>
  <c r="H3227" i="6"/>
  <c r="H3228" i="6"/>
  <c r="H3229" i="6"/>
  <c r="H3230" i="6"/>
  <c r="H3231" i="6"/>
  <c r="H3232" i="6"/>
  <c r="H3233" i="6"/>
  <c r="H3234" i="6"/>
  <c r="H3235" i="6"/>
  <c r="H3236" i="6"/>
  <c r="H3237" i="6"/>
  <c r="H3238" i="6"/>
  <c r="H3239" i="6"/>
  <c r="H3240" i="6"/>
  <c r="H3241" i="6"/>
  <c r="H3242" i="6"/>
  <c r="H3243" i="6"/>
  <c r="H3244" i="6"/>
  <c r="H3245" i="6"/>
  <c r="H3246" i="6"/>
  <c r="H3247" i="6"/>
  <c r="H3248" i="6"/>
  <c r="H3249" i="6"/>
  <c r="H3250" i="6"/>
  <c r="H3251" i="6"/>
  <c r="H3252" i="6"/>
  <c r="H3253" i="6"/>
  <c r="H3254" i="6"/>
  <c r="H3255" i="6"/>
  <c r="H3256" i="6"/>
  <c r="H3257" i="6"/>
  <c r="H3258" i="6"/>
  <c r="H3259" i="6"/>
  <c r="H3260" i="6"/>
  <c r="H3261" i="6"/>
  <c r="H3262" i="6"/>
  <c r="H3263" i="6"/>
  <c r="H3264" i="6"/>
  <c r="H3265" i="6"/>
  <c r="H3266" i="6"/>
  <c r="H3267" i="6"/>
  <c r="H3268" i="6"/>
  <c r="H3269" i="6"/>
  <c r="H3270" i="6"/>
  <c r="H3271" i="6"/>
  <c r="H3272" i="6"/>
  <c r="H3273" i="6"/>
  <c r="H3274" i="6"/>
  <c r="H3275" i="6"/>
  <c r="H3276" i="6"/>
  <c r="H3277" i="6"/>
  <c r="H3278" i="6"/>
  <c r="H3279" i="6"/>
  <c r="H3280" i="6"/>
  <c r="H3281" i="6"/>
  <c r="H3282" i="6"/>
  <c r="H3283" i="6"/>
  <c r="H3284" i="6"/>
  <c r="H3285" i="6"/>
  <c r="H3286" i="6"/>
  <c r="H3287" i="6"/>
  <c r="H3288" i="6"/>
  <c r="H3289" i="6"/>
  <c r="H3290" i="6"/>
  <c r="H3291" i="6"/>
  <c r="H3292" i="6"/>
  <c r="H3293" i="6"/>
  <c r="H3294" i="6"/>
  <c r="H3295" i="6"/>
  <c r="H3296" i="6"/>
  <c r="H3297" i="6"/>
  <c r="H3298" i="6"/>
  <c r="H3299" i="6"/>
  <c r="H3300" i="6"/>
  <c r="H3301" i="6"/>
  <c r="H3302" i="6"/>
  <c r="H3303" i="6"/>
  <c r="H3304" i="6"/>
  <c r="H3305" i="6"/>
  <c r="H3306" i="6"/>
  <c r="H3307" i="6"/>
  <c r="H3308" i="6"/>
  <c r="H3309" i="6"/>
  <c r="H3310" i="6"/>
  <c r="H3311" i="6"/>
  <c r="H3312" i="6"/>
  <c r="H3313" i="6"/>
  <c r="H3314" i="6"/>
  <c r="H3315" i="6"/>
  <c r="H3316" i="6"/>
  <c r="H3317" i="6"/>
  <c r="H3318" i="6"/>
  <c r="H3319" i="6"/>
  <c r="H3320" i="6"/>
  <c r="H3321" i="6"/>
  <c r="H3322" i="6"/>
  <c r="H3323" i="6"/>
  <c r="H3324" i="6"/>
  <c r="H3325" i="6"/>
  <c r="H3326" i="6"/>
  <c r="H3327" i="6"/>
  <c r="H3328" i="6"/>
  <c r="H3329" i="6"/>
  <c r="H3330" i="6"/>
  <c r="H3331" i="6"/>
  <c r="H3332" i="6"/>
  <c r="H3333" i="6"/>
  <c r="H3334" i="6"/>
  <c r="H3335" i="6"/>
  <c r="H3336" i="6"/>
  <c r="H3337" i="6"/>
  <c r="H3338" i="6"/>
  <c r="H3339" i="6"/>
  <c r="H3340" i="6"/>
  <c r="H3341" i="6"/>
  <c r="H3342" i="6"/>
  <c r="H3343" i="6"/>
  <c r="H3344" i="6"/>
  <c r="H3345" i="6"/>
  <c r="H3346" i="6"/>
  <c r="H3347" i="6"/>
  <c r="H3348" i="6"/>
  <c r="H3349" i="6"/>
  <c r="H3350" i="6"/>
  <c r="H3351" i="6"/>
  <c r="H3352" i="6"/>
  <c r="H3353" i="6"/>
  <c r="H3354" i="6"/>
  <c r="H3355" i="6"/>
  <c r="H3356" i="6"/>
  <c r="H3357" i="6"/>
  <c r="H3358" i="6"/>
  <c r="H3359" i="6"/>
  <c r="H3360" i="6"/>
  <c r="H3361" i="6"/>
  <c r="H3362" i="6"/>
  <c r="H3363" i="6"/>
  <c r="H3364" i="6"/>
  <c r="H3365" i="6"/>
  <c r="H3366" i="6"/>
  <c r="H3367" i="6"/>
  <c r="H3368" i="6"/>
  <c r="H3369" i="6"/>
  <c r="H3370" i="6"/>
  <c r="H3371" i="6"/>
  <c r="H3372" i="6"/>
  <c r="H3373" i="6"/>
  <c r="H3374" i="6"/>
  <c r="H3375" i="6"/>
  <c r="H3376" i="6"/>
  <c r="H3377" i="6"/>
  <c r="H3378" i="6"/>
  <c r="H3379" i="6"/>
  <c r="H3380" i="6"/>
  <c r="H3381" i="6"/>
  <c r="H3382" i="6"/>
  <c r="H3383" i="6"/>
  <c r="H3384" i="6"/>
  <c r="H3385" i="6"/>
  <c r="H3386" i="6"/>
  <c r="H3387" i="6"/>
  <c r="H3388" i="6"/>
  <c r="H3389" i="6"/>
  <c r="H3390" i="6"/>
  <c r="H3391" i="6"/>
  <c r="H3392" i="6"/>
  <c r="H3393" i="6"/>
  <c r="H3394" i="6"/>
  <c r="H3395" i="6"/>
  <c r="H3396" i="6"/>
  <c r="H3397" i="6"/>
  <c r="H3398" i="6"/>
  <c r="H3399" i="6"/>
  <c r="H3400" i="6"/>
  <c r="H3401" i="6"/>
  <c r="H3402" i="6"/>
  <c r="H3403" i="6"/>
  <c r="H3404" i="6"/>
  <c r="H3405" i="6"/>
  <c r="H3406" i="6"/>
  <c r="H3407" i="6"/>
  <c r="H3408" i="6"/>
  <c r="H3409" i="6"/>
  <c r="H3410" i="6"/>
  <c r="H3411" i="6"/>
  <c r="H3412" i="6"/>
  <c r="H3413" i="6"/>
  <c r="H3414" i="6"/>
  <c r="H3415" i="6"/>
  <c r="H3416" i="6"/>
  <c r="H3417" i="6"/>
  <c r="H3418" i="6"/>
  <c r="H3419" i="6"/>
  <c r="H3420" i="6"/>
  <c r="H3421" i="6"/>
  <c r="H3422" i="6"/>
  <c r="H3423" i="6"/>
  <c r="H3424" i="6"/>
  <c r="H3425" i="6"/>
  <c r="H3426" i="6"/>
  <c r="H3427" i="6"/>
  <c r="H3428" i="6"/>
  <c r="H3429" i="6"/>
  <c r="H3430" i="6"/>
  <c r="H3431" i="6"/>
  <c r="H3432" i="6"/>
  <c r="H3433" i="6"/>
  <c r="H3434" i="6"/>
  <c r="H3435" i="6"/>
  <c r="H3436" i="6"/>
  <c r="H3437" i="6"/>
  <c r="H3438" i="6"/>
  <c r="H3439" i="6"/>
  <c r="H3440" i="6"/>
  <c r="H3441" i="6"/>
  <c r="H3442" i="6"/>
  <c r="H3443" i="6"/>
  <c r="H3444" i="6"/>
  <c r="H3445" i="6"/>
  <c r="H3446" i="6"/>
  <c r="H3447" i="6"/>
  <c r="H3448" i="6"/>
  <c r="H3449" i="6"/>
  <c r="H3450" i="6"/>
  <c r="H3451" i="6"/>
  <c r="H3452" i="6"/>
  <c r="H3453" i="6"/>
  <c r="H3454" i="6"/>
  <c r="H3455" i="6"/>
  <c r="H3456" i="6"/>
  <c r="H3457" i="6"/>
  <c r="H3458" i="6"/>
  <c r="H3459" i="6"/>
  <c r="H3460" i="6"/>
  <c r="H3461" i="6"/>
  <c r="H3462" i="6"/>
  <c r="H3463" i="6"/>
  <c r="H3464" i="6"/>
  <c r="H3465" i="6"/>
  <c r="H3466" i="6"/>
  <c r="H3467" i="6"/>
  <c r="H3468" i="6"/>
  <c r="H3469" i="6"/>
  <c r="H3470" i="6"/>
  <c r="H3471" i="6"/>
  <c r="H3472" i="6"/>
  <c r="H3473" i="6"/>
  <c r="H3474" i="6"/>
  <c r="H3475" i="6"/>
  <c r="H3476" i="6"/>
  <c r="H3477" i="6"/>
  <c r="H3478" i="6"/>
  <c r="H3479" i="6"/>
  <c r="H3480" i="6"/>
  <c r="H3481" i="6"/>
  <c r="H3482" i="6"/>
  <c r="H3483" i="6"/>
  <c r="H3484" i="6"/>
  <c r="H3485" i="6"/>
  <c r="H3486" i="6"/>
  <c r="H3487" i="6"/>
  <c r="H3488" i="6"/>
  <c r="H3489" i="6"/>
  <c r="H3490" i="6"/>
  <c r="H3491" i="6"/>
  <c r="H3492" i="6"/>
  <c r="H3493" i="6"/>
  <c r="H3494" i="6"/>
  <c r="H3495" i="6"/>
  <c r="H3496" i="6"/>
  <c r="H3497" i="6"/>
  <c r="H3498" i="6"/>
  <c r="H3499" i="6"/>
  <c r="H3500" i="6"/>
  <c r="H3501" i="6"/>
  <c r="H3502" i="6"/>
  <c r="H3503" i="6"/>
  <c r="H3504" i="6"/>
  <c r="H3505" i="6"/>
  <c r="H3506" i="6"/>
  <c r="H3507" i="6"/>
  <c r="H3508" i="6"/>
  <c r="H3509" i="6"/>
  <c r="H3510" i="6"/>
  <c r="H3511" i="6"/>
  <c r="H3512" i="6"/>
  <c r="H3513" i="6"/>
  <c r="H3514" i="6"/>
  <c r="H3515" i="6"/>
  <c r="H3516" i="6"/>
  <c r="H3517" i="6"/>
  <c r="H3518" i="6"/>
  <c r="H3519" i="6"/>
  <c r="H3520" i="6"/>
  <c r="H3521" i="6"/>
  <c r="H3522" i="6"/>
  <c r="H3523" i="6"/>
  <c r="H3524" i="6"/>
  <c r="H3525" i="6"/>
  <c r="H3526" i="6"/>
  <c r="H3527" i="6"/>
  <c r="H3528" i="6"/>
  <c r="H3529" i="6"/>
  <c r="H3530" i="6"/>
  <c r="H3531" i="6"/>
  <c r="H3532" i="6"/>
  <c r="H3533" i="6"/>
  <c r="H3534" i="6"/>
  <c r="H3535" i="6"/>
  <c r="H3536" i="6"/>
  <c r="H3537" i="6"/>
  <c r="H3538" i="6"/>
  <c r="H3539" i="6"/>
  <c r="H3540" i="6"/>
  <c r="H3541" i="6"/>
  <c r="H3542" i="6"/>
  <c r="H3543" i="6"/>
  <c r="H3544" i="6"/>
  <c r="H3545" i="6"/>
  <c r="H3546" i="6"/>
  <c r="H3547" i="6"/>
  <c r="H3548" i="6"/>
  <c r="H3549" i="6"/>
  <c r="H3550" i="6"/>
  <c r="H3551" i="6"/>
  <c r="H3552" i="6"/>
  <c r="H3553" i="6"/>
  <c r="H3554" i="6"/>
  <c r="H3555" i="6"/>
  <c r="H3556" i="6"/>
  <c r="H3557" i="6"/>
  <c r="H3558" i="6"/>
  <c r="H3559" i="6"/>
  <c r="H3560" i="6"/>
  <c r="H3561" i="6"/>
  <c r="H3562" i="6"/>
  <c r="H3563" i="6"/>
  <c r="H3564" i="6"/>
  <c r="H3565" i="6"/>
  <c r="H3566" i="6"/>
  <c r="H3567" i="6"/>
  <c r="H3568" i="6"/>
  <c r="H3569" i="6"/>
  <c r="H3570" i="6"/>
  <c r="H3571" i="6"/>
  <c r="H3572" i="6"/>
  <c r="H3573" i="6"/>
  <c r="H3574" i="6"/>
  <c r="H3575" i="6"/>
  <c r="H3576" i="6"/>
  <c r="H3577" i="6"/>
  <c r="H3578" i="6"/>
  <c r="H3579" i="6"/>
  <c r="H3580" i="6"/>
  <c r="H3581" i="6"/>
  <c r="H3582" i="6"/>
  <c r="H3583" i="6"/>
  <c r="H3584" i="6"/>
  <c r="H3585" i="6"/>
  <c r="H3586" i="6"/>
  <c r="H3587" i="6"/>
  <c r="H3588" i="6"/>
  <c r="H3589" i="6"/>
  <c r="H3590" i="6"/>
  <c r="H3591" i="6"/>
  <c r="H3592" i="6"/>
  <c r="H3593" i="6"/>
  <c r="H3594" i="6"/>
  <c r="H3595" i="6"/>
  <c r="H3596" i="6"/>
  <c r="H3597" i="6"/>
  <c r="H3598" i="6"/>
  <c r="H3599" i="6"/>
  <c r="H3600" i="6"/>
  <c r="H3601" i="6"/>
  <c r="H3602" i="6"/>
  <c r="H3603" i="6"/>
  <c r="H3604" i="6"/>
  <c r="H3605" i="6"/>
  <c r="H3606" i="6"/>
  <c r="H3607" i="6"/>
  <c r="H3608" i="6"/>
  <c r="H3609" i="6"/>
  <c r="H3610" i="6"/>
  <c r="H3611" i="6"/>
  <c r="H3612" i="6"/>
  <c r="H3613" i="6"/>
  <c r="H3614" i="6"/>
  <c r="H3615" i="6"/>
  <c r="H3616" i="6"/>
  <c r="H3617" i="6"/>
  <c r="H3618" i="6"/>
  <c r="H3619" i="6"/>
  <c r="H3620" i="6"/>
  <c r="H3621" i="6"/>
  <c r="H3622" i="6"/>
  <c r="H3623" i="6"/>
  <c r="H3624" i="6"/>
  <c r="H3625" i="6"/>
  <c r="H3626" i="6"/>
  <c r="H3627" i="6"/>
  <c r="H3628" i="6"/>
  <c r="H3629" i="6"/>
  <c r="H3630" i="6"/>
  <c r="H3631" i="6"/>
  <c r="H3632" i="6"/>
  <c r="H3633" i="6"/>
  <c r="H3634" i="6"/>
  <c r="H3635" i="6"/>
  <c r="H3636" i="6"/>
  <c r="H3637" i="6"/>
  <c r="H3638" i="6"/>
  <c r="H3639" i="6"/>
  <c r="H3640" i="6"/>
  <c r="H3641" i="6"/>
  <c r="H3642" i="6"/>
  <c r="H3643" i="6"/>
  <c r="H3644" i="6"/>
  <c r="H3645" i="6"/>
  <c r="H3646" i="6"/>
  <c r="H3647" i="6"/>
  <c r="H3648" i="6"/>
  <c r="H3649" i="6"/>
  <c r="H3650" i="6"/>
  <c r="H3651" i="6"/>
  <c r="H3652" i="6"/>
  <c r="H3653" i="6"/>
  <c r="H3654" i="6"/>
  <c r="H3655" i="6"/>
  <c r="H3656" i="6"/>
  <c r="H3657" i="6"/>
  <c r="H3658" i="6"/>
  <c r="H3659" i="6"/>
  <c r="H3660" i="6"/>
  <c r="H3661" i="6"/>
  <c r="H3662" i="6"/>
  <c r="H3663" i="6"/>
  <c r="H3664" i="6"/>
  <c r="H3665" i="6"/>
  <c r="H3666" i="6"/>
  <c r="H3667" i="6"/>
  <c r="H3668" i="6"/>
  <c r="H3669" i="6"/>
  <c r="H3670" i="6"/>
  <c r="H3671" i="6"/>
  <c r="H3672" i="6"/>
  <c r="H3673" i="6"/>
  <c r="H3674" i="6"/>
  <c r="H3675" i="6"/>
  <c r="H3676" i="6"/>
  <c r="H3677" i="6"/>
  <c r="H3678" i="6"/>
  <c r="H3679" i="6"/>
  <c r="H3680" i="6"/>
  <c r="H3681" i="6"/>
  <c r="H3682" i="6"/>
  <c r="H3683" i="6"/>
  <c r="H3684" i="6"/>
  <c r="H3685" i="6"/>
  <c r="H3686" i="6"/>
  <c r="H3687" i="6"/>
  <c r="H3688" i="6"/>
  <c r="H3689" i="6"/>
  <c r="H3690" i="6"/>
  <c r="H3691" i="6"/>
  <c r="H3692" i="6"/>
  <c r="H3693" i="6"/>
  <c r="H3694" i="6"/>
  <c r="H3695" i="6"/>
  <c r="H3696" i="6"/>
  <c r="H3697" i="6"/>
  <c r="H3698" i="6"/>
  <c r="H3699" i="6"/>
  <c r="H3700" i="6"/>
  <c r="H3701" i="6"/>
  <c r="H3702" i="6"/>
  <c r="H3703" i="6"/>
  <c r="H3704" i="6"/>
  <c r="H3705" i="6"/>
  <c r="H3706" i="6"/>
  <c r="H3707" i="6"/>
  <c r="H3708" i="6"/>
  <c r="H3709" i="6"/>
  <c r="H3710" i="6"/>
  <c r="H3711" i="6"/>
  <c r="H3712" i="6"/>
  <c r="H3713" i="6"/>
  <c r="H3714" i="6"/>
  <c r="H3715" i="6"/>
  <c r="H3716" i="6"/>
  <c r="H3717" i="6"/>
  <c r="H3718" i="6"/>
  <c r="H3719" i="6"/>
  <c r="H3720" i="6"/>
  <c r="H3721" i="6"/>
  <c r="H3722" i="6"/>
  <c r="H3723" i="6"/>
  <c r="H3724" i="6"/>
  <c r="H3725" i="6"/>
  <c r="H3726" i="6"/>
  <c r="H3727" i="6"/>
  <c r="H3728" i="6"/>
  <c r="H3729" i="6"/>
  <c r="H3730" i="6"/>
  <c r="H3731" i="6"/>
  <c r="H3732" i="6"/>
  <c r="H3733" i="6"/>
  <c r="H3734" i="6"/>
  <c r="H3735" i="6"/>
  <c r="H3736" i="6"/>
  <c r="H3737" i="6"/>
  <c r="H3738" i="6"/>
  <c r="H3739" i="6"/>
  <c r="H3740" i="6"/>
  <c r="H3741" i="6"/>
  <c r="H3742" i="6"/>
  <c r="H3743" i="6"/>
  <c r="H3744" i="6"/>
  <c r="H3745" i="6"/>
  <c r="H3746" i="6"/>
  <c r="H3747" i="6"/>
  <c r="H3748" i="6"/>
  <c r="H3749" i="6"/>
  <c r="H3750" i="6"/>
  <c r="H3751" i="6"/>
  <c r="H3752" i="6"/>
  <c r="H3753" i="6"/>
  <c r="H3754" i="6"/>
  <c r="H3755" i="6"/>
  <c r="H3756" i="6"/>
  <c r="H3757" i="6"/>
  <c r="H3758" i="6"/>
  <c r="H3759" i="6"/>
  <c r="H3760" i="6"/>
  <c r="H3761" i="6"/>
  <c r="H3762" i="6"/>
  <c r="H3763" i="6"/>
  <c r="H3764" i="6"/>
  <c r="H3765" i="6"/>
  <c r="H3766" i="6"/>
  <c r="H3767" i="6"/>
  <c r="H3768" i="6"/>
  <c r="H3769" i="6"/>
  <c r="H3770" i="6"/>
  <c r="H3771" i="6"/>
  <c r="H3772" i="6"/>
  <c r="H3773" i="6"/>
  <c r="H3774" i="6"/>
  <c r="H3775" i="6"/>
  <c r="H3776" i="6"/>
  <c r="H3777" i="6"/>
  <c r="H3778" i="6"/>
  <c r="H3779" i="6"/>
  <c r="H3780" i="6"/>
  <c r="H3781" i="6"/>
  <c r="H3782" i="6"/>
  <c r="H3783" i="6"/>
  <c r="H3784" i="6"/>
  <c r="H3785" i="6"/>
  <c r="H3786" i="6"/>
  <c r="H3787" i="6"/>
  <c r="H3788" i="6"/>
  <c r="H3789" i="6"/>
  <c r="H3790" i="6"/>
  <c r="H3791" i="6"/>
  <c r="H3792" i="6"/>
  <c r="H3793" i="6"/>
  <c r="H3794" i="6"/>
  <c r="H3795" i="6"/>
  <c r="H3796" i="6"/>
  <c r="H3797" i="6"/>
  <c r="H3798" i="6"/>
  <c r="H3799" i="6"/>
  <c r="H3800" i="6"/>
  <c r="H3801" i="6"/>
  <c r="H3802" i="6"/>
  <c r="H3803" i="6"/>
  <c r="H3804" i="6"/>
  <c r="H3805" i="6"/>
  <c r="H3806" i="6"/>
  <c r="H3807" i="6"/>
  <c r="H3808" i="6"/>
  <c r="H3809" i="6"/>
  <c r="H3810" i="6"/>
  <c r="H3811" i="6"/>
  <c r="H3812" i="6"/>
  <c r="H3813" i="6"/>
  <c r="H3814" i="6"/>
  <c r="H3815" i="6"/>
  <c r="H3816" i="6"/>
  <c r="H3817" i="6"/>
  <c r="H3818" i="6"/>
  <c r="H3819" i="6"/>
  <c r="H3820" i="6"/>
  <c r="H3821" i="6"/>
  <c r="H3822" i="6"/>
  <c r="H3823" i="6"/>
  <c r="H3824" i="6"/>
  <c r="H3825" i="6"/>
  <c r="H3826" i="6"/>
  <c r="H3827" i="6"/>
  <c r="H3828" i="6"/>
  <c r="H3829" i="6"/>
  <c r="H3830" i="6"/>
  <c r="H3831" i="6"/>
  <c r="H3832" i="6"/>
  <c r="H3833" i="6"/>
  <c r="H3834" i="6"/>
  <c r="H3835" i="6"/>
  <c r="H3836" i="6"/>
  <c r="H3837" i="6"/>
  <c r="H3838" i="6"/>
  <c r="H3839" i="6"/>
  <c r="H3840" i="6"/>
  <c r="H3841" i="6"/>
  <c r="H3842" i="6"/>
  <c r="H3843" i="6"/>
  <c r="H3844" i="6"/>
  <c r="H3845" i="6"/>
  <c r="H3846" i="6"/>
  <c r="H3847" i="6"/>
  <c r="H3848" i="6"/>
  <c r="H3849" i="6"/>
  <c r="H3850" i="6"/>
  <c r="H3851" i="6"/>
  <c r="H3852" i="6"/>
  <c r="H3853" i="6"/>
  <c r="H3854" i="6"/>
  <c r="H3855" i="6"/>
  <c r="H3856" i="6"/>
  <c r="H3857" i="6"/>
  <c r="H3858" i="6"/>
  <c r="H3859" i="6"/>
  <c r="H3860" i="6"/>
  <c r="H3861" i="6"/>
  <c r="H3862" i="6"/>
  <c r="H3863" i="6"/>
  <c r="H3864" i="6"/>
  <c r="H3865" i="6"/>
  <c r="H3866" i="6"/>
  <c r="H3867" i="6"/>
  <c r="H3868" i="6"/>
  <c r="H3869" i="6"/>
  <c r="H3870" i="6"/>
  <c r="H3871" i="6"/>
  <c r="H3872" i="6"/>
  <c r="H3873" i="6"/>
  <c r="H3874" i="6"/>
  <c r="H3875" i="6"/>
  <c r="H3876" i="6"/>
  <c r="H3877" i="6"/>
  <c r="H3878" i="6"/>
  <c r="H3879" i="6"/>
  <c r="H3880" i="6"/>
  <c r="H3881" i="6"/>
  <c r="H3882" i="6"/>
  <c r="H3883" i="6"/>
  <c r="H3884" i="6"/>
  <c r="H3885" i="6"/>
  <c r="H3886" i="6"/>
  <c r="H3887" i="6"/>
  <c r="H3888" i="6"/>
  <c r="H3889" i="6"/>
  <c r="H3890" i="6"/>
  <c r="H3891" i="6"/>
  <c r="H3892" i="6"/>
  <c r="H3893" i="6"/>
  <c r="H3894" i="6"/>
  <c r="H3895" i="6"/>
  <c r="H3896" i="6"/>
  <c r="H3897" i="6"/>
  <c r="H3898" i="6"/>
  <c r="H3899" i="6"/>
  <c r="H3900" i="6"/>
  <c r="H3901" i="6"/>
  <c r="H3902" i="6"/>
  <c r="H3903" i="6"/>
  <c r="H3904" i="6"/>
  <c r="H3905" i="6"/>
  <c r="H3906" i="6"/>
  <c r="H3907" i="6"/>
  <c r="H3908" i="6"/>
  <c r="H3909" i="6"/>
  <c r="H3910" i="6"/>
  <c r="H3911" i="6"/>
  <c r="H3912" i="6"/>
  <c r="H3913" i="6"/>
  <c r="H3914" i="6"/>
  <c r="H3915" i="6"/>
  <c r="H3916" i="6"/>
  <c r="H3917" i="6"/>
  <c r="H3918" i="6"/>
  <c r="H3919" i="6"/>
  <c r="H3920" i="6"/>
  <c r="H3921" i="6"/>
  <c r="H3922" i="6"/>
  <c r="H3923" i="6"/>
  <c r="H3924" i="6"/>
  <c r="H3925" i="6"/>
  <c r="H3926" i="6"/>
  <c r="H3927" i="6"/>
  <c r="H3928" i="6"/>
  <c r="H3929" i="6"/>
  <c r="H3930" i="6"/>
  <c r="H3931" i="6"/>
  <c r="H3932" i="6"/>
  <c r="H3933" i="6"/>
  <c r="H3934" i="6"/>
  <c r="H3935" i="6"/>
  <c r="H3936" i="6"/>
  <c r="H3937" i="6"/>
  <c r="H3938" i="6"/>
  <c r="H3939" i="6"/>
  <c r="H3940" i="6"/>
  <c r="H3941" i="6"/>
  <c r="H3942" i="6"/>
  <c r="H3943" i="6"/>
  <c r="H3944" i="6"/>
  <c r="H3945" i="6"/>
  <c r="H3946" i="6"/>
  <c r="H3947" i="6"/>
  <c r="H3948" i="6"/>
  <c r="H3949" i="6"/>
  <c r="H3950" i="6"/>
  <c r="H3951" i="6"/>
  <c r="H3952" i="6"/>
  <c r="H3953" i="6"/>
  <c r="H3954" i="6"/>
  <c r="H3955" i="6"/>
  <c r="H3956" i="6"/>
  <c r="H3957" i="6"/>
  <c r="H3958" i="6"/>
  <c r="H3959" i="6"/>
  <c r="H3960" i="6"/>
  <c r="H3961" i="6"/>
  <c r="H3962" i="6"/>
  <c r="H3963" i="6"/>
  <c r="H3964" i="6"/>
  <c r="H3965" i="6"/>
  <c r="H3966" i="6"/>
  <c r="H3967" i="6"/>
  <c r="H3968" i="6"/>
  <c r="H3969" i="6"/>
  <c r="H3970" i="6"/>
  <c r="H3971" i="6"/>
  <c r="H3972" i="6"/>
  <c r="H3973" i="6"/>
  <c r="H3974" i="6"/>
  <c r="H3975" i="6"/>
  <c r="H3976" i="6"/>
  <c r="H3977" i="6"/>
  <c r="H3978" i="6"/>
  <c r="H3979" i="6"/>
  <c r="H3980" i="6"/>
  <c r="H3981" i="6"/>
  <c r="H3982" i="6"/>
  <c r="H3983" i="6"/>
  <c r="H3984" i="6"/>
  <c r="H3985" i="6"/>
  <c r="H3986" i="6"/>
  <c r="H3987" i="6"/>
  <c r="H3988" i="6"/>
  <c r="H3989" i="6"/>
  <c r="H3990" i="6"/>
  <c r="H3991" i="6"/>
  <c r="H3992" i="6"/>
  <c r="H3993" i="6"/>
  <c r="H3994" i="6"/>
  <c r="H3995" i="6"/>
  <c r="H3996" i="6"/>
  <c r="H3997" i="6"/>
  <c r="H3998" i="6"/>
  <c r="H3999" i="6"/>
  <c r="H4000" i="6"/>
  <c r="H4001" i="6"/>
  <c r="H4002" i="6"/>
  <c r="H4003" i="6"/>
  <c r="H4004" i="6"/>
  <c r="H4005" i="6"/>
  <c r="H4006" i="6"/>
  <c r="H4007" i="6"/>
  <c r="H4008" i="6"/>
  <c r="H4009" i="6"/>
  <c r="H4010" i="6"/>
  <c r="H4011" i="6"/>
  <c r="H4012" i="6"/>
  <c r="H4013" i="6"/>
  <c r="H4014" i="6"/>
  <c r="H4015" i="6"/>
  <c r="H4016" i="6"/>
  <c r="H4017" i="6"/>
  <c r="H4018" i="6"/>
  <c r="H4019" i="6"/>
  <c r="H4020" i="6"/>
  <c r="H4021" i="6"/>
  <c r="H4022" i="6"/>
  <c r="H4023" i="6"/>
  <c r="H4024" i="6"/>
  <c r="H4025" i="6"/>
  <c r="H4026" i="6"/>
  <c r="H4027" i="6"/>
  <c r="H4028" i="6"/>
  <c r="H4029" i="6"/>
  <c r="H4030" i="6"/>
  <c r="H4031" i="6"/>
  <c r="H4032" i="6"/>
  <c r="H4033" i="6"/>
  <c r="H4034" i="6"/>
  <c r="H4035" i="6"/>
  <c r="H4036" i="6"/>
  <c r="H4037" i="6"/>
  <c r="H4038" i="6"/>
  <c r="H4039" i="6"/>
  <c r="H4040" i="6"/>
  <c r="H4041" i="6"/>
  <c r="H4042" i="6"/>
  <c r="H4043" i="6"/>
  <c r="H4044" i="6"/>
  <c r="H4045" i="6"/>
  <c r="H4046" i="6"/>
  <c r="H4047" i="6"/>
  <c r="H4048" i="6"/>
  <c r="H4049" i="6"/>
  <c r="H4050" i="6"/>
  <c r="H4051" i="6"/>
  <c r="H4052" i="6"/>
  <c r="H4053" i="6"/>
  <c r="H4054" i="6"/>
  <c r="H4055" i="6"/>
  <c r="H4056" i="6"/>
  <c r="H4057" i="6"/>
  <c r="H4058" i="6"/>
  <c r="H4059" i="6"/>
  <c r="H4060" i="6"/>
  <c r="H4061" i="6"/>
  <c r="H4062" i="6"/>
  <c r="H4063" i="6"/>
  <c r="H4064" i="6"/>
  <c r="H4065" i="6"/>
  <c r="H4066" i="6"/>
  <c r="H4067" i="6"/>
  <c r="H4068" i="6"/>
  <c r="H4069" i="6"/>
  <c r="H4070" i="6"/>
  <c r="H4071" i="6"/>
  <c r="H4072" i="6"/>
  <c r="H4073" i="6"/>
  <c r="H4074" i="6"/>
  <c r="H4075" i="6"/>
  <c r="H4076" i="6"/>
  <c r="H4077" i="6"/>
  <c r="H4078" i="6"/>
  <c r="H4079" i="6"/>
  <c r="H4080" i="6"/>
  <c r="H4081" i="6"/>
  <c r="H4082" i="6"/>
  <c r="H4083" i="6"/>
  <c r="H4084" i="6"/>
  <c r="H4085" i="6"/>
  <c r="H4086" i="6"/>
  <c r="H4087" i="6"/>
  <c r="H4088" i="6"/>
  <c r="H4089" i="6"/>
  <c r="H4090" i="6"/>
  <c r="H4091" i="6"/>
  <c r="H4092" i="6"/>
  <c r="H4093" i="6"/>
  <c r="H4094" i="6"/>
  <c r="H4095" i="6"/>
  <c r="H4096" i="6"/>
  <c r="H4097" i="6"/>
  <c r="H4098" i="6"/>
  <c r="H4099" i="6"/>
  <c r="H4100" i="6"/>
  <c r="H4101" i="6"/>
  <c r="H4102" i="6"/>
  <c r="H4103" i="6"/>
  <c r="H4104" i="6"/>
  <c r="H4105" i="6"/>
  <c r="H4106" i="6"/>
  <c r="H4107" i="6"/>
  <c r="H4108" i="6"/>
  <c r="H4109" i="6"/>
  <c r="H4110" i="6"/>
  <c r="H4111" i="6"/>
  <c r="H4112" i="6"/>
  <c r="H4113" i="6"/>
  <c r="H4114" i="6"/>
  <c r="H4115" i="6"/>
  <c r="H4116" i="6"/>
  <c r="H4117" i="6"/>
  <c r="H4118" i="6"/>
  <c r="H4119" i="6"/>
  <c r="H4120" i="6"/>
  <c r="H4121" i="6"/>
  <c r="H4122" i="6"/>
  <c r="H4123" i="6"/>
  <c r="H4124" i="6"/>
  <c r="H4125" i="6"/>
  <c r="H4126" i="6"/>
  <c r="H4127" i="6"/>
  <c r="H4128" i="6"/>
  <c r="H4129" i="6"/>
  <c r="H4130" i="6"/>
  <c r="H4131" i="6"/>
  <c r="H4132" i="6"/>
  <c r="H4133" i="6"/>
  <c r="H4134" i="6"/>
  <c r="H4135" i="6"/>
  <c r="H4136" i="6"/>
  <c r="H4137" i="6"/>
  <c r="H4138" i="6"/>
  <c r="H4139" i="6"/>
  <c r="H4140" i="6"/>
  <c r="H4141" i="6"/>
  <c r="H4142" i="6"/>
  <c r="H4143" i="6"/>
  <c r="H4144" i="6"/>
  <c r="H4145" i="6"/>
  <c r="H4146" i="6"/>
  <c r="H4147" i="6"/>
  <c r="H4148" i="6"/>
  <c r="H4149" i="6"/>
  <c r="H4150" i="6"/>
  <c r="H4151" i="6"/>
  <c r="H4152" i="6"/>
  <c r="H4153" i="6"/>
  <c r="H4154" i="6"/>
  <c r="H4155" i="6"/>
  <c r="H4156" i="6"/>
  <c r="H4157" i="6"/>
  <c r="H4158" i="6"/>
  <c r="H4159" i="6"/>
  <c r="H4160" i="6"/>
  <c r="H4161" i="6"/>
  <c r="H4162" i="6"/>
  <c r="H4163" i="6"/>
  <c r="H4164" i="6"/>
  <c r="H4165" i="6"/>
  <c r="H4166" i="6"/>
  <c r="H4167" i="6"/>
  <c r="H4168" i="6"/>
  <c r="H4169" i="6"/>
  <c r="H4170" i="6"/>
  <c r="H4171" i="6"/>
  <c r="H4172" i="6"/>
  <c r="H4173" i="6"/>
  <c r="H4174" i="6"/>
  <c r="H4175" i="6"/>
  <c r="H4176" i="6"/>
  <c r="H4177" i="6"/>
  <c r="H4178" i="6"/>
  <c r="H4179" i="6"/>
  <c r="H4180" i="6"/>
  <c r="H4181" i="6"/>
  <c r="H4182" i="6"/>
  <c r="H4183" i="6"/>
  <c r="H4184" i="6"/>
  <c r="H4185" i="6"/>
  <c r="H4186" i="6"/>
  <c r="H4187" i="6"/>
  <c r="H4188" i="6"/>
  <c r="H4189" i="6"/>
  <c r="H4190" i="6"/>
  <c r="H4191" i="6"/>
  <c r="H4192" i="6"/>
  <c r="H4193" i="6"/>
  <c r="H4194" i="6"/>
  <c r="H4195" i="6"/>
  <c r="H4196" i="6"/>
  <c r="H4197" i="6"/>
  <c r="H4198" i="6"/>
  <c r="H4199" i="6"/>
  <c r="H4200" i="6"/>
  <c r="H4201" i="6"/>
  <c r="H4202" i="6"/>
  <c r="H4203" i="6"/>
  <c r="H4204" i="6"/>
  <c r="H4205" i="6"/>
  <c r="H4206" i="6"/>
  <c r="H4207" i="6"/>
  <c r="H4208" i="6"/>
  <c r="H4209" i="6"/>
  <c r="H4210" i="6"/>
  <c r="H4211" i="6"/>
  <c r="H4212" i="6"/>
  <c r="H4213" i="6"/>
  <c r="H4214" i="6"/>
  <c r="H4215" i="6"/>
  <c r="H4216" i="6"/>
  <c r="H4217" i="6"/>
  <c r="H4218" i="6"/>
  <c r="H4219" i="6"/>
  <c r="H4220" i="6"/>
  <c r="H4221" i="6"/>
  <c r="H4222" i="6"/>
  <c r="H4223" i="6"/>
  <c r="H4224" i="6"/>
  <c r="H4225" i="6"/>
  <c r="H4226" i="6"/>
  <c r="H4227" i="6"/>
  <c r="H4228" i="6"/>
  <c r="H4229" i="6"/>
  <c r="H4230" i="6"/>
  <c r="H4231" i="6"/>
  <c r="H4232" i="6"/>
  <c r="H4233" i="6"/>
  <c r="H4234" i="6"/>
  <c r="H4235" i="6"/>
  <c r="H4236" i="6"/>
  <c r="H4237" i="6"/>
  <c r="H4238" i="6"/>
  <c r="H4239" i="6"/>
  <c r="H4240" i="6"/>
  <c r="H4241" i="6"/>
  <c r="H4242" i="6"/>
  <c r="H4243" i="6"/>
  <c r="H4244" i="6"/>
  <c r="H4245" i="6"/>
  <c r="H4246" i="6"/>
  <c r="H4247" i="6"/>
  <c r="H4248" i="6"/>
  <c r="H4249" i="6"/>
  <c r="H4250" i="6"/>
  <c r="H4251" i="6"/>
  <c r="H4252" i="6"/>
  <c r="H4253" i="6"/>
  <c r="H4254" i="6"/>
  <c r="H4255" i="6"/>
  <c r="H4256" i="6"/>
  <c r="H4257" i="6"/>
  <c r="H4258" i="6"/>
  <c r="H4259" i="6"/>
  <c r="H4260" i="6"/>
  <c r="H4261" i="6"/>
  <c r="H4262" i="6"/>
  <c r="H4263" i="6"/>
  <c r="H4264" i="6"/>
  <c r="H4265" i="6"/>
  <c r="H4266" i="6"/>
  <c r="H4267" i="6"/>
  <c r="H4268" i="6"/>
  <c r="H4269" i="6"/>
  <c r="H4270" i="6"/>
  <c r="H4271" i="6"/>
  <c r="H4272" i="6"/>
  <c r="H4273" i="6"/>
  <c r="H4274" i="6"/>
  <c r="H4275" i="6"/>
  <c r="H4276" i="6"/>
  <c r="H4277" i="6"/>
  <c r="H4278" i="6"/>
  <c r="H4279" i="6"/>
  <c r="H4280" i="6"/>
  <c r="H4281" i="6"/>
  <c r="H4282" i="6"/>
  <c r="H4283" i="6"/>
  <c r="H4284" i="6"/>
  <c r="H4285" i="6"/>
  <c r="H4286" i="6"/>
  <c r="H4287" i="6"/>
  <c r="H4288" i="6"/>
  <c r="H4289" i="6"/>
  <c r="H4290" i="6"/>
  <c r="H4291" i="6"/>
  <c r="H4292" i="6"/>
  <c r="H4293" i="6"/>
  <c r="H4294" i="6"/>
  <c r="H4295" i="6"/>
  <c r="H4296" i="6"/>
  <c r="H4297" i="6"/>
  <c r="H4298" i="6"/>
  <c r="H4299" i="6"/>
  <c r="H4300" i="6"/>
  <c r="H4301" i="6"/>
  <c r="H4302" i="6"/>
  <c r="H4303" i="6"/>
  <c r="H4304" i="6"/>
  <c r="H4305" i="6"/>
  <c r="H4306" i="6"/>
  <c r="H4307" i="6"/>
  <c r="H4308" i="6"/>
  <c r="H4309" i="6"/>
  <c r="H4310" i="6"/>
  <c r="H4311" i="6"/>
  <c r="H4312" i="6"/>
  <c r="H4313" i="6"/>
  <c r="H4314" i="6"/>
  <c r="H4315" i="6"/>
  <c r="H4316" i="6"/>
  <c r="H4317" i="6"/>
  <c r="H4318" i="6"/>
  <c r="H4319" i="6"/>
  <c r="H4320" i="6"/>
  <c r="H4321" i="6"/>
  <c r="H4322" i="6"/>
  <c r="H4323" i="6"/>
  <c r="H4324" i="6"/>
  <c r="H4325" i="6"/>
  <c r="H4326" i="6"/>
  <c r="H4327" i="6"/>
  <c r="H4328" i="6"/>
  <c r="H4329" i="6"/>
  <c r="H4330" i="6"/>
  <c r="H4331" i="6"/>
  <c r="H4332" i="6"/>
  <c r="H4333" i="6"/>
  <c r="H4334" i="6"/>
  <c r="H4335" i="6"/>
  <c r="H4336" i="6"/>
  <c r="H4337" i="6"/>
  <c r="H4338" i="6"/>
  <c r="H4339" i="6"/>
  <c r="H4340" i="6"/>
  <c r="H4341" i="6"/>
  <c r="H4342" i="6"/>
  <c r="H4343" i="6"/>
  <c r="H4344" i="6"/>
  <c r="H4345" i="6"/>
  <c r="H4346" i="6"/>
  <c r="H4347" i="6"/>
  <c r="H4348" i="6"/>
  <c r="H4349" i="6"/>
  <c r="H4350" i="6"/>
  <c r="H4351" i="6"/>
  <c r="H4352" i="6"/>
  <c r="H4353" i="6"/>
  <c r="H4354" i="6"/>
  <c r="H4355" i="6"/>
  <c r="H4356" i="6"/>
  <c r="H4357" i="6"/>
  <c r="H4358" i="6"/>
  <c r="H4359" i="6"/>
  <c r="H4360" i="6"/>
  <c r="H4361" i="6"/>
  <c r="H4362" i="6"/>
  <c r="H4363" i="6"/>
  <c r="H4364" i="6"/>
  <c r="H4365" i="6"/>
  <c r="H4366" i="6"/>
  <c r="H4367" i="6"/>
  <c r="H4368" i="6"/>
  <c r="H4369" i="6"/>
  <c r="H4370" i="6"/>
  <c r="H4371" i="6"/>
  <c r="H4372" i="6"/>
  <c r="H4373" i="6"/>
  <c r="H4374" i="6"/>
  <c r="H4375" i="6"/>
  <c r="H4376" i="6"/>
  <c r="H4377" i="6"/>
  <c r="H4378" i="6"/>
  <c r="H4379" i="6"/>
  <c r="H4380" i="6"/>
  <c r="H4381" i="6"/>
  <c r="H4382" i="6"/>
  <c r="H4383" i="6"/>
  <c r="H4384" i="6"/>
  <c r="H4385" i="6"/>
  <c r="H4386" i="6"/>
  <c r="H4387" i="6"/>
  <c r="H4388" i="6"/>
  <c r="H4389" i="6"/>
  <c r="H4390" i="6"/>
  <c r="H4391" i="6"/>
  <c r="H4392" i="6"/>
  <c r="H4393" i="6"/>
  <c r="H4394" i="6"/>
  <c r="H4395" i="6"/>
  <c r="H4396" i="6"/>
  <c r="H4397" i="6"/>
  <c r="H4398" i="6"/>
  <c r="H4399" i="6"/>
  <c r="H4400" i="6"/>
  <c r="H4401" i="6"/>
  <c r="H4402" i="6"/>
  <c r="H4403" i="6"/>
  <c r="H4404" i="6"/>
  <c r="H4405" i="6"/>
  <c r="H4406" i="6"/>
  <c r="H4407" i="6"/>
  <c r="H4408" i="6"/>
  <c r="H4409" i="6"/>
  <c r="H4410" i="6"/>
  <c r="H4411" i="6"/>
  <c r="H4412" i="6"/>
  <c r="H4413" i="6"/>
  <c r="H4414" i="6"/>
  <c r="H4415" i="6"/>
  <c r="H4416" i="6"/>
  <c r="H4417" i="6"/>
  <c r="H4418" i="6"/>
  <c r="H4419" i="6"/>
  <c r="H4420" i="6"/>
  <c r="H4421" i="6"/>
  <c r="H4422" i="6"/>
  <c r="H4423" i="6"/>
  <c r="H4424" i="6"/>
  <c r="H4425" i="6"/>
  <c r="H4426" i="6"/>
  <c r="H4427" i="6"/>
  <c r="H4428" i="6"/>
  <c r="H4429" i="6"/>
  <c r="H4430" i="6"/>
  <c r="H4431" i="6"/>
  <c r="H4432" i="6"/>
  <c r="H4433" i="6"/>
  <c r="H4434" i="6"/>
  <c r="H4435" i="6"/>
  <c r="H4436" i="6"/>
  <c r="H4437" i="6"/>
  <c r="H4438" i="6"/>
  <c r="H4439" i="6"/>
  <c r="H4440" i="6"/>
  <c r="H4441" i="6"/>
  <c r="H4442" i="6"/>
  <c r="H4443" i="6"/>
  <c r="H4444" i="6"/>
  <c r="H4445" i="6"/>
  <c r="H4446" i="6"/>
  <c r="H4447" i="6"/>
  <c r="H4448" i="6"/>
  <c r="H4449" i="6"/>
  <c r="H4450" i="6"/>
  <c r="H4451" i="6"/>
  <c r="H4452" i="6"/>
  <c r="H4453" i="6"/>
  <c r="H4454" i="6"/>
  <c r="H4455" i="6"/>
  <c r="H4456" i="6"/>
  <c r="H4457" i="6"/>
  <c r="H4458" i="6"/>
  <c r="H4459" i="6"/>
  <c r="H4460" i="6"/>
  <c r="H4461" i="6"/>
  <c r="H4462" i="6"/>
  <c r="H4463" i="6"/>
  <c r="H4464" i="6"/>
  <c r="H4465" i="6"/>
  <c r="H4466" i="6"/>
  <c r="H4467" i="6"/>
  <c r="H4468" i="6"/>
  <c r="H4469" i="6"/>
  <c r="H4470" i="6"/>
  <c r="H4471" i="6"/>
  <c r="H4472" i="6"/>
  <c r="H4473" i="6"/>
  <c r="H4474" i="6"/>
  <c r="H4475" i="6"/>
  <c r="H4476" i="6"/>
  <c r="H4477" i="6"/>
  <c r="H4478" i="6"/>
  <c r="H4479" i="6"/>
  <c r="H4480" i="6"/>
  <c r="H4481" i="6"/>
  <c r="H4482" i="6"/>
  <c r="H4483" i="6"/>
  <c r="H4484" i="6"/>
  <c r="H4485" i="6"/>
  <c r="H4486" i="6"/>
  <c r="H4487" i="6"/>
  <c r="H4488" i="6"/>
  <c r="H4489" i="6"/>
  <c r="H4490" i="6"/>
  <c r="H4491" i="6"/>
  <c r="H4492" i="6"/>
  <c r="H4493" i="6"/>
  <c r="H4494" i="6"/>
  <c r="H4495" i="6"/>
  <c r="H4496" i="6"/>
  <c r="H4497" i="6"/>
  <c r="H4498" i="6"/>
  <c r="H4499" i="6"/>
  <c r="H4500" i="6"/>
  <c r="H4501" i="6"/>
  <c r="H4502" i="6"/>
  <c r="H4503" i="6"/>
  <c r="H4504" i="6"/>
  <c r="H4505" i="6"/>
  <c r="H4506" i="6"/>
  <c r="H4507" i="6"/>
  <c r="H4508" i="6"/>
  <c r="H4509" i="6"/>
  <c r="H4510" i="6"/>
  <c r="H4511" i="6"/>
  <c r="H4512" i="6"/>
  <c r="H4513" i="6"/>
  <c r="H4514" i="6"/>
  <c r="H4515" i="6"/>
  <c r="H4516" i="6"/>
  <c r="H4517" i="6"/>
  <c r="H4518" i="6"/>
  <c r="H4519" i="6"/>
  <c r="H4520" i="6"/>
  <c r="H4521" i="6"/>
  <c r="H4522" i="6"/>
  <c r="H4523" i="6"/>
  <c r="H4524" i="6"/>
  <c r="H4525" i="6"/>
  <c r="H4526" i="6"/>
  <c r="H4527" i="6"/>
  <c r="H4528" i="6"/>
  <c r="H4529" i="6"/>
  <c r="H4530" i="6"/>
  <c r="H4531" i="6"/>
  <c r="H4532" i="6"/>
  <c r="H4533" i="6"/>
  <c r="H4534" i="6"/>
  <c r="H4535" i="6"/>
  <c r="H4536" i="6"/>
  <c r="H4537" i="6"/>
  <c r="H4538" i="6"/>
  <c r="H4539" i="6"/>
  <c r="H4540" i="6"/>
  <c r="H4541" i="6"/>
  <c r="H4542" i="6"/>
  <c r="H4543" i="6"/>
  <c r="H4544" i="6"/>
  <c r="H4545" i="6"/>
  <c r="H4546" i="6"/>
  <c r="H4547" i="6"/>
  <c r="H4548" i="6"/>
  <c r="H4549" i="6"/>
  <c r="H4550" i="6"/>
  <c r="H4551" i="6"/>
  <c r="H4552" i="6"/>
  <c r="H4553" i="6"/>
  <c r="H4554" i="6"/>
  <c r="H4555" i="6"/>
  <c r="H4556" i="6"/>
  <c r="H4557" i="6"/>
  <c r="H4558" i="6"/>
  <c r="H4559" i="6"/>
  <c r="H4560" i="6"/>
  <c r="H4561" i="6"/>
  <c r="H4562" i="6"/>
  <c r="H4563" i="6"/>
  <c r="H4564" i="6"/>
  <c r="H4565" i="6"/>
  <c r="H4566" i="6"/>
  <c r="H4567" i="6"/>
  <c r="H4568" i="6"/>
  <c r="H4569" i="6"/>
  <c r="H4570" i="6"/>
  <c r="H4571" i="6"/>
  <c r="H4572" i="6"/>
  <c r="H4573" i="6"/>
  <c r="H4574" i="6"/>
  <c r="H4575" i="6"/>
  <c r="H4576" i="6"/>
  <c r="H4577" i="6"/>
  <c r="H4578" i="6"/>
  <c r="H4579" i="6"/>
  <c r="H4580" i="6"/>
  <c r="H4581" i="6"/>
  <c r="H4582" i="6"/>
  <c r="H4583" i="6"/>
  <c r="H4584" i="6"/>
  <c r="H4585" i="6"/>
  <c r="H4586" i="6"/>
  <c r="H4587" i="6"/>
  <c r="H4588" i="6"/>
  <c r="H4589" i="6"/>
  <c r="H4590" i="6"/>
  <c r="H4591" i="6"/>
  <c r="H4592" i="6"/>
  <c r="H4593" i="6"/>
  <c r="H4594" i="6"/>
  <c r="H4595" i="6"/>
  <c r="H4596" i="6"/>
  <c r="H4597" i="6"/>
  <c r="H4598" i="6"/>
  <c r="H4599" i="6"/>
  <c r="H4600" i="6"/>
  <c r="H4601" i="6"/>
  <c r="H4602" i="6"/>
  <c r="H4603" i="6"/>
  <c r="H4604" i="6"/>
  <c r="H4605" i="6"/>
  <c r="H4606" i="6"/>
  <c r="H4607" i="6"/>
  <c r="H4608" i="6"/>
  <c r="H4609" i="6"/>
  <c r="H4610" i="6"/>
  <c r="H4611" i="6"/>
  <c r="H4612" i="6"/>
  <c r="H4613" i="6"/>
  <c r="H4614" i="6"/>
  <c r="H4615" i="6"/>
  <c r="H4616" i="6"/>
  <c r="H4617" i="6"/>
  <c r="H4618" i="6"/>
  <c r="H4619" i="6"/>
  <c r="H4620" i="6"/>
  <c r="H4621" i="6"/>
  <c r="H4622" i="6"/>
  <c r="H4623" i="6"/>
  <c r="H4624" i="6"/>
  <c r="H4625" i="6"/>
  <c r="H4626" i="6"/>
  <c r="H4627" i="6"/>
  <c r="H4628" i="6"/>
  <c r="H4629" i="6"/>
  <c r="H4630" i="6"/>
  <c r="H4631" i="6"/>
  <c r="H4632" i="6"/>
  <c r="H4633" i="6"/>
  <c r="H4634" i="6"/>
  <c r="H4635" i="6"/>
  <c r="H4636" i="6"/>
  <c r="H4637" i="6"/>
  <c r="H4638" i="6"/>
  <c r="H4639" i="6"/>
  <c r="H4640" i="6"/>
  <c r="H4641" i="6"/>
  <c r="H4642" i="6"/>
  <c r="H4643" i="6"/>
  <c r="H4644" i="6"/>
  <c r="H4645" i="6"/>
  <c r="H4646" i="6"/>
  <c r="H4647" i="6"/>
  <c r="H4648" i="6"/>
  <c r="H4649" i="6"/>
  <c r="H4650" i="6"/>
  <c r="H4651" i="6"/>
  <c r="H4652" i="6"/>
  <c r="H4653" i="6"/>
  <c r="H4654" i="6"/>
  <c r="H4655" i="6"/>
  <c r="H4656" i="6"/>
  <c r="H4657" i="6"/>
  <c r="H4658" i="6"/>
  <c r="H4659" i="6"/>
  <c r="H4660" i="6"/>
  <c r="H4661" i="6"/>
  <c r="H4662" i="6"/>
  <c r="H4663" i="6"/>
  <c r="H4664" i="6"/>
  <c r="H4665" i="6"/>
  <c r="H4666" i="6"/>
  <c r="H4667" i="6"/>
  <c r="H4668" i="6"/>
  <c r="H4669" i="6"/>
  <c r="H4670" i="6"/>
  <c r="H4671" i="6"/>
  <c r="H4672" i="6"/>
  <c r="H4673" i="6"/>
  <c r="H4674" i="6"/>
  <c r="H4675" i="6"/>
  <c r="H4676" i="6"/>
  <c r="H4677" i="6"/>
  <c r="H4678" i="6"/>
  <c r="H4679" i="6"/>
  <c r="H4680" i="6"/>
  <c r="H4681" i="6"/>
  <c r="H4682" i="6"/>
  <c r="H4683" i="6"/>
  <c r="H4684" i="6"/>
  <c r="H4685" i="6"/>
  <c r="H4686" i="6"/>
  <c r="H4687" i="6"/>
  <c r="H4688" i="6"/>
  <c r="H4689" i="6"/>
  <c r="H4690" i="6"/>
  <c r="H4691" i="6"/>
  <c r="H4692" i="6"/>
  <c r="H4693" i="6"/>
  <c r="H4694" i="6"/>
  <c r="H4695" i="6"/>
  <c r="H4696" i="6"/>
  <c r="H4697" i="6"/>
  <c r="H4698" i="6"/>
  <c r="H4699" i="6"/>
  <c r="H4700" i="6"/>
  <c r="H4701" i="6"/>
  <c r="H4702" i="6"/>
  <c r="H4703" i="6"/>
  <c r="H4704" i="6"/>
  <c r="H4705" i="6"/>
  <c r="H4706" i="6"/>
  <c r="H4707" i="6"/>
  <c r="H4708" i="6"/>
  <c r="H4709" i="6"/>
  <c r="H4710" i="6"/>
  <c r="H4711" i="6"/>
  <c r="H4712" i="6"/>
  <c r="H4713" i="6"/>
  <c r="H4714" i="6"/>
  <c r="H4715" i="6"/>
  <c r="H4716" i="6"/>
  <c r="H4717" i="6"/>
  <c r="H4718" i="6"/>
  <c r="H4719" i="6"/>
  <c r="H4720" i="6"/>
  <c r="H4721" i="6"/>
  <c r="H4722" i="6"/>
  <c r="H4723" i="6"/>
  <c r="H4724" i="6"/>
  <c r="H4725" i="6"/>
  <c r="H4726" i="6"/>
  <c r="H4727" i="6"/>
  <c r="H4728" i="6"/>
  <c r="H4729" i="6"/>
  <c r="H4730" i="6"/>
  <c r="H4731" i="6"/>
  <c r="H4732" i="6"/>
  <c r="H4733" i="6"/>
  <c r="H4734" i="6"/>
  <c r="H4735" i="6"/>
  <c r="H4736" i="6"/>
  <c r="H4737" i="6"/>
  <c r="H4738" i="6"/>
  <c r="H4739" i="6"/>
  <c r="H4740" i="6"/>
  <c r="H4741" i="6"/>
  <c r="H4742" i="6"/>
  <c r="H4743" i="6"/>
  <c r="H4744" i="6"/>
  <c r="H4745" i="6"/>
  <c r="H4746" i="6"/>
  <c r="H4747" i="6"/>
  <c r="H4748" i="6"/>
  <c r="H4749" i="6"/>
  <c r="H4750" i="6"/>
  <c r="H4751" i="6"/>
  <c r="H4752" i="6"/>
  <c r="H4753" i="6"/>
  <c r="H4754" i="6"/>
  <c r="H4755" i="6"/>
  <c r="H4756" i="6"/>
  <c r="H4757" i="6"/>
  <c r="H4758" i="6"/>
  <c r="H4759" i="6"/>
  <c r="H4760" i="6"/>
  <c r="H4761" i="6"/>
  <c r="H4762" i="6"/>
  <c r="H4763" i="6"/>
  <c r="H4764" i="6"/>
  <c r="H4765" i="6"/>
  <c r="H4766" i="6"/>
  <c r="H4767" i="6"/>
  <c r="H4768" i="6"/>
  <c r="H4769" i="6"/>
  <c r="H4770" i="6"/>
  <c r="H4771" i="6"/>
  <c r="H4772" i="6"/>
  <c r="H4773" i="6"/>
  <c r="H4774" i="6"/>
  <c r="H4775" i="6"/>
  <c r="H4776" i="6"/>
  <c r="H4777" i="6"/>
  <c r="H4778" i="6"/>
  <c r="H4779" i="6"/>
  <c r="H4780" i="6"/>
  <c r="H4781" i="6"/>
  <c r="H4782" i="6"/>
  <c r="H4783" i="6"/>
  <c r="H4784" i="6"/>
  <c r="H4785" i="6"/>
  <c r="H4786" i="6"/>
  <c r="H4787" i="6"/>
  <c r="H4788" i="6"/>
  <c r="H4789" i="6"/>
  <c r="H4790" i="6"/>
  <c r="H4791" i="6"/>
  <c r="H4792" i="6"/>
  <c r="H4793" i="6"/>
  <c r="H4794" i="6"/>
  <c r="H4795" i="6"/>
  <c r="H4796" i="6"/>
  <c r="H4797" i="6"/>
  <c r="H4798" i="6"/>
  <c r="H4799" i="6"/>
  <c r="H4800" i="6"/>
  <c r="H4801" i="6"/>
  <c r="H4802" i="6"/>
  <c r="H4803" i="6"/>
  <c r="H4804" i="6"/>
  <c r="H4805" i="6"/>
  <c r="H4806" i="6"/>
  <c r="H4807" i="6"/>
  <c r="H4808" i="6"/>
  <c r="H4809" i="6"/>
  <c r="H4810" i="6"/>
  <c r="H4811" i="6"/>
  <c r="H4812" i="6"/>
  <c r="H4813" i="6"/>
  <c r="H4814" i="6"/>
  <c r="H4815" i="6"/>
  <c r="H4816" i="6"/>
  <c r="H4817" i="6"/>
  <c r="H4818" i="6"/>
  <c r="H4819" i="6"/>
  <c r="H4820" i="6"/>
  <c r="H4821" i="6"/>
  <c r="H4822" i="6"/>
  <c r="H4823" i="6"/>
  <c r="H4824" i="6"/>
  <c r="H4825" i="6"/>
  <c r="H4826" i="6"/>
  <c r="H4827" i="6"/>
  <c r="H4828" i="6"/>
  <c r="H4829" i="6"/>
  <c r="H4830" i="6"/>
  <c r="H4831" i="6"/>
  <c r="H4832" i="6"/>
  <c r="H4833" i="6"/>
  <c r="H4834" i="6"/>
  <c r="H4835" i="6"/>
  <c r="H4836" i="6"/>
  <c r="H4837" i="6"/>
  <c r="H4838" i="6"/>
  <c r="H4839" i="6"/>
  <c r="H4840" i="6"/>
  <c r="H4841" i="6"/>
  <c r="H4842" i="6"/>
  <c r="H4843" i="6"/>
  <c r="H4844" i="6"/>
  <c r="H4845" i="6"/>
  <c r="H4846" i="6"/>
  <c r="H4847" i="6"/>
  <c r="H4848" i="6"/>
  <c r="H4849" i="6"/>
  <c r="H4850" i="6"/>
  <c r="H4851" i="6"/>
  <c r="H4852" i="6"/>
  <c r="H4853" i="6"/>
  <c r="H4854" i="6"/>
  <c r="H4855" i="6"/>
  <c r="H4856" i="6"/>
  <c r="H4857" i="6"/>
  <c r="H4858" i="6"/>
  <c r="H4859" i="6"/>
  <c r="H4860" i="6"/>
  <c r="H4861" i="6"/>
  <c r="H4862" i="6"/>
  <c r="H4863" i="6"/>
  <c r="H4864" i="6"/>
  <c r="H4865" i="6"/>
  <c r="H4866" i="6"/>
  <c r="H4867" i="6"/>
  <c r="H4868" i="6"/>
  <c r="H4869" i="6"/>
  <c r="H4870" i="6"/>
  <c r="H4871" i="6"/>
  <c r="H4872" i="6"/>
  <c r="H4873" i="6"/>
  <c r="H4874" i="6"/>
  <c r="H4875" i="6"/>
  <c r="H4876" i="6"/>
  <c r="H4877" i="6"/>
  <c r="H4878" i="6"/>
  <c r="H4879" i="6"/>
  <c r="H4880" i="6"/>
  <c r="H4881" i="6"/>
  <c r="H4882" i="6"/>
  <c r="H4883" i="6"/>
  <c r="H4884" i="6"/>
  <c r="H4885" i="6"/>
  <c r="H4886" i="6"/>
  <c r="H4887" i="6"/>
  <c r="H4888" i="6"/>
  <c r="H4889" i="6"/>
  <c r="H4890" i="6"/>
  <c r="H4891" i="6"/>
  <c r="H4892" i="6"/>
  <c r="H4893" i="6"/>
  <c r="H4894" i="6"/>
  <c r="H4895" i="6"/>
  <c r="H4896" i="6"/>
  <c r="H4897" i="6"/>
  <c r="H4898" i="6"/>
  <c r="H4899" i="6"/>
  <c r="H4900" i="6"/>
  <c r="H4901" i="6"/>
  <c r="H4902" i="6"/>
  <c r="H4903" i="6"/>
  <c r="H4904" i="6"/>
  <c r="H4905" i="6"/>
  <c r="H4906" i="6"/>
  <c r="H4907" i="6"/>
  <c r="H4908" i="6"/>
  <c r="H4909" i="6"/>
  <c r="H4910" i="6"/>
  <c r="H4911" i="6"/>
  <c r="H4912" i="6"/>
  <c r="H4913" i="6"/>
  <c r="H4914" i="6"/>
  <c r="H4915" i="6"/>
  <c r="H4916" i="6"/>
  <c r="H4917" i="6"/>
  <c r="H4918" i="6"/>
  <c r="H4919" i="6"/>
  <c r="H4920" i="6"/>
  <c r="H4921" i="6"/>
  <c r="H4922" i="6"/>
  <c r="H4923" i="6"/>
  <c r="H4924" i="6"/>
  <c r="H4925" i="6"/>
  <c r="H4926" i="6"/>
  <c r="H4927" i="6"/>
  <c r="H4928" i="6"/>
  <c r="H4929" i="6"/>
  <c r="H4930" i="6"/>
  <c r="H4931" i="6"/>
  <c r="H4932" i="6"/>
  <c r="H4933" i="6"/>
  <c r="H4934" i="6"/>
  <c r="H4935" i="6"/>
  <c r="H4936" i="6"/>
  <c r="H4937" i="6"/>
  <c r="H4938" i="6"/>
  <c r="H4939" i="6"/>
  <c r="H4940" i="6"/>
  <c r="H4941" i="6"/>
  <c r="H4942" i="6"/>
  <c r="H4943" i="6"/>
  <c r="H4944" i="6"/>
  <c r="H4945" i="6"/>
  <c r="H4946" i="6"/>
  <c r="H4947" i="6"/>
  <c r="H4948" i="6"/>
  <c r="H4949" i="6"/>
  <c r="H4950" i="6"/>
  <c r="H4951" i="6"/>
  <c r="H4952" i="6"/>
  <c r="H4953" i="6"/>
  <c r="H4954" i="6"/>
  <c r="H4955" i="6"/>
  <c r="H4956" i="6"/>
  <c r="H4957" i="6"/>
  <c r="H4958" i="6"/>
  <c r="H4959" i="6"/>
  <c r="H4960" i="6"/>
  <c r="H4961" i="6"/>
  <c r="H4962" i="6"/>
  <c r="H4963" i="6"/>
  <c r="H4964" i="6"/>
  <c r="H4965" i="6"/>
  <c r="H4966" i="6"/>
  <c r="H4967" i="6"/>
  <c r="H4968" i="6"/>
  <c r="H4969" i="6"/>
  <c r="H4970" i="6"/>
  <c r="H4971" i="6"/>
  <c r="H4972" i="6"/>
  <c r="H4973" i="6"/>
  <c r="H4974" i="6"/>
  <c r="H4975" i="6"/>
  <c r="H4976" i="6"/>
  <c r="H4977" i="6"/>
  <c r="H4978" i="6"/>
  <c r="H4979" i="6"/>
  <c r="H4980" i="6"/>
  <c r="H4981" i="6"/>
  <c r="H4982" i="6"/>
  <c r="H4983" i="6"/>
  <c r="H4984" i="6"/>
  <c r="H4985" i="6"/>
  <c r="H4986" i="6"/>
  <c r="H4987" i="6"/>
  <c r="H4988" i="6"/>
  <c r="H4989" i="6"/>
  <c r="H4990" i="6"/>
  <c r="H4991" i="6"/>
  <c r="H4992" i="6"/>
  <c r="H4993" i="6"/>
  <c r="H4994" i="6"/>
  <c r="H4995" i="6"/>
  <c r="H4996" i="6"/>
  <c r="H4997" i="6"/>
  <c r="H4998" i="6"/>
  <c r="H4999" i="6"/>
  <c r="H5000" i="6"/>
  <c r="H5001" i="6"/>
  <c r="H5002" i="6"/>
  <c r="H5003" i="6"/>
  <c r="H5004" i="6"/>
  <c r="H5005" i="6"/>
  <c r="H5006" i="6"/>
  <c r="H5007" i="6"/>
  <c r="H5008" i="6"/>
  <c r="H5009" i="6"/>
  <c r="H5010" i="6"/>
  <c r="H5011" i="6"/>
  <c r="H5012" i="6"/>
  <c r="H5013" i="6"/>
  <c r="H5014" i="6"/>
  <c r="H5015" i="6"/>
  <c r="H5016" i="6"/>
  <c r="H5017" i="6"/>
  <c r="H5018" i="6"/>
  <c r="H5019" i="6"/>
  <c r="H5020" i="6"/>
  <c r="H5021" i="6"/>
  <c r="H5022" i="6"/>
  <c r="H5023" i="6"/>
  <c r="H5024" i="6"/>
  <c r="H5025" i="6"/>
  <c r="H5026" i="6"/>
  <c r="H5027" i="6"/>
  <c r="H5028" i="6"/>
  <c r="H5029" i="6"/>
  <c r="H5030" i="6"/>
  <c r="H5031" i="6"/>
  <c r="H5032" i="6"/>
  <c r="H5033" i="6"/>
  <c r="H5034" i="6"/>
  <c r="H5035" i="6"/>
  <c r="H5036" i="6"/>
  <c r="H5037" i="6"/>
  <c r="H5038" i="6"/>
  <c r="H5039" i="6"/>
  <c r="H5040" i="6"/>
  <c r="H5041" i="6"/>
  <c r="H5042" i="6"/>
  <c r="H5043" i="6"/>
  <c r="H5044" i="6"/>
  <c r="H5045" i="6"/>
  <c r="H5046" i="6"/>
  <c r="H5047" i="6"/>
  <c r="H5048" i="6"/>
  <c r="H5049" i="6"/>
  <c r="H5050" i="6"/>
  <c r="H5051" i="6"/>
  <c r="H5052" i="6"/>
  <c r="H5053" i="6"/>
  <c r="H5054" i="6"/>
  <c r="H5055" i="6"/>
  <c r="H5056" i="6"/>
  <c r="H5057" i="6"/>
  <c r="H5058" i="6"/>
  <c r="H5059" i="6"/>
  <c r="H5060" i="6"/>
  <c r="H5061" i="6"/>
  <c r="H5062" i="6"/>
  <c r="H5063" i="6"/>
  <c r="H5064" i="6"/>
  <c r="H5065" i="6"/>
  <c r="H5066" i="6"/>
  <c r="H5067" i="6"/>
  <c r="H5068" i="6"/>
  <c r="H5069" i="6"/>
  <c r="H5070" i="6"/>
  <c r="H5071" i="6"/>
  <c r="H5072" i="6"/>
  <c r="H5073" i="6"/>
  <c r="H5074" i="6"/>
  <c r="H5075" i="6"/>
  <c r="H5076" i="6"/>
  <c r="H5077" i="6"/>
  <c r="H5078" i="6"/>
  <c r="H5079" i="6"/>
  <c r="H5080" i="6"/>
  <c r="H5081" i="6"/>
  <c r="H5082" i="6"/>
  <c r="H5083" i="6"/>
  <c r="H5084" i="6"/>
  <c r="H5085" i="6"/>
  <c r="H5086" i="6"/>
  <c r="H5087" i="6"/>
  <c r="H5088" i="6"/>
  <c r="H5089" i="6"/>
  <c r="H5090" i="6"/>
  <c r="H5091" i="6"/>
  <c r="H5092" i="6"/>
  <c r="H5093" i="6"/>
  <c r="H5094" i="6"/>
  <c r="H5095" i="6"/>
  <c r="H5096" i="6"/>
  <c r="H5097" i="6"/>
  <c r="H5098" i="6"/>
  <c r="H5099" i="6"/>
  <c r="H5100" i="6"/>
  <c r="H5101" i="6"/>
  <c r="H5102" i="6"/>
  <c r="H5103" i="6"/>
  <c r="H5104" i="6"/>
  <c r="H5105" i="6"/>
  <c r="H5106" i="6"/>
  <c r="H5107" i="6"/>
  <c r="H5108" i="6"/>
  <c r="H5109" i="6"/>
  <c r="H5110" i="6"/>
  <c r="H5111" i="6"/>
  <c r="H5112" i="6"/>
  <c r="H5113" i="6"/>
  <c r="H5114" i="6"/>
  <c r="H5115" i="6"/>
  <c r="H5116" i="6"/>
  <c r="H5117" i="6"/>
  <c r="H5118" i="6"/>
  <c r="H5119" i="6"/>
  <c r="H5120" i="6"/>
  <c r="H5121" i="6"/>
  <c r="H5122" i="6"/>
  <c r="H5123" i="6"/>
  <c r="H5124" i="6"/>
  <c r="H5125" i="6"/>
  <c r="H5126" i="6"/>
  <c r="H5127" i="6"/>
  <c r="H5128" i="6"/>
  <c r="H5129" i="6"/>
  <c r="H5130" i="6"/>
  <c r="H5131" i="6"/>
  <c r="H5132" i="6"/>
  <c r="H5133" i="6"/>
  <c r="H5134" i="6"/>
  <c r="H5135" i="6"/>
  <c r="H5136" i="6"/>
  <c r="H5137" i="6"/>
  <c r="H5138" i="6"/>
  <c r="H5139" i="6"/>
  <c r="H5140" i="6"/>
  <c r="H5141" i="6"/>
  <c r="H5142" i="6"/>
  <c r="H5143" i="6"/>
  <c r="H5144" i="6"/>
  <c r="H5145" i="6"/>
  <c r="H5146" i="6"/>
  <c r="H5147" i="6"/>
  <c r="H5148" i="6"/>
  <c r="H5149" i="6"/>
  <c r="H5150" i="6"/>
  <c r="H5151" i="6"/>
  <c r="H5152" i="6"/>
  <c r="H5153" i="6"/>
  <c r="H5154" i="6"/>
  <c r="H5155" i="6"/>
  <c r="H5156" i="6"/>
  <c r="H5157" i="6"/>
  <c r="H5158" i="6"/>
  <c r="H5159" i="6"/>
  <c r="H5160" i="6"/>
  <c r="H5161" i="6"/>
  <c r="H5162" i="6"/>
  <c r="H5163" i="6"/>
  <c r="H5164" i="6"/>
  <c r="H5165" i="6"/>
  <c r="H5166" i="6"/>
  <c r="H5167" i="6"/>
  <c r="H5168" i="6"/>
  <c r="H5169" i="6"/>
  <c r="H5170" i="6"/>
  <c r="H5171" i="6"/>
  <c r="H5172" i="6"/>
  <c r="H5173" i="6"/>
  <c r="H5174" i="6"/>
  <c r="H5175" i="6"/>
  <c r="H5176" i="6"/>
  <c r="H5177" i="6"/>
  <c r="H5178" i="6"/>
  <c r="H5179" i="6"/>
  <c r="H5180" i="6"/>
  <c r="H5181" i="6"/>
  <c r="H5182" i="6"/>
  <c r="H5183" i="6"/>
  <c r="H5184" i="6"/>
  <c r="H5185" i="6"/>
  <c r="H5186" i="6"/>
  <c r="H5187" i="6"/>
  <c r="H5188" i="6"/>
  <c r="H5189" i="6"/>
  <c r="H5190" i="6"/>
  <c r="H5191" i="6"/>
  <c r="H5192" i="6"/>
  <c r="H5193" i="6"/>
  <c r="H5194" i="6"/>
  <c r="H5195" i="6"/>
  <c r="H5196" i="6"/>
  <c r="H5197" i="6"/>
  <c r="H5198" i="6"/>
  <c r="H5199" i="6"/>
  <c r="H5200" i="6"/>
  <c r="H5201" i="6"/>
  <c r="H5202" i="6"/>
  <c r="H5203" i="6"/>
  <c r="H5204" i="6"/>
  <c r="H5205" i="6"/>
  <c r="H5206" i="6"/>
  <c r="H5207" i="6"/>
  <c r="H5208" i="6"/>
  <c r="H5209" i="6"/>
  <c r="H5210" i="6"/>
  <c r="H5211" i="6"/>
  <c r="H5212" i="6"/>
  <c r="H5213" i="6"/>
  <c r="H5214" i="6"/>
  <c r="H5215" i="6"/>
  <c r="H5216" i="6"/>
  <c r="H5217" i="6"/>
  <c r="H5218" i="6"/>
  <c r="H5219" i="6"/>
  <c r="H5220" i="6"/>
  <c r="H5221" i="6"/>
  <c r="H5222" i="6"/>
  <c r="H5223" i="6"/>
  <c r="H5224" i="6"/>
  <c r="H5225" i="6"/>
  <c r="H5226" i="6"/>
  <c r="H5227" i="6"/>
  <c r="H5228" i="6"/>
  <c r="H5229" i="6"/>
  <c r="H5230" i="6"/>
  <c r="H5231" i="6"/>
  <c r="H5232" i="6"/>
  <c r="H5233" i="6"/>
  <c r="H5234" i="6"/>
  <c r="H5235" i="6"/>
  <c r="H5236" i="6"/>
  <c r="H5237" i="6"/>
  <c r="H5238" i="6"/>
  <c r="H5239" i="6"/>
  <c r="H5240" i="6"/>
  <c r="H5241" i="6"/>
  <c r="H5242" i="6"/>
  <c r="H5243" i="6"/>
  <c r="H5244" i="6"/>
  <c r="H5245" i="6"/>
  <c r="H5246" i="6"/>
  <c r="H5247" i="6"/>
  <c r="H5248" i="6"/>
  <c r="H5249" i="6"/>
  <c r="H5250" i="6"/>
  <c r="H5251" i="6"/>
  <c r="H5252" i="6"/>
  <c r="H5253" i="6"/>
  <c r="H5254" i="6"/>
  <c r="H5255" i="6"/>
  <c r="H5256" i="6"/>
  <c r="H5257" i="6"/>
  <c r="H5258" i="6"/>
  <c r="H5259" i="6"/>
  <c r="H5260" i="6"/>
  <c r="H5261" i="6"/>
  <c r="H5262" i="6"/>
  <c r="H5263" i="6"/>
  <c r="H5264" i="6"/>
  <c r="H5265" i="6"/>
  <c r="H5266" i="6"/>
  <c r="H5267" i="6"/>
  <c r="H5268" i="6"/>
  <c r="H5269" i="6"/>
  <c r="H5270" i="6"/>
  <c r="H5271" i="6"/>
  <c r="H5272" i="6"/>
  <c r="H5273" i="6"/>
  <c r="H5274" i="6"/>
  <c r="H5275" i="6"/>
  <c r="H5276" i="6"/>
  <c r="H5277" i="6"/>
  <c r="H5278" i="6"/>
  <c r="H5279" i="6"/>
  <c r="H5280" i="6"/>
  <c r="H5281" i="6"/>
  <c r="H5282" i="6"/>
  <c r="H5283" i="6"/>
  <c r="H5284" i="6"/>
  <c r="H5285" i="6"/>
  <c r="H5286" i="6"/>
  <c r="H5287" i="6"/>
  <c r="H5288" i="6"/>
  <c r="H5289" i="6"/>
  <c r="H5290" i="6"/>
  <c r="H5291" i="6"/>
  <c r="H5292" i="6"/>
  <c r="H5293" i="6"/>
  <c r="H5294" i="6"/>
  <c r="H5295" i="6"/>
  <c r="H5296" i="6"/>
  <c r="H5297" i="6"/>
  <c r="H5298" i="6"/>
  <c r="H5299" i="6"/>
  <c r="H5300" i="6"/>
  <c r="H5301" i="6"/>
  <c r="H5302" i="6"/>
  <c r="H5303" i="6"/>
  <c r="H5304" i="6"/>
  <c r="H5305" i="6"/>
  <c r="H5306" i="6"/>
  <c r="H5307" i="6"/>
  <c r="H5308" i="6"/>
  <c r="H5309" i="6"/>
  <c r="H5310" i="6"/>
  <c r="H5311" i="6"/>
  <c r="H5312" i="6"/>
  <c r="H5313" i="6"/>
  <c r="H5314" i="6"/>
  <c r="H5315" i="6"/>
  <c r="H5316" i="6"/>
  <c r="H5317" i="6"/>
  <c r="H5318" i="6"/>
  <c r="H5319" i="6"/>
  <c r="H5320" i="6"/>
  <c r="H5321" i="6"/>
  <c r="H5322" i="6"/>
  <c r="H5323" i="6"/>
  <c r="H5324" i="6"/>
  <c r="H5325" i="6"/>
  <c r="H5326" i="6"/>
  <c r="H5327" i="6"/>
  <c r="H5328" i="6"/>
  <c r="H5329" i="6"/>
  <c r="H5330" i="6"/>
  <c r="H5331" i="6"/>
  <c r="H5332" i="6"/>
  <c r="H5333" i="6"/>
  <c r="H5334" i="6"/>
  <c r="H5335" i="6"/>
  <c r="H5336" i="6"/>
  <c r="H5337" i="6"/>
  <c r="H5338" i="6"/>
  <c r="H5339" i="6"/>
  <c r="H5340" i="6"/>
  <c r="H5341" i="6"/>
  <c r="H5342" i="6"/>
  <c r="H5343" i="6"/>
  <c r="H5344" i="6"/>
  <c r="H5345" i="6"/>
  <c r="H5346" i="6"/>
  <c r="H5347" i="6"/>
  <c r="H5348" i="6"/>
  <c r="H5349" i="6"/>
  <c r="H5350" i="6"/>
  <c r="H5351" i="6"/>
  <c r="H5352" i="6"/>
  <c r="H5353" i="6"/>
  <c r="H5354" i="6"/>
  <c r="H5355" i="6"/>
  <c r="H5356" i="6"/>
  <c r="H5357" i="6"/>
  <c r="H5358" i="6"/>
  <c r="H5359" i="6"/>
  <c r="H5360" i="6"/>
  <c r="H5361" i="6"/>
  <c r="H5362" i="6"/>
  <c r="H5363" i="6"/>
  <c r="H5364" i="6"/>
  <c r="H5365" i="6"/>
  <c r="H5366" i="6"/>
  <c r="H5367" i="6"/>
  <c r="H5368" i="6"/>
  <c r="H5369" i="6"/>
  <c r="H5370" i="6"/>
  <c r="H5371" i="6"/>
  <c r="H5372" i="6"/>
  <c r="H5373" i="6"/>
  <c r="H5374" i="6"/>
  <c r="H5375" i="6"/>
  <c r="H5376" i="6"/>
  <c r="H5377" i="6"/>
  <c r="H5378" i="6"/>
  <c r="H5379" i="6"/>
  <c r="H5380" i="6"/>
  <c r="H5381" i="6"/>
  <c r="H5382" i="6"/>
  <c r="H5383" i="6"/>
  <c r="H5384" i="6"/>
  <c r="H5385" i="6"/>
  <c r="H5386" i="6"/>
  <c r="H5387" i="6"/>
  <c r="H5388" i="6"/>
  <c r="H5389" i="6"/>
  <c r="H5390" i="6"/>
  <c r="H5391" i="6"/>
  <c r="H5392" i="6"/>
  <c r="H5393" i="6"/>
  <c r="H5394" i="6"/>
  <c r="H5395" i="6"/>
  <c r="H5396" i="6"/>
  <c r="H5397" i="6"/>
  <c r="H5398" i="6"/>
  <c r="H5399" i="6"/>
  <c r="H5400" i="6"/>
  <c r="H5401" i="6"/>
  <c r="H5402" i="6"/>
  <c r="H5403" i="6"/>
  <c r="H5404" i="6"/>
  <c r="H5405" i="6"/>
  <c r="H5406" i="6"/>
  <c r="H5407" i="6"/>
  <c r="H5408" i="6"/>
  <c r="H5409" i="6"/>
  <c r="H5410" i="6"/>
  <c r="H5411" i="6"/>
  <c r="H5412" i="6"/>
  <c r="H5413" i="6"/>
  <c r="H5414" i="6"/>
  <c r="H5415" i="6"/>
  <c r="H5416" i="6"/>
  <c r="H5417" i="6"/>
  <c r="H5418" i="6"/>
  <c r="H5419" i="6"/>
  <c r="H5420" i="6"/>
  <c r="H5421" i="6"/>
  <c r="H5422" i="6"/>
  <c r="H5423" i="6"/>
  <c r="H5424" i="6"/>
  <c r="H5425" i="6"/>
  <c r="H5426" i="6"/>
  <c r="H5427" i="6"/>
  <c r="H5428" i="6"/>
  <c r="H5429" i="6"/>
  <c r="H5430" i="6"/>
  <c r="H5431" i="6"/>
  <c r="H5432" i="6"/>
  <c r="H5433" i="6"/>
  <c r="H5434" i="6"/>
  <c r="H5435" i="6"/>
  <c r="H5436" i="6"/>
  <c r="H5437" i="6"/>
  <c r="H5438" i="6"/>
  <c r="H5439" i="6"/>
  <c r="H5440" i="6"/>
  <c r="H5441" i="6"/>
  <c r="H5442" i="6"/>
  <c r="H5443" i="6"/>
  <c r="H5444" i="6"/>
  <c r="H5445" i="6"/>
  <c r="H5446" i="6"/>
  <c r="H5447" i="6"/>
  <c r="H5448" i="6"/>
  <c r="H5449" i="6"/>
  <c r="H5450" i="6"/>
  <c r="H5451" i="6"/>
  <c r="H5452" i="6"/>
  <c r="H5453" i="6"/>
  <c r="H5454" i="6"/>
  <c r="H5455" i="6"/>
  <c r="H5456" i="6"/>
  <c r="H5457" i="6"/>
  <c r="H5458" i="6"/>
  <c r="H5459" i="6"/>
  <c r="H5460" i="6"/>
  <c r="H5461" i="6"/>
  <c r="H5462" i="6"/>
  <c r="H5463" i="6"/>
  <c r="H5464" i="6"/>
  <c r="H5465" i="6"/>
  <c r="H5466" i="6"/>
  <c r="H5467" i="6"/>
  <c r="H5468" i="6"/>
  <c r="H5469" i="6"/>
  <c r="H5470" i="6"/>
  <c r="H5471" i="6"/>
  <c r="H5472" i="6"/>
  <c r="H5473" i="6"/>
  <c r="H5474" i="6"/>
  <c r="H5475" i="6"/>
  <c r="H5476" i="6"/>
  <c r="H5477" i="6"/>
  <c r="H5478" i="6"/>
  <c r="H5479" i="6"/>
  <c r="H5480" i="6"/>
  <c r="H5481" i="6"/>
  <c r="H5482" i="6"/>
  <c r="H5483" i="6"/>
  <c r="H5484" i="6"/>
  <c r="H5485" i="6"/>
  <c r="H5486" i="6"/>
  <c r="H5487" i="6"/>
  <c r="H5488" i="6"/>
  <c r="H5489" i="6"/>
  <c r="H5490" i="6"/>
  <c r="H5491" i="6"/>
  <c r="H5492" i="6"/>
  <c r="H5493" i="6"/>
  <c r="H5494" i="6"/>
  <c r="H5495" i="6"/>
  <c r="H5496" i="6"/>
  <c r="H5497" i="6"/>
  <c r="H5498" i="6"/>
  <c r="H5499" i="6"/>
  <c r="H5500" i="6"/>
  <c r="H5501" i="6"/>
  <c r="H5502" i="6"/>
  <c r="H5503" i="6"/>
  <c r="H5504" i="6"/>
  <c r="H5505" i="6"/>
  <c r="H5506" i="6"/>
  <c r="H5507" i="6"/>
  <c r="H5508" i="6"/>
  <c r="H5509" i="6"/>
  <c r="H5510" i="6"/>
  <c r="H5511" i="6"/>
  <c r="H5512" i="6"/>
  <c r="H5513" i="6"/>
  <c r="H5514" i="6"/>
  <c r="H5515" i="6"/>
  <c r="H5516" i="6"/>
  <c r="H5517" i="6"/>
  <c r="H5518" i="6"/>
  <c r="H5519" i="6"/>
  <c r="H5520" i="6"/>
  <c r="H5521" i="6"/>
  <c r="H5522" i="6"/>
  <c r="H5523" i="6"/>
  <c r="H5524" i="6"/>
  <c r="H5525" i="6"/>
  <c r="H5526" i="6"/>
  <c r="H5527" i="6"/>
  <c r="H5528" i="6"/>
  <c r="H5529" i="6"/>
  <c r="H5530" i="6"/>
  <c r="H5531" i="6"/>
  <c r="H5532" i="6"/>
  <c r="H5533" i="6"/>
  <c r="H5534" i="6"/>
  <c r="H5535" i="6"/>
  <c r="H5536" i="6"/>
  <c r="H5537" i="6"/>
  <c r="H5538" i="6"/>
  <c r="H5539" i="6"/>
  <c r="H5540" i="6"/>
  <c r="H5541" i="6"/>
  <c r="H5542" i="6"/>
  <c r="G5" i="6"/>
  <c r="M5" i="6" s="1"/>
  <c r="G6" i="6"/>
  <c r="M6" i="6" s="1"/>
  <c r="G7" i="6"/>
  <c r="M7" i="6" s="1"/>
  <c r="G8" i="6"/>
  <c r="M8" i="6" s="1"/>
  <c r="G9" i="6"/>
  <c r="M9" i="6" s="1"/>
  <c r="G10" i="6"/>
  <c r="M10" i="6" s="1"/>
  <c r="G11" i="6"/>
  <c r="M11" i="6" s="1"/>
  <c r="G12" i="6"/>
  <c r="M12" i="6" s="1"/>
  <c r="G13" i="6"/>
  <c r="M13" i="6" s="1"/>
  <c r="G14" i="6"/>
  <c r="M14" i="6" s="1"/>
  <c r="G15" i="6"/>
  <c r="M15" i="6" s="1"/>
  <c r="G16" i="6"/>
  <c r="M16" i="6" s="1"/>
  <c r="G17" i="6"/>
  <c r="M17" i="6" s="1"/>
  <c r="G18" i="6"/>
  <c r="M18" i="6" s="1"/>
  <c r="G19" i="6"/>
  <c r="M19" i="6" s="1"/>
  <c r="G20" i="6"/>
  <c r="M20" i="6" s="1"/>
  <c r="G21" i="6"/>
  <c r="M21" i="6" s="1"/>
  <c r="G22" i="6"/>
  <c r="M22" i="6" s="1"/>
  <c r="G23" i="6"/>
  <c r="M23" i="6" s="1"/>
  <c r="G24" i="6"/>
  <c r="M24" i="6" s="1"/>
  <c r="G25" i="6"/>
  <c r="M25" i="6" s="1"/>
  <c r="G26" i="6"/>
  <c r="M26" i="6" s="1"/>
  <c r="G27" i="6"/>
  <c r="M27" i="6" s="1"/>
  <c r="G28" i="6"/>
  <c r="M28" i="6" s="1"/>
  <c r="G29" i="6"/>
  <c r="M29" i="6" s="1"/>
  <c r="G30" i="6"/>
  <c r="M30" i="6" s="1"/>
  <c r="G31" i="6"/>
  <c r="M31" i="6" s="1"/>
  <c r="G32" i="6"/>
  <c r="M32" i="6" s="1"/>
  <c r="G33" i="6"/>
  <c r="M33" i="6" s="1"/>
  <c r="G34" i="6"/>
  <c r="M34" i="6" s="1"/>
  <c r="G35" i="6"/>
  <c r="M35" i="6" s="1"/>
  <c r="G36" i="6"/>
  <c r="M36" i="6" s="1"/>
  <c r="G37" i="6"/>
  <c r="M37" i="6" s="1"/>
  <c r="G38" i="6"/>
  <c r="M38" i="6" s="1"/>
  <c r="G39" i="6"/>
  <c r="M39" i="6" s="1"/>
  <c r="G40" i="6"/>
  <c r="M40" i="6" s="1"/>
  <c r="G41" i="6"/>
  <c r="M41" i="6" s="1"/>
  <c r="G42" i="6"/>
  <c r="M42" i="6" s="1"/>
  <c r="G43" i="6"/>
  <c r="M43" i="6" s="1"/>
  <c r="G44" i="6"/>
  <c r="M44" i="6" s="1"/>
  <c r="G45" i="6"/>
  <c r="M45" i="6" s="1"/>
  <c r="G46" i="6"/>
  <c r="M46" i="6" s="1"/>
  <c r="G47" i="6"/>
  <c r="M47" i="6" s="1"/>
  <c r="G48" i="6"/>
  <c r="M48" i="6" s="1"/>
  <c r="G49" i="6"/>
  <c r="M49" i="6" s="1"/>
  <c r="G50" i="6"/>
  <c r="M50" i="6" s="1"/>
  <c r="G51" i="6"/>
  <c r="M51" i="6" s="1"/>
  <c r="G52" i="6"/>
  <c r="M52" i="6" s="1"/>
  <c r="G53" i="6"/>
  <c r="M53" i="6" s="1"/>
  <c r="G54" i="6"/>
  <c r="M54" i="6" s="1"/>
  <c r="G55" i="6"/>
  <c r="M55" i="6" s="1"/>
  <c r="G56" i="6"/>
  <c r="M56" i="6" s="1"/>
  <c r="G57" i="6"/>
  <c r="M57" i="6" s="1"/>
  <c r="G58" i="6"/>
  <c r="M58" i="6" s="1"/>
  <c r="G59" i="6"/>
  <c r="M59" i="6" s="1"/>
  <c r="G60" i="6"/>
  <c r="M60" i="6" s="1"/>
  <c r="G61" i="6"/>
  <c r="M61" i="6" s="1"/>
  <c r="G62" i="6"/>
  <c r="M62" i="6" s="1"/>
  <c r="G63" i="6"/>
  <c r="M63" i="6" s="1"/>
  <c r="G64" i="6"/>
  <c r="M64" i="6" s="1"/>
  <c r="G65" i="6"/>
  <c r="M65" i="6" s="1"/>
  <c r="G66" i="6"/>
  <c r="M66" i="6" s="1"/>
  <c r="G67" i="6"/>
  <c r="M67" i="6" s="1"/>
  <c r="G68" i="6"/>
  <c r="M68" i="6" s="1"/>
  <c r="G69" i="6"/>
  <c r="M69" i="6" s="1"/>
  <c r="G70" i="6"/>
  <c r="M70" i="6" s="1"/>
  <c r="G71" i="6"/>
  <c r="M71" i="6" s="1"/>
  <c r="G72" i="6"/>
  <c r="M72" i="6" s="1"/>
  <c r="G73" i="6"/>
  <c r="M73" i="6" s="1"/>
  <c r="G74" i="6"/>
  <c r="M74" i="6" s="1"/>
  <c r="G75" i="6"/>
  <c r="M75" i="6" s="1"/>
  <c r="G76" i="6"/>
  <c r="M76" i="6" s="1"/>
  <c r="G77" i="6"/>
  <c r="M77" i="6" s="1"/>
  <c r="G78" i="6"/>
  <c r="M78" i="6" s="1"/>
  <c r="G79" i="6"/>
  <c r="M79" i="6" s="1"/>
  <c r="G80" i="6"/>
  <c r="M80" i="6" s="1"/>
  <c r="G81" i="6"/>
  <c r="M81" i="6" s="1"/>
  <c r="G82" i="6"/>
  <c r="M82" i="6" s="1"/>
  <c r="G83" i="6"/>
  <c r="M83" i="6" s="1"/>
  <c r="G84" i="6"/>
  <c r="M84" i="6" s="1"/>
  <c r="G85" i="6"/>
  <c r="M85" i="6" s="1"/>
  <c r="G86" i="6"/>
  <c r="M86" i="6" s="1"/>
  <c r="G87" i="6"/>
  <c r="M87" i="6" s="1"/>
  <c r="G88" i="6"/>
  <c r="M88" i="6" s="1"/>
  <c r="G89" i="6"/>
  <c r="M89" i="6" s="1"/>
  <c r="G90" i="6"/>
  <c r="M90" i="6" s="1"/>
  <c r="G91" i="6"/>
  <c r="M91" i="6" s="1"/>
  <c r="G92" i="6"/>
  <c r="M92" i="6" s="1"/>
  <c r="G93" i="6"/>
  <c r="M93" i="6" s="1"/>
  <c r="G94" i="6"/>
  <c r="M94" i="6" s="1"/>
  <c r="G95" i="6"/>
  <c r="M95" i="6" s="1"/>
  <c r="G96" i="6"/>
  <c r="M96" i="6" s="1"/>
  <c r="G97" i="6"/>
  <c r="M97" i="6" s="1"/>
  <c r="G98" i="6"/>
  <c r="M98" i="6" s="1"/>
  <c r="G99" i="6"/>
  <c r="M99" i="6" s="1"/>
  <c r="G100" i="6"/>
  <c r="M100" i="6" s="1"/>
  <c r="G101" i="6"/>
  <c r="M101" i="6" s="1"/>
  <c r="G102" i="6"/>
  <c r="M102" i="6" s="1"/>
  <c r="G103" i="6"/>
  <c r="M103" i="6" s="1"/>
  <c r="G104" i="6"/>
  <c r="M104" i="6" s="1"/>
  <c r="G105" i="6"/>
  <c r="M105" i="6" s="1"/>
  <c r="G106" i="6"/>
  <c r="M106" i="6" s="1"/>
  <c r="G107" i="6"/>
  <c r="M107" i="6" s="1"/>
  <c r="G108" i="6"/>
  <c r="M108" i="6" s="1"/>
  <c r="G109" i="6"/>
  <c r="M109" i="6" s="1"/>
  <c r="G110" i="6"/>
  <c r="M110" i="6" s="1"/>
  <c r="G111" i="6"/>
  <c r="M111" i="6" s="1"/>
  <c r="G112" i="6"/>
  <c r="M112" i="6" s="1"/>
  <c r="G113" i="6"/>
  <c r="M113" i="6" s="1"/>
  <c r="G114" i="6"/>
  <c r="M114" i="6" s="1"/>
  <c r="G115" i="6"/>
  <c r="M115" i="6" s="1"/>
  <c r="G116" i="6"/>
  <c r="M116" i="6" s="1"/>
  <c r="G117" i="6"/>
  <c r="M117" i="6" s="1"/>
  <c r="G118" i="6"/>
  <c r="M118" i="6" s="1"/>
  <c r="G119" i="6"/>
  <c r="M119" i="6" s="1"/>
  <c r="G120" i="6"/>
  <c r="M120" i="6" s="1"/>
  <c r="G121" i="6"/>
  <c r="M121" i="6" s="1"/>
  <c r="G122" i="6"/>
  <c r="M122" i="6" s="1"/>
  <c r="G123" i="6"/>
  <c r="M123" i="6" s="1"/>
  <c r="G124" i="6"/>
  <c r="M124" i="6" s="1"/>
  <c r="G125" i="6"/>
  <c r="M125" i="6" s="1"/>
  <c r="G126" i="6"/>
  <c r="M126" i="6" s="1"/>
  <c r="G127" i="6"/>
  <c r="M127" i="6" s="1"/>
  <c r="G128" i="6"/>
  <c r="M128" i="6" s="1"/>
  <c r="G129" i="6"/>
  <c r="M129" i="6" s="1"/>
  <c r="G130" i="6"/>
  <c r="M130" i="6" s="1"/>
  <c r="G131" i="6"/>
  <c r="M131" i="6" s="1"/>
  <c r="G132" i="6"/>
  <c r="M132" i="6" s="1"/>
  <c r="G133" i="6"/>
  <c r="M133" i="6" s="1"/>
  <c r="G134" i="6"/>
  <c r="M134" i="6" s="1"/>
  <c r="G135" i="6"/>
  <c r="M135" i="6" s="1"/>
  <c r="G136" i="6"/>
  <c r="M136" i="6" s="1"/>
  <c r="G137" i="6"/>
  <c r="M137" i="6" s="1"/>
  <c r="G138" i="6"/>
  <c r="M138" i="6" s="1"/>
  <c r="G139" i="6"/>
  <c r="M139" i="6" s="1"/>
  <c r="G140" i="6"/>
  <c r="M140" i="6" s="1"/>
  <c r="G141" i="6"/>
  <c r="M141" i="6" s="1"/>
  <c r="G142" i="6"/>
  <c r="M142" i="6" s="1"/>
  <c r="G143" i="6"/>
  <c r="M143" i="6" s="1"/>
  <c r="G144" i="6"/>
  <c r="M144" i="6" s="1"/>
  <c r="G145" i="6"/>
  <c r="M145" i="6" s="1"/>
  <c r="G146" i="6"/>
  <c r="M146" i="6" s="1"/>
  <c r="G147" i="6"/>
  <c r="M147" i="6" s="1"/>
  <c r="G148" i="6"/>
  <c r="M148" i="6" s="1"/>
  <c r="G149" i="6"/>
  <c r="M149" i="6" s="1"/>
  <c r="G150" i="6"/>
  <c r="M150" i="6" s="1"/>
  <c r="G151" i="6"/>
  <c r="M151" i="6" s="1"/>
  <c r="G152" i="6"/>
  <c r="M152" i="6" s="1"/>
  <c r="G153" i="6"/>
  <c r="M153" i="6" s="1"/>
  <c r="G154" i="6"/>
  <c r="M154" i="6" s="1"/>
  <c r="G155" i="6"/>
  <c r="M155" i="6" s="1"/>
  <c r="G156" i="6"/>
  <c r="M156" i="6" s="1"/>
  <c r="G157" i="6"/>
  <c r="M157" i="6" s="1"/>
  <c r="G158" i="6"/>
  <c r="M158" i="6" s="1"/>
  <c r="G159" i="6"/>
  <c r="M159" i="6" s="1"/>
  <c r="G160" i="6"/>
  <c r="M160" i="6" s="1"/>
  <c r="G161" i="6"/>
  <c r="M161" i="6" s="1"/>
  <c r="G162" i="6"/>
  <c r="M162" i="6" s="1"/>
  <c r="G163" i="6"/>
  <c r="M163" i="6" s="1"/>
  <c r="G164" i="6"/>
  <c r="M164" i="6" s="1"/>
  <c r="G165" i="6"/>
  <c r="M165" i="6" s="1"/>
  <c r="G166" i="6"/>
  <c r="M166" i="6" s="1"/>
  <c r="G167" i="6"/>
  <c r="M167" i="6" s="1"/>
  <c r="G168" i="6"/>
  <c r="M168" i="6" s="1"/>
  <c r="G169" i="6"/>
  <c r="M169" i="6" s="1"/>
  <c r="G170" i="6"/>
  <c r="M170" i="6" s="1"/>
  <c r="G171" i="6"/>
  <c r="M171" i="6" s="1"/>
  <c r="G172" i="6"/>
  <c r="M172" i="6" s="1"/>
  <c r="G173" i="6"/>
  <c r="M173" i="6" s="1"/>
  <c r="G174" i="6"/>
  <c r="M174" i="6" s="1"/>
  <c r="G175" i="6"/>
  <c r="M175" i="6" s="1"/>
  <c r="G176" i="6"/>
  <c r="M176" i="6" s="1"/>
  <c r="G177" i="6"/>
  <c r="M177" i="6" s="1"/>
  <c r="G178" i="6"/>
  <c r="M178" i="6" s="1"/>
  <c r="G179" i="6"/>
  <c r="M179" i="6" s="1"/>
  <c r="G180" i="6"/>
  <c r="M180" i="6" s="1"/>
  <c r="G181" i="6"/>
  <c r="M181" i="6" s="1"/>
  <c r="G182" i="6"/>
  <c r="M182" i="6" s="1"/>
  <c r="G183" i="6"/>
  <c r="M183" i="6" s="1"/>
  <c r="G184" i="6"/>
  <c r="M184" i="6" s="1"/>
  <c r="G185" i="6"/>
  <c r="M185" i="6" s="1"/>
  <c r="G186" i="6"/>
  <c r="M186" i="6" s="1"/>
  <c r="G187" i="6"/>
  <c r="M187" i="6" s="1"/>
  <c r="G188" i="6"/>
  <c r="M188" i="6" s="1"/>
  <c r="G189" i="6"/>
  <c r="M189" i="6" s="1"/>
  <c r="G190" i="6"/>
  <c r="M190" i="6" s="1"/>
  <c r="G191" i="6"/>
  <c r="M191" i="6" s="1"/>
  <c r="G192" i="6"/>
  <c r="M192" i="6" s="1"/>
  <c r="G193" i="6"/>
  <c r="M193" i="6" s="1"/>
  <c r="G194" i="6"/>
  <c r="M194" i="6" s="1"/>
  <c r="G195" i="6"/>
  <c r="M195" i="6" s="1"/>
  <c r="G196" i="6"/>
  <c r="M196" i="6" s="1"/>
  <c r="G197" i="6"/>
  <c r="M197" i="6" s="1"/>
  <c r="G198" i="6"/>
  <c r="M198" i="6" s="1"/>
  <c r="G199" i="6"/>
  <c r="M199" i="6" s="1"/>
  <c r="G200" i="6"/>
  <c r="M200" i="6" s="1"/>
  <c r="G201" i="6"/>
  <c r="M201" i="6" s="1"/>
  <c r="G202" i="6"/>
  <c r="M202" i="6" s="1"/>
  <c r="G203" i="6"/>
  <c r="M203" i="6" s="1"/>
  <c r="G204" i="6"/>
  <c r="M204" i="6" s="1"/>
  <c r="G205" i="6"/>
  <c r="M205" i="6" s="1"/>
  <c r="G206" i="6"/>
  <c r="M206" i="6" s="1"/>
  <c r="G207" i="6"/>
  <c r="M207" i="6" s="1"/>
  <c r="G208" i="6"/>
  <c r="M208" i="6" s="1"/>
  <c r="G209" i="6"/>
  <c r="M209" i="6" s="1"/>
  <c r="G210" i="6"/>
  <c r="M210" i="6" s="1"/>
  <c r="G211" i="6"/>
  <c r="M211" i="6" s="1"/>
  <c r="G212" i="6"/>
  <c r="M212" i="6" s="1"/>
  <c r="G213" i="6"/>
  <c r="M213" i="6" s="1"/>
  <c r="G214" i="6"/>
  <c r="M214" i="6" s="1"/>
  <c r="G215" i="6"/>
  <c r="M215" i="6" s="1"/>
  <c r="G216" i="6"/>
  <c r="M216" i="6" s="1"/>
  <c r="G217" i="6"/>
  <c r="M217" i="6" s="1"/>
  <c r="G218" i="6"/>
  <c r="M218" i="6" s="1"/>
  <c r="G219" i="6"/>
  <c r="M219" i="6" s="1"/>
  <c r="G220" i="6"/>
  <c r="M220" i="6" s="1"/>
  <c r="G221" i="6"/>
  <c r="M221" i="6" s="1"/>
  <c r="G222" i="6"/>
  <c r="M222" i="6" s="1"/>
  <c r="G223" i="6"/>
  <c r="M223" i="6" s="1"/>
  <c r="G224" i="6"/>
  <c r="M224" i="6" s="1"/>
  <c r="G225" i="6"/>
  <c r="M225" i="6" s="1"/>
  <c r="G226" i="6"/>
  <c r="M226" i="6" s="1"/>
  <c r="G227" i="6"/>
  <c r="M227" i="6" s="1"/>
  <c r="G228" i="6"/>
  <c r="M228" i="6" s="1"/>
  <c r="G229" i="6"/>
  <c r="M229" i="6" s="1"/>
  <c r="G230" i="6"/>
  <c r="M230" i="6" s="1"/>
  <c r="G231" i="6"/>
  <c r="M231" i="6" s="1"/>
  <c r="G232" i="6"/>
  <c r="M232" i="6" s="1"/>
  <c r="G233" i="6"/>
  <c r="M233" i="6" s="1"/>
  <c r="G234" i="6"/>
  <c r="M234" i="6" s="1"/>
  <c r="G235" i="6"/>
  <c r="M235" i="6" s="1"/>
  <c r="G236" i="6"/>
  <c r="M236" i="6" s="1"/>
  <c r="G237" i="6"/>
  <c r="M237" i="6" s="1"/>
  <c r="G238" i="6"/>
  <c r="M238" i="6" s="1"/>
  <c r="G239" i="6"/>
  <c r="M239" i="6" s="1"/>
  <c r="G240" i="6"/>
  <c r="M240" i="6" s="1"/>
  <c r="G241" i="6"/>
  <c r="M241" i="6" s="1"/>
  <c r="G242" i="6"/>
  <c r="M242" i="6" s="1"/>
  <c r="G243" i="6"/>
  <c r="M243" i="6" s="1"/>
  <c r="G244" i="6"/>
  <c r="M244" i="6" s="1"/>
  <c r="G245" i="6"/>
  <c r="M245" i="6" s="1"/>
  <c r="G246" i="6"/>
  <c r="M246" i="6" s="1"/>
  <c r="G247" i="6"/>
  <c r="M247" i="6" s="1"/>
  <c r="G248" i="6"/>
  <c r="M248" i="6" s="1"/>
  <c r="G249" i="6"/>
  <c r="M249" i="6" s="1"/>
  <c r="G250" i="6"/>
  <c r="M250" i="6" s="1"/>
  <c r="G251" i="6"/>
  <c r="M251" i="6" s="1"/>
  <c r="G252" i="6"/>
  <c r="M252" i="6" s="1"/>
  <c r="G253" i="6"/>
  <c r="M253" i="6" s="1"/>
  <c r="G254" i="6"/>
  <c r="M254" i="6" s="1"/>
  <c r="G255" i="6"/>
  <c r="M255" i="6" s="1"/>
  <c r="G256" i="6"/>
  <c r="M256" i="6" s="1"/>
  <c r="G257" i="6"/>
  <c r="M257" i="6" s="1"/>
  <c r="G258" i="6"/>
  <c r="M258" i="6" s="1"/>
  <c r="G259" i="6"/>
  <c r="M259" i="6" s="1"/>
  <c r="G260" i="6"/>
  <c r="M260" i="6" s="1"/>
  <c r="G261" i="6"/>
  <c r="M261" i="6" s="1"/>
  <c r="G262" i="6"/>
  <c r="M262" i="6" s="1"/>
  <c r="G263" i="6"/>
  <c r="M263" i="6" s="1"/>
  <c r="G264" i="6"/>
  <c r="M264" i="6" s="1"/>
  <c r="G265" i="6"/>
  <c r="M265" i="6" s="1"/>
  <c r="G266" i="6"/>
  <c r="M266" i="6" s="1"/>
  <c r="G267" i="6"/>
  <c r="M267" i="6" s="1"/>
  <c r="G268" i="6"/>
  <c r="M268" i="6" s="1"/>
  <c r="G269" i="6"/>
  <c r="M269" i="6" s="1"/>
  <c r="G270" i="6"/>
  <c r="M270" i="6" s="1"/>
  <c r="G271" i="6"/>
  <c r="M271" i="6" s="1"/>
  <c r="G272" i="6"/>
  <c r="M272" i="6" s="1"/>
  <c r="G273" i="6"/>
  <c r="M273" i="6" s="1"/>
  <c r="G274" i="6"/>
  <c r="M274" i="6" s="1"/>
  <c r="G275" i="6"/>
  <c r="M275" i="6" s="1"/>
  <c r="G276" i="6"/>
  <c r="M276" i="6" s="1"/>
  <c r="G277" i="6"/>
  <c r="M277" i="6" s="1"/>
  <c r="G278" i="6"/>
  <c r="M278" i="6" s="1"/>
  <c r="G279" i="6"/>
  <c r="M279" i="6" s="1"/>
  <c r="G280" i="6"/>
  <c r="M280" i="6" s="1"/>
  <c r="G281" i="6"/>
  <c r="M281" i="6" s="1"/>
  <c r="G282" i="6"/>
  <c r="M282" i="6" s="1"/>
  <c r="G283" i="6"/>
  <c r="M283" i="6" s="1"/>
  <c r="G284" i="6"/>
  <c r="M284" i="6" s="1"/>
  <c r="G285" i="6"/>
  <c r="M285" i="6" s="1"/>
  <c r="G286" i="6"/>
  <c r="M286" i="6" s="1"/>
  <c r="G287" i="6"/>
  <c r="M287" i="6" s="1"/>
  <c r="G288" i="6"/>
  <c r="M288" i="6" s="1"/>
  <c r="G289" i="6"/>
  <c r="M289" i="6" s="1"/>
  <c r="G290" i="6"/>
  <c r="M290" i="6" s="1"/>
  <c r="G291" i="6"/>
  <c r="M291" i="6" s="1"/>
  <c r="G292" i="6"/>
  <c r="M292" i="6" s="1"/>
  <c r="G293" i="6"/>
  <c r="M293" i="6" s="1"/>
  <c r="G294" i="6"/>
  <c r="M294" i="6" s="1"/>
  <c r="G295" i="6"/>
  <c r="M295" i="6" s="1"/>
  <c r="G296" i="6"/>
  <c r="M296" i="6" s="1"/>
  <c r="G297" i="6"/>
  <c r="M297" i="6" s="1"/>
  <c r="G298" i="6"/>
  <c r="M298" i="6" s="1"/>
  <c r="G299" i="6"/>
  <c r="M299" i="6" s="1"/>
  <c r="G300" i="6"/>
  <c r="M300" i="6" s="1"/>
  <c r="G301" i="6"/>
  <c r="M301" i="6" s="1"/>
  <c r="G302" i="6"/>
  <c r="M302" i="6" s="1"/>
  <c r="G303" i="6"/>
  <c r="M303" i="6" s="1"/>
  <c r="G304" i="6"/>
  <c r="M304" i="6" s="1"/>
  <c r="G305" i="6"/>
  <c r="M305" i="6" s="1"/>
  <c r="G306" i="6"/>
  <c r="M306" i="6" s="1"/>
  <c r="G307" i="6"/>
  <c r="M307" i="6" s="1"/>
  <c r="G308" i="6"/>
  <c r="M308" i="6" s="1"/>
  <c r="G309" i="6"/>
  <c r="M309" i="6" s="1"/>
  <c r="G310" i="6"/>
  <c r="M310" i="6" s="1"/>
  <c r="G311" i="6"/>
  <c r="M311" i="6" s="1"/>
  <c r="G312" i="6"/>
  <c r="M312" i="6" s="1"/>
  <c r="G313" i="6"/>
  <c r="M313" i="6" s="1"/>
  <c r="G314" i="6"/>
  <c r="M314" i="6" s="1"/>
  <c r="G315" i="6"/>
  <c r="M315" i="6" s="1"/>
  <c r="G316" i="6"/>
  <c r="M316" i="6" s="1"/>
  <c r="G317" i="6"/>
  <c r="M317" i="6" s="1"/>
  <c r="G318" i="6"/>
  <c r="M318" i="6" s="1"/>
  <c r="G319" i="6"/>
  <c r="M319" i="6" s="1"/>
  <c r="G320" i="6"/>
  <c r="M320" i="6" s="1"/>
  <c r="G321" i="6"/>
  <c r="M321" i="6" s="1"/>
  <c r="G322" i="6"/>
  <c r="M322" i="6" s="1"/>
  <c r="G323" i="6"/>
  <c r="M323" i="6" s="1"/>
  <c r="G324" i="6"/>
  <c r="M324" i="6" s="1"/>
  <c r="G325" i="6"/>
  <c r="M325" i="6" s="1"/>
  <c r="G326" i="6"/>
  <c r="M326" i="6" s="1"/>
  <c r="G327" i="6"/>
  <c r="M327" i="6" s="1"/>
  <c r="G328" i="6"/>
  <c r="M328" i="6" s="1"/>
  <c r="G329" i="6"/>
  <c r="M329" i="6" s="1"/>
  <c r="G330" i="6"/>
  <c r="M330" i="6" s="1"/>
  <c r="G331" i="6"/>
  <c r="M331" i="6" s="1"/>
  <c r="G332" i="6"/>
  <c r="M332" i="6" s="1"/>
  <c r="G333" i="6"/>
  <c r="M333" i="6" s="1"/>
  <c r="G334" i="6"/>
  <c r="M334" i="6" s="1"/>
  <c r="G335" i="6"/>
  <c r="M335" i="6" s="1"/>
  <c r="G336" i="6"/>
  <c r="M336" i="6" s="1"/>
  <c r="G337" i="6"/>
  <c r="M337" i="6" s="1"/>
  <c r="G338" i="6"/>
  <c r="M338" i="6" s="1"/>
  <c r="G339" i="6"/>
  <c r="M339" i="6" s="1"/>
  <c r="G340" i="6"/>
  <c r="M340" i="6" s="1"/>
  <c r="G341" i="6"/>
  <c r="M341" i="6" s="1"/>
  <c r="G342" i="6"/>
  <c r="M342" i="6" s="1"/>
  <c r="G343" i="6"/>
  <c r="M343" i="6" s="1"/>
  <c r="G344" i="6"/>
  <c r="M344" i="6" s="1"/>
  <c r="G345" i="6"/>
  <c r="M345" i="6" s="1"/>
  <c r="G346" i="6"/>
  <c r="M346" i="6" s="1"/>
  <c r="G347" i="6"/>
  <c r="M347" i="6" s="1"/>
  <c r="G348" i="6"/>
  <c r="M348" i="6" s="1"/>
  <c r="G349" i="6"/>
  <c r="M349" i="6" s="1"/>
  <c r="G350" i="6"/>
  <c r="M350" i="6" s="1"/>
  <c r="G351" i="6"/>
  <c r="M351" i="6" s="1"/>
  <c r="G352" i="6"/>
  <c r="M352" i="6" s="1"/>
  <c r="G353" i="6"/>
  <c r="M353" i="6" s="1"/>
  <c r="G354" i="6"/>
  <c r="M354" i="6" s="1"/>
  <c r="G355" i="6"/>
  <c r="M355" i="6" s="1"/>
  <c r="G356" i="6"/>
  <c r="M356" i="6" s="1"/>
  <c r="G357" i="6"/>
  <c r="M357" i="6" s="1"/>
  <c r="G358" i="6"/>
  <c r="M358" i="6" s="1"/>
  <c r="G359" i="6"/>
  <c r="M359" i="6" s="1"/>
  <c r="G360" i="6"/>
  <c r="M360" i="6" s="1"/>
  <c r="G361" i="6"/>
  <c r="M361" i="6" s="1"/>
  <c r="G362" i="6"/>
  <c r="M362" i="6" s="1"/>
  <c r="G363" i="6"/>
  <c r="M363" i="6" s="1"/>
  <c r="G364" i="6"/>
  <c r="M364" i="6" s="1"/>
  <c r="G365" i="6"/>
  <c r="M365" i="6" s="1"/>
  <c r="G366" i="6"/>
  <c r="M366" i="6" s="1"/>
  <c r="G367" i="6"/>
  <c r="M367" i="6" s="1"/>
  <c r="G368" i="6"/>
  <c r="M368" i="6" s="1"/>
  <c r="G369" i="6"/>
  <c r="M369" i="6" s="1"/>
  <c r="G370" i="6"/>
  <c r="M370" i="6" s="1"/>
  <c r="G371" i="6"/>
  <c r="M371" i="6" s="1"/>
  <c r="G372" i="6"/>
  <c r="M372" i="6" s="1"/>
  <c r="G373" i="6"/>
  <c r="M373" i="6" s="1"/>
  <c r="G374" i="6"/>
  <c r="M374" i="6" s="1"/>
  <c r="G375" i="6"/>
  <c r="M375" i="6" s="1"/>
  <c r="G376" i="6"/>
  <c r="M376" i="6" s="1"/>
  <c r="G377" i="6"/>
  <c r="M377" i="6" s="1"/>
  <c r="G378" i="6"/>
  <c r="M378" i="6" s="1"/>
  <c r="G379" i="6"/>
  <c r="M379" i="6" s="1"/>
  <c r="G380" i="6"/>
  <c r="M380" i="6" s="1"/>
  <c r="G381" i="6"/>
  <c r="M381" i="6" s="1"/>
  <c r="G382" i="6"/>
  <c r="M382" i="6" s="1"/>
  <c r="G383" i="6"/>
  <c r="M383" i="6" s="1"/>
  <c r="G384" i="6"/>
  <c r="M384" i="6" s="1"/>
  <c r="G385" i="6"/>
  <c r="M385" i="6" s="1"/>
  <c r="G386" i="6"/>
  <c r="M386" i="6" s="1"/>
  <c r="G387" i="6"/>
  <c r="M387" i="6" s="1"/>
  <c r="G388" i="6"/>
  <c r="M388" i="6" s="1"/>
  <c r="G389" i="6"/>
  <c r="M389" i="6" s="1"/>
  <c r="G390" i="6"/>
  <c r="M390" i="6" s="1"/>
  <c r="G391" i="6"/>
  <c r="M391" i="6" s="1"/>
  <c r="G392" i="6"/>
  <c r="M392" i="6" s="1"/>
  <c r="G393" i="6"/>
  <c r="M393" i="6" s="1"/>
  <c r="G394" i="6"/>
  <c r="M394" i="6" s="1"/>
  <c r="G395" i="6"/>
  <c r="M395" i="6" s="1"/>
  <c r="G396" i="6"/>
  <c r="M396" i="6" s="1"/>
  <c r="G397" i="6"/>
  <c r="M397" i="6" s="1"/>
  <c r="G398" i="6"/>
  <c r="M398" i="6" s="1"/>
  <c r="G399" i="6"/>
  <c r="M399" i="6" s="1"/>
  <c r="G400" i="6"/>
  <c r="M400" i="6" s="1"/>
  <c r="G401" i="6"/>
  <c r="M401" i="6" s="1"/>
  <c r="G402" i="6"/>
  <c r="M402" i="6" s="1"/>
  <c r="G403" i="6"/>
  <c r="M403" i="6" s="1"/>
  <c r="G404" i="6"/>
  <c r="M404" i="6" s="1"/>
  <c r="G405" i="6"/>
  <c r="M405" i="6" s="1"/>
  <c r="G406" i="6"/>
  <c r="M406" i="6" s="1"/>
  <c r="G407" i="6"/>
  <c r="M407" i="6" s="1"/>
  <c r="G408" i="6"/>
  <c r="M408" i="6" s="1"/>
  <c r="G409" i="6"/>
  <c r="M409" i="6" s="1"/>
  <c r="G410" i="6"/>
  <c r="M410" i="6" s="1"/>
  <c r="G411" i="6"/>
  <c r="M411" i="6" s="1"/>
  <c r="G412" i="6"/>
  <c r="M412" i="6" s="1"/>
  <c r="G413" i="6"/>
  <c r="M413" i="6" s="1"/>
  <c r="G414" i="6"/>
  <c r="M414" i="6" s="1"/>
  <c r="G415" i="6"/>
  <c r="M415" i="6" s="1"/>
  <c r="G416" i="6"/>
  <c r="M416" i="6" s="1"/>
  <c r="G417" i="6"/>
  <c r="M417" i="6" s="1"/>
  <c r="G418" i="6"/>
  <c r="M418" i="6" s="1"/>
  <c r="G419" i="6"/>
  <c r="M419" i="6" s="1"/>
  <c r="G420" i="6"/>
  <c r="M420" i="6" s="1"/>
  <c r="G421" i="6"/>
  <c r="M421" i="6" s="1"/>
  <c r="G422" i="6"/>
  <c r="M422" i="6" s="1"/>
  <c r="G423" i="6"/>
  <c r="M423" i="6" s="1"/>
  <c r="G424" i="6"/>
  <c r="M424" i="6" s="1"/>
  <c r="G425" i="6"/>
  <c r="M425" i="6" s="1"/>
  <c r="G426" i="6"/>
  <c r="M426" i="6" s="1"/>
  <c r="G427" i="6"/>
  <c r="M427" i="6" s="1"/>
  <c r="G428" i="6"/>
  <c r="M428" i="6" s="1"/>
  <c r="G429" i="6"/>
  <c r="M429" i="6" s="1"/>
  <c r="G430" i="6"/>
  <c r="M430" i="6" s="1"/>
  <c r="G431" i="6"/>
  <c r="M431" i="6" s="1"/>
  <c r="G432" i="6"/>
  <c r="M432" i="6" s="1"/>
  <c r="G433" i="6"/>
  <c r="M433" i="6" s="1"/>
  <c r="G434" i="6"/>
  <c r="M434" i="6" s="1"/>
  <c r="G435" i="6"/>
  <c r="M435" i="6" s="1"/>
  <c r="G436" i="6"/>
  <c r="M436" i="6" s="1"/>
  <c r="G437" i="6"/>
  <c r="M437" i="6" s="1"/>
  <c r="G438" i="6"/>
  <c r="M438" i="6" s="1"/>
  <c r="G439" i="6"/>
  <c r="M439" i="6" s="1"/>
  <c r="G440" i="6"/>
  <c r="M440" i="6" s="1"/>
  <c r="G441" i="6"/>
  <c r="M441" i="6" s="1"/>
  <c r="G442" i="6"/>
  <c r="M442" i="6" s="1"/>
  <c r="G443" i="6"/>
  <c r="M443" i="6" s="1"/>
  <c r="G444" i="6"/>
  <c r="M444" i="6" s="1"/>
  <c r="G445" i="6"/>
  <c r="M445" i="6" s="1"/>
  <c r="G446" i="6"/>
  <c r="M446" i="6" s="1"/>
  <c r="G447" i="6"/>
  <c r="M447" i="6" s="1"/>
  <c r="G448" i="6"/>
  <c r="M448" i="6" s="1"/>
  <c r="G449" i="6"/>
  <c r="M449" i="6" s="1"/>
  <c r="G450" i="6"/>
  <c r="M450" i="6" s="1"/>
  <c r="G451" i="6"/>
  <c r="M451" i="6" s="1"/>
  <c r="G452" i="6"/>
  <c r="M452" i="6" s="1"/>
  <c r="G453" i="6"/>
  <c r="M453" i="6" s="1"/>
  <c r="G454" i="6"/>
  <c r="M454" i="6" s="1"/>
  <c r="G455" i="6"/>
  <c r="M455" i="6" s="1"/>
  <c r="G456" i="6"/>
  <c r="M456" i="6" s="1"/>
  <c r="G457" i="6"/>
  <c r="M457" i="6" s="1"/>
  <c r="G458" i="6"/>
  <c r="M458" i="6" s="1"/>
  <c r="G459" i="6"/>
  <c r="M459" i="6" s="1"/>
  <c r="G460" i="6"/>
  <c r="M460" i="6" s="1"/>
  <c r="G461" i="6"/>
  <c r="M461" i="6" s="1"/>
  <c r="G462" i="6"/>
  <c r="M462" i="6" s="1"/>
  <c r="G463" i="6"/>
  <c r="M463" i="6" s="1"/>
  <c r="G464" i="6"/>
  <c r="M464" i="6" s="1"/>
  <c r="G465" i="6"/>
  <c r="M465" i="6" s="1"/>
  <c r="G466" i="6"/>
  <c r="M466" i="6" s="1"/>
  <c r="G467" i="6"/>
  <c r="M467" i="6" s="1"/>
  <c r="G468" i="6"/>
  <c r="M468" i="6" s="1"/>
  <c r="G469" i="6"/>
  <c r="M469" i="6" s="1"/>
  <c r="G470" i="6"/>
  <c r="M470" i="6" s="1"/>
  <c r="G471" i="6"/>
  <c r="M471" i="6" s="1"/>
  <c r="G472" i="6"/>
  <c r="M472" i="6" s="1"/>
  <c r="G473" i="6"/>
  <c r="M473" i="6" s="1"/>
  <c r="G474" i="6"/>
  <c r="M474" i="6" s="1"/>
  <c r="G475" i="6"/>
  <c r="M475" i="6" s="1"/>
  <c r="G476" i="6"/>
  <c r="M476" i="6" s="1"/>
  <c r="G477" i="6"/>
  <c r="M477" i="6" s="1"/>
  <c r="G478" i="6"/>
  <c r="M478" i="6" s="1"/>
  <c r="G479" i="6"/>
  <c r="M479" i="6" s="1"/>
  <c r="G480" i="6"/>
  <c r="M480" i="6" s="1"/>
  <c r="G481" i="6"/>
  <c r="M481" i="6" s="1"/>
  <c r="G482" i="6"/>
  <c r="M482" i="6" s="1"/>
  <c r="G483" i="6"/>
  <c r="M483" i="6" s="1"/>
  <c r="G484" i="6"/>
  <c r="M484" i="6" s="1"/>
  <c r="G485" i="6"/>
  <c r="M485" i="6" s="1"/>
  <c r="G486" i="6"/>
  <c r="M486" i="6" s="1"/>
  <c r="G487" i="6"/>
  <c r="M487" i="6" s="1"/>
  <c r="G488" i="6"/>
  <c r="M488" i="6" s="1"/>
  <c r="G489" i="6"/>
  <c r="M489" i="6" s="1"/>
  <c r="G490" i="6"/>
  <c r="M490" i="6" s="1"/>
  <c r="G491" i="6"/>
  <c r="M491" i="6" s="1"/>
  <c r="G492" i="6"/>
  <c r="M492" i="6" s="1"/>
  <c r="G493" i="6"/>
  <c r="M493" i="6" s="1"/>
  <c r="G494" i="6"/>
  <c r="M494" i="6" s="1"/>
  <c r="G495" i="6"/>
  <c r="M495" i="6" s="1"/>
  <c r="G496" i="6"/>
  <c r="M496" i="6" s="1"/>
  <c r="G497" i="6"/>
  <c r="M497" i="6" s="1"/>
  <c r="G498" i="6"/>
  <c r="M498" i="6" s="1"/>
  <c r="G499" i="6"/>
  <c r="M499" i="6" s="1"/>
  <c r="G500" i="6"/>
  <c r="M500" i="6" s="1"/>
  <c r="G501" i="6"/>
  <c r="M501" i="6" s="1"/>
  <c r="G502" i="6"/>
  <c r="M502" i="6" s="1"/>
  <c r="G503" i="6"/>
  <c r="M503" i="6" s="1"/>
  <c r="G504" i="6"/>
  <c r="M504" i="6" s="1"/>
  <c r="G505" i="6"/>
  <c r="M505" i="6" s="1"/>
  <c r="G506" i="6"/>
  <c r="M506" i="6" s="1"/>
  <c r="G507" i="6"/>
  <c r="M507" i="6" s="1"/>
  <c r="G508" i="6"/>
  <c r="M508" i="6" s="1"/>
  <c r="G509" i="6"/>
  <c r="M509" i="6" s="1"/>
  <c r="G510" i="6"/>
  <c r="M510" i="6" s="1"/>
  <c r="G511" i="6"/>
  <c r="M511" i="6" s="1"/>
  <c r="G512" i="6"/>
  <c r="M512" i="6" s="1"/>
  <c r="G513" i="6"/>
  <c r="M513" i="6" s="1"/>
  <c r="G514" i="6"/>
  <c r="M514" i="6" s="1"/>
  <c r="G515" i="6"/>
  <c r="M515" i="6" s="1"/>
  <c r="G516" i="6"/>
  <c r="M516" i="6" s="1"/>
  <c r="G517" i="6"/>
  <c r="M517" i="6" s="1"/>
  <c r="G518" i="6"/>
  <c r="M518" i="6" s="1"/>
  <c r="G519" i="6"/>
  <c r="M519" i="6" s="1"/>
  <c r="G520" i="6"/>
  <c r="M520" i="6" s="1"/>
  <c r="G521" i="6"/>
  <c r="M521" i="6" s="1"/>
  <c r="G522" i="6"/>
  <c r="M522" i="6" s="1"/>
  <c r="G523" i="6"/>
  <c r="M523" i="6" s="1"/>
  <c r="G524" i="6"/>
  <c r="M524" i="6" s="1"/>
  <c r="G525" i="6"/>
  <c r="M525" i="6" s="1"/>
  <c r="G526" i="6"/>
  <c r="M526" i="6" s="1"/>
  <c r="G527" i="6"/>
  <c r="M527" i="6" s="1"/>
  <c r="G528" i="6"/>
  <c r="M528" i="6" s="1"/>
  <c r="G529" i="6"/>
  <c r="M529" i="6" s="1"/>
  <c r="G530" i="6"/>
  <c r="M530" i="6" s="1"/>
  <c r="G531" i="6"/>
  <c r="M531" i="6" s="1"/>
  <c r="G532" i="6"/>
  <c r="M532" i="6" s="1"/>
  <c r="G533" i="6"/>
  <c r="M533" i="6" s="1"/>
  <c r="G534" i="6"/>
  <c r="M534" i="6" s="1"/>
  <c r="G535" i="6"/>
  <c r="M535" i="6" s="1"/>
  <c r="G536" i="6"/>
  <c r="M536" i="6" s="1"/>
  <c r="G537" i="6"/>
  <c r="M537" i="6" s="1"/>
  <c r="G538" i="6"/>
  <c r="M538" i="6" s="1"/>
  <c r="G539" i="6"/>
  <c r="M539" i="6" s="1"/>
  <c r="G540" i="6"/>
  <c r="M540" i="6" s="1"/>
  <c r="G541" i="6"/>
  <c r="M541" i="6" s="1"/>
  <c r="G542" i="6"/>
  <c r="M542" i="6" s="1"/>
  <c r="G543" i="6"/>
  <c r="M543" i="6" s="1"/>
  <c r="G544" i="6"/>
  <c r="M544" i="6" s="1"/>
  <c r="G545" i="6"/>
  <c r="M545" i="6" s="1"/>
  <c r="G546" i="6"/>
  <c r="M546" i="6" s="1"/>
  <c r="G547" i="6"/>
  <c r="M547" i="6" s="1"/>
  <c r="G548" i="6"/>
  <c r="M548" i="6" s="1"/>
  <c r="G549" i="6"/>
  <c r="M549" i="6" s="1"/>
  <c r="G550" i="6"/>
  <c r="M550" i="6" s="1"/>
  <c r="G551" i="6"/>
  <c r="M551" i="6" s="1"/>
  <c r="G552" i="6"/>
  <c r="M552" i="6" s="1"/>
  <c r="G553" i="6"/>
  <c r="M553" i="6" s="1"/>
  <c r="G554" i="6"/>
  <c r="M554" i="6" s="1"/>
  <c r="G555" i="6"/>
  <c r="M555" i="6" s="1"/>
  <c r="G556" i="6"/>
  <c r="M556" i="6" s="1"/>
  <c r="G557" i="6"/>
  <c r="M557" i="6" s="1"/>
  <c r="G558" i="6"/>
  <c r="M558" i="6" s="1"/>
  <c r="G559" i="6"/>
  <c r="M559" i="6" s="1"/>
  <c r="G560" i="6"/>
  <c r="M560" i="6" s="1"/>
  <c r="G561" i="6"/>
  <c r="M561" i="6" s="1"/>
  <c r="G562" i="6"/>
  <c r="M562" i="6" s="1"/>
  <c r="G563" i="6"/>
  <c r="M563" i="6" s="1"/>
  <c r="G564" i="6"/>
  <c r="M564" i="6" s="1"/>
  <c r="G565" i="6"/>
  <c r="M565" i="6" s="1"/>
  <c r="G566" i="6"/>
  <c r="M566" i="6" s="1"/>
  <c r="G567" i="6"/>
  <c r="M567" i="6" s="1"/>
  <c r="G568" i="6"/>
  <c r="M568" i="6" s="1"/>
  <c r="G569" i="6"/>
  <c r="M569" i="6" s="1"/>
  <c r="G570" i="6"/>
  <c r="M570" i="6" s="1"/>
  <c r="G571" i="6"/>
  <c r="M571" i="6" s="1"/>
  <c r="G572" i="6"/>
  <c r="M572" i="6" s="1"/>
  <c r="G573" i="6"/>
  <c r="M573" i="6" s="1"/>
  <c r="G574" i="6"/>
  <c r="M574" i="6" s="1"/>
  <c r="G575" i="6"/>
  <c r="M575" i="6" s="1"/>
  <c r="G576" i="6"/>
  <c r="M576" i="6" s="1"/>
  <c r="G577" i="6"/>
  <c r="M577" i="6" s="1"/>
  <c r="G578" i="6"/>
  <c r="M578" i="6" s="1"/>
  <c r="G579" i="6"/>
  <c r="M579" i="6" s="1"/>
  <c r="G580" i="6"/>
  <c r="M580" i="6" s="1"/>
  <c r="G581" i="6"/>
  <c r="M581" i="6" s="1"/>
  <c r="G582" i="6"/>
  <c r="M582" i="6" s="1"/>
  <c r="G583" i="6"/>
  <c r="M583" i="6" s="1"/>
  <c r="G584" i="6"/>
  <c r="M584" i="6" s="1"/>
  <c r="G585" i="6"/>
  <c r="M585" i="6" s="1"/>
  <c r="G586" i="6"/>
  <c r="M586" i="6" s="1"/>
  <c r="G587" i="6"/>
  <c r="M587" i="6" s="1"/>
  <c r="G588" i="6"/>
  <c r="M588" i="6" s="1"/>
  <c r="G589" i="6"/>
  <c r="M589" i="6" s="1"/>
  <c r="G590" i="6"/>
  <c r="M590" i="6" s="1"/>
  <c r="G591" i="6"/>
  <c r="M591" i="6" s="1"/>
  <c r="G592" i="6"/>
  <c r="M592" i="6" s="1"/>
  <c r="G593" i="6"/>
  <c r="M593" i="6" s="1"/>
  <c r="G594" i="6"/>
  <c r="M594" i="6" s="1"/>
  <c r="G595" i="6"/>
  <c r="M595" i="6" s="1"/>
  <c r="G596" i="6"/>
  <c r="M596" i="6" s="1"/>
  <c r="G597" i="6"/>
  <c r="M597" i="6" s="1"/>
  <c r="G598" i="6"/>
  <c r="M598" i="6" s="1"/>
  <c r="G599" i="6"/>
  <c r="M599" i="6" s="1"/>
  <c r="G600" i="6"/>
  <c r="M600" i="6" s="1"/>
  <c r="G601" i="6"/>
  <c r="M601" i="6" s="1"/>
  <c r="G602" i="6"/>
  <c r="M602" i="6" s="1"/>
  <c r="G603" i="6"/>
  <c r="M603" i="6" s="1"/>
  <c r="G604" i="6"/>
  <c r="M604" i="6" s="1"/>
  <c r="G605" i="6"/>
  <c r="M605" i="6" s="1"/>
  <c r="G606" i="6"/>
  <c r="M606" i="6" s="1"/>
  <c r="G607" i="6"/>
  <c r="M607" i="6" s="1"/>
  <c r="G608" i="6"/>
  <c r="M608" i="6" s="1"/>
  <c r="G609" i="6"/>
  <c r="M609" i="6" s="1"/>
  <c r="G610" i="6"/>
  <c r="M610" i="6" s="1"/>
  <c r="G611" i="6"/>
  <c r="M611" i="6" s="1"/>
  <c r="G612" i="6"/>
  <c r="M612" i="6" s="1"/>
  <c r="G613" i="6"/>
  <c r="M613" i="6" s="1"/>
  <c r="G614" i="6"/>
  <c r="M614" i="6" s="1"/>
  <c r="G615" i="6"/>
  <c r="M615" i="6" s="1"/>
  <c r="G616" i="6"/>
  <c r="M616" i="6" s="1"/>
  <c r="G617" i="6"/>
  <c r="M617" i="6" s="1"/>
  <c r="G618" i="6"/>
  <c r="M618" i="6" s="1"/>
  <c r="G619" i="6"/>
  <c r="M619" i="6" s="1"/>
  <c r="G620" i="6"/>
  <c r="M620" i="6" s="1"/>
  <c r="G621" i="6"/>
  <c r="M621" i="6" s="1"/>
  <c r="G622" i="6"/>
  <c r="M622" i="6" s="1"/>
  <c r="G623" i="6"/>
  <c r="M623" i="6" s="1"/>
  <c r="G624" i="6"/>
  <c r="M624" i="6" s="1"/>
  <c r="G625" i="6"/>
  <c r="M625" i="6" s="1"/>
  <c r="G626" i="6"/>
  <c r="M626" i="6" s="1"/>
  <c r="G627" i="6"/>
  <c r="M627" i="6" s="1"/>
  <c r="G628" i="6"/>
  <c r="M628" i="6" s="1"/>
  <c r="G629" i="6"/>
  <c r="M629" i="6" s="1"/>
  <c r="G630" i="6"/>
  <c r="M630" i="6" s="1"/>
  <c r="G631" i="6"/>
  <c r="M631" i="6" s="1"/>
  <c r="G632" i="6"/>
  <c r="M632" i="6" s="1"/>
  <c r="G633" i="6"/>
  <c r="M633" i="6" s="1"/>
  <c r="G634" i="6"/>
  <c r="M634" i="6" s="1"/>
  <c r="G635" i="6"/>
  <c r="M635" i="6" s="1"/>
  <c r="G636" i="6"/>
  <c r="M636" i="6" s="1"/>
  <c r="G637" i="6"/>
  <c r="M637" i="6" s="1"/>
  <c r="G638" i="6"/>
  <c r="M638" i="6" s="1"/>
  <c r="G639" i="6"/>
  <c r="M639" i="6" s="1"/>
  <c r="G640" i="6"/>
  <c r="M640" i="6" s="1"/>
  <c r="G641" i="6"/>
  <c r="M641" i="6" s="1"/>
  <c r="G642" i="6"/>
  <c r="M642" i="6" s="1"/>
  <c r="G643" i="6"/>
  <c r="M643" i="6" s="1"/>
  <c r="G644" i="6"/>
  <c r="M644" i="6" s="1"/>
  <c r="G645" i="6"/>
  <c r="M645" i="6" s="1"/>
  <c r="G646" i="6"/>
  <c r="M646" i="6" s="1"/>
  <c r="G647" i="6"/>
  <c r="M647" i="6" s="1"/>
  <c r="G648" i="6"/>
  <c r="M648" i="6" s="1"/>
  <c r="G649" i="6"/>
  <c r="M649" i="6" s="1"/>
  <c r="G650" i="6"/>
  <c r="M650" i="6" s="1"/>
  <c r="G651" i="6"/>
  <c r="M651" i="6" s="1"/>
  <c r="G652" i="6"/>
  <c r="M652" i="6" s="1"/>
  <c r="G653" i="6"/>
  <c r="M653" i="6" s="1"/>
  <c r="G654" i="6"/>
  <c r="M654" i="6" s="1"/>
  <c r="G655" i="6"/>
  <c r="M655" i="6" s="1"/>
  <c r="G656" i="6"/>
  <c r="M656" i="6" s="1"/>
  <c r="G657" i="6"/>
  <c r="M657" i="6" s="1"/>
  <c r="G658" i="6"/>
  <c r="M658" i="6" s="1"/>
  <c r="G659" i="6"/>
  <c r="M659" i="6" s="1"/>
  <c r="G660" i="6"/>
  <c r="M660" i="6" s="1"/>
  <c r="G661" i="6"/>
  <c r="M661" i="6" s="1"/>
  <c r="G662" i="6"/>
  <c r="M662" i="6" s="1"/>
  <c r="G663" i="6"/>
  <c r="M663" i="6" s="1"/>
  <c r="G664" i="6"/>
  <c r="M664" i="6" s="1"/>
  <c r="G665" i="6"/>
  <c r="M665" i="6" s="1"/>
  <c r="G666" i="6"/>
  <c r="M666" i="6" s="1"/>
  <c r="G667" i="6"/>
  <c r="M667" i="6" s="1"/>
  <c r="G668" i="6"/>
  <c r="M668" i="6" s="1"/>
  <c r="G669" i="6"/>
  <c r="M669" i="6" s="1"/>
  <c r="G670" i="6"/>
  <c r="M670" i="6" s="1"/>
  <c r="G671" i="6"/>
  <c r="M671" i="6" s="1"/>
  <c r="G672" i="6"/>
  <c r="M672" i="6" s="1"/>
  <c r="G673" i="6"/>
  <c r="M673" i="6" s="1"/>
  <c r="G674" i="6"/>
  <c r="M674" i="6" s="1"/>
  <c r="G675" i="6"/>
  <c r="M675" i="6" s="1"/>
  <c r="G676" i="6"/>
  <c r="M676" i="6" s="1"/>
  <c r="G677" i="6"/>
  <c r="M677" i="6" s="1"/>
  <c r="G678" i="6"/>
  <c r="M678" i="6" s="1"/>
  <c r="G679" i="6"/>
  <c r="M679" i="6" s="1"/>
  <c r="G680" i="6"/>
  <c r="M680" i="6" s="1"/>
  <c r="G681" i="6"/>
  <c r="M681" i="6" s="1"/>
  <c r="G682" i="6"/>
  <c r="M682" i="6" s="1"/>
  <c r="G683" i="6"/>
  <c r="M683" i="6" s="1"/>
  <c r="G684" i="6"/>
  <c r="M684" i="6" s="1"/>
  <c r="G685" i="6"/>
  <c r="M685" i="6" s="1"/>
  <c r="G686" i="6"/>
  <c r="M686" i="6" s="1"/>
  <c r="G687" i="6"/>
  <c r="M687" i="6" s="1"/>
  <c r="G688" i="6"/>
  <c r="M688" i="6" s="1"/>
  <c r="G689" i="6"/>
  <c r="M689" i="6" s="1"/>
  <c r="G690" i="6"/>
  <c r="M690" i="6" s="1"/>
  <c r="G691" i="6"/>
  <c r="M691" i="6" s="1"/>
  <c r="G692" i="6"/>
  <c r="M692" i="6" s="1"/>
  <c r="G693" i="6"/>
  <c r="M693" i="6" s="1"/>
  <c r="G694" i="6"/>
  <c r="M694" i="6" s="1"/>
  <c r="G695" i="6"/>
  <c r="M695" i="6" s="1"/>
  <c r="G696" i="6"/>
  <c r="M696" i="6" s="1"/>
  <c r="G697" i="6"/>
  <c r="M697" i="6" s="1"/>
  <c r="G698" i="6"/>
  <c r="M698" i="6" s="1"/>
  <c r="G699" i="6"/>
  <c r="M699" i="6" s="1"/>
  <c r="G700" i="6"/>
  <c r="M700" i="6" s="1"/>
  <c r="G701" i="6"/>
  <c r="M701" i="6" s="1"/>
  <c r="G702" i="6"/>
  <c r="M702" i="6" s="1"/>
  <c r="G703" i="6"/>
  <c r="M703" i="6" s="1"/>
  <c r="G704" i="6"/>
  <c r="M704" i="6" s="1"/>
  <c r="G705" i="6"/>
  <c r="M705" i="6" s="1"/>
  <c r="G706" i="6"/>
  <c r="M706" i="6" s="1"/>
  <c r="G707" i="6"/>
  <c r="M707" i="6" s="1"/>
  <c r="G708" i="6"/>
  <c r="M708" i="6" s="1"/>
  <c r="G709" i="6"/>
  <c r="M709" i="6" s="1"/>
  <c r="G710" i="6"/>
  <c r="M710" i="6" s="1"/>
  <c r="G711" i="6"/>
  <c r="M711" i="6" s="1"/>
  <c r="G712" i="6"/>
  <c r="M712" i="6" s="1"/>
  <c r="G713" i="6"/>
  <c r="M713" i="6" s="1"/>
  <c r="G714" i="6"/>
  <c r="M714" i="6" s="1"/>
  <c r="G715" i="6"/>
  <c r="M715" i="6" s="1"/>
  <c r="G716" i="6"/>
  <c r="M716" i="6" s="1"/>
  <c r="G717" i="6"/>
  <c r="M717" i="6" s="1"/>
  <c r="G718" i="6"/>
  <c r="M718" i="6" s="1"/>
  <c r="G719" i="6"/>
  <c r="M719" i="6" s="1"/>
  <c r="G720" i="6"/>
  <c r="M720" i="6" s="1"/>
  <c r="G721" i="6"/>
  <c r="M721" i="6" s="1"/>
  <c r="G722" i="6"/>
  <c r="M722" i="6" s="1"/>
  <c r="G723" i="6"/>
  <c r="M723" i="6" s="1"/>
  <c r="G724" i="6"/>
  <c r="M724" i="6" s="1"/>
  <c r="G725" i="6"/>
  <c r="M725" i="6" s="1"/>
  <c r="G726" i="6"/>
  <c r="M726" i="6" s="1"/>
  <c r="G727" i="6"/>
  <c r="M727" i="6" s="1"/>
  <c r="G728" i="6"/>
  <c r="M728" i="6" s="1"/>
  <c r="G729" i="6"/>
  <c r="M729" i="6" s="1"/>
  <c r="G730" i="6"/>
  <c r="M730" i="6" s="1"/>
  <c r="G731" i="6"/>
  <c r="M731" i="6" s="1"/>
  <c r="G732" i="6"/>
  <c r="M732" i="6" s="1"/>
  <c r="G733" i="6"/>
  <c r="M733" i="6" s="1"/>
  <c r="G734" i="6"/>
  <c r="M734" i="6" s="1"/>
  <c r="G735" i="6"/>
  <c r="M735" i="6" s="1"/>
  <c r="G736" i="6"/>
  <c r="M736" i="6" s="1"/>
  <c r="G737" i="6"/>
  <c r="M737" i="6" s="1"/>
  <c r="G738" i="6"/>
  <c r="M738" i="6" s="1"/>
  <c r="G739" i="6"/>
  <c r="M739" i="6" s="1"/>
  <c r="G740" i="6"/>
  <c r="M740" i="6" s="1"/>
  <c r="G741" i="6"/>
  <c r="M741" i="6" s="1"/>
  <c r="G742" i="6"/>
  <c r="M742" i="6" s="1"/>
  <c r="G743" i="6"/>
  <c r="M743" i="6" s="1"/>
  <c r="G744" i="6"/>
  <c r="M744" i="6" s="1"/>
  <c r="G745" i="6"/>
  <c r="M745" i="6" s="1"/>
  <c r="G746" i="6"/>
  <c r="M746" i="6" s="1"/>
  <c r="G747" i="6"/>
  <c r="M747" i="6" s="1"/>
  <c r="G748" i="6"/>
  <c r="M748" i="6" s="1"/>
  <c r="G749" i="6"/>
  <c r="M749" i="6" s="1"/>
  <c r="G750" i="6"/>
  <c r="M750" i="6" s="1"/>
  <c r="G751" i="6"/>
  <c r="M751" i="6" s="1"/>
  <c r="G752" i="6"/>
  <c r="M752" i="6" s="1"/>
  <c r="G753" i="6"/>
  <c r="M753" i="6" s="1"/>
  <c r="G754" i="6"/>
  <c r="M754" i="6" s="1"/>
  <c r="G755" i="6"/>
  <c r="M755" i="6" s="1"/>
  <c r="G756" i="6"/>
  <c r="M756" i="6" s="1"/>
  <c r="G757" i="6"/>
  <c r="M757" i="6" s="1"/>
  <c r="G758" i="6"/>
  <c r="M758" i="6" s="1"/>
  <c r="G759" i="6"/>
  <c r="M759" i="6" s="1"/>
  <c r="G760" i="6"/>
  <c r="M760" i="6" s="1"/>
  <c r="G761" i="6"/>
  <c r="M761" i="6" s="1"/>
  <c r="G762" i="6"/>
  <c r="M762" i="6" s="1"/>
  <c r="G763" i="6"/>
  <c r="M763" i="6" s="1"/>
  <c r="G764" i="6"/>
  <c r="M764" i="6" s="1"/>
  <c r="G765" i="6"/>
  <c r="M765" i="6" s="1"/>
  <c r="G766" i="6"/>
  <c r="M766" i="6" s="1"/>
  <c r="G767" i="6"/>
  <c r="M767" i="6" s="1"/>
  <c r="G768" i="6"/>
  <c r="M768" i="6" s="1"/>
  <c r="G769" i="6"/>
  <c r="M769" i="6" s="1"/>
  <c r="G770" i="6"/>
  <c r="M770" i="6" s="1"/>
  <c r="G771" i="6"/>
  <c r="M771" i="6" s="1"/>
  <c r="G772" i="6"/>
  <c r="M772" i="6" s="1"/>
  <c r="G773" i="6"/>
  <c r="M773" i="6" s="1"/>
  <c r="G774" i="6"/>
  <c r="M774" i="6" s="1"/>
  <c r="G775" i="6"/>
  <c r="M775" i="6" s="1"/>
  <c r="G776" i="6"/>
  <c r="M776" i="6" s="1"/>
  <c r="G777" i="6"/>
  <c r="M777" i="6" s="1"/>
  <c r="G778" i="6"/>
  <c r="M778" i="6" s="1"/>
  <c r="G779" i="6"/>
  <c r="M779" i="6" s="1"/>
  <c r="G780" i="6"/>
  <c r="M780" i="6" s="1"/>
  <c r="G781" i="6"/>
  <c r="M781" i="6" s="1"/>
  <c r="G782" i="6"/>
  <c r="M782" i="6" s="1"/>
  <c r="G783" i="6"/>
  <c r="M783" i="6" s="1"/>
  <c r="G784" i="6"/>
  <c r="M784" i="6" s="1"/>
  <c r="G785" i="6"/>
  <c r="M785" i="6" s="1"/>
  <c r="G786" i="6"/>
  <c r="M786" i="6" s="1"/>
  <c r="G787" i="6"/>
  <c r="M787" i="6" s="1"/>
  <c r="G788" i="6"/>
  <c r="M788" i="6" s="1"/>
  <c r="G789" i="6"/>
  <c r="M789" i="6" s="1"/>
  <c r="G790" i="6"/>
  <c r="M790" i="6" s="1"/>
  <c r="G791" i="6"/>
  <c r="M791" i="6" s="1"/>
  <c r="G792" i="6"/>
  <c r="M792" i="6" s="1"/>
  <c r="G793" i="6"/>
  <c r="M793" i="6" s="1"/>
  <c r="G794" i="6"/>
  <c r="M794" i="6" s="1"/>
  <c r="G795" i="6"/>
  <c r="M795" i="6" s="1"/>
  <c r="G796" i="6"/>
  <c r="M796" i="6" s="1"/>
  <c r="G797" i="6"/>
  <c r="M797" i="6" s="1"/>
  <c r="G798" i="6"/>
  <c r="M798" i="6" s="1"/>
  <c r="G799" i="6"/>
  <c r="M799" i="6" s="1"/>
  <c r="G800" i="6"/>
  <c r="M800" i="6" s="1"/>
  <c r="G801" i="6"/>
  <c r="M801" i="6" s="1"/>
  <c r="G802" i="6"/>
  <c r="M802" i="6" s="1"/>
  <c r="G803" i="6"/>
  <c r="M803" i="6" s="1"/>
  <c r="G804" i="6"/>
  <c r="M804" i="6" s="1"/>
  <c r="G805" i="6"/>
  <c r="M805" i="6" s="1"/>
  <c r="G806" i="6"/>
  <c r="M806" i="6" s="1"/>
  <c r="G807" i="6"/>
  <c r="M807" i="6" s="1"/>
  <c r="G808" i="6"/>
  <c r="M808" i="6" s="1"/>
  <c r="G809" i="6"/>
  <c r="M809" i="6" s="1"/>
  <c r="G810" i="6"/>
  <c r="M810" i="6" s="1"/>
  <c r="G811" i="6"/>
  <c r="M811" i="6" s="1"/>
  <c r="G812" i="6"/>
  <c r="M812" i="6" s="1"/>
  <c r="G813" i="6"/>
  <c r="M813" i="6" s="1"/>
  <c r="G814" i="6"/>
  <c r="M814" i="6" s="1"/>
  <c r="G815" i="6"/>
  <c r="M815" i="6" s="1"/>
  <c r="G816" i="6"/>
  <c r="M816" i="6" s="1"/>
  <c r="G817" i="6"/>
  <c r="M817" i="6" s="1"/>
  <c r="G818" i="6"/>
  <c r="M818" i="6" s="1"/>
  <c r="G819" i="6"/>
  <c r="M819" i="6" s="1"/>
  <c r="G820" i="6"/>
  <c r="M820" i="6" s="1"/>
  <c r="G821" i="6"/>
  <c r="M821" i="6" s="1"/>
  <c r="G822" i="6"/>
  <c r="M822" i="6" s="1"/>
  <c r="G823" i="6"/>
  <c r="M823" i="6" s="1"/>
  <c r="G824" i="6"/>
  <c r="M824" i="6" s="1"/>
  <c r="G825" i="6"/>
  <c r="M825" i="6" s="1"/>
  <c r="G826" i="6"/>
  <c r="M826" i="6" s="1"/>
  <c r="G827" i="6"/>
  <c r="M827" i="6" s="1"/>
  <c r="G828" i="6"/>
  <c r="M828" i="6" s="1"/>
  <c r="G829" i="6"/>
  <c r="M829" i="6" s="1"/>
  <c r="G830" i="6"/>
  <c r="M830" i="6" s="1"/>
  <c r="G831" i="6"/>
  <c r="M831" i="6" s="1"/>
  <c r="G832" i="6"/>
  <c r="M832" i="6" s="1"/>
  <c r="G833" i="6"/>
  <c r="M833" i="6" s="1"/>
  <c r="G834" i="6"/>
  <c r="M834" i="6" s="1"/>
  <c r="G835" i="6"/>
  <c r="M835" i="6" s="1"/>
  <c r="G836" i="6"/>
  <c r="M836" i="6" s="1"/>
  <c r="G837" i="6"/>
  <c r="M837" i="6" s="1"/>
  <c r="G838" i="6"/>
  <c r="M838" i="6" s="1"/>
  <c r="G839" i="6"/>
  <c r="M839" i="6" s="1"/>
  <c r="G840" i="6"/>
  <c r="M840" i="6" s="1"/>
  <c r="G841" i="6"/>
  <c r="M841" i="6" s="1"/>
  <c r="G842" i="6"/>
  <c r="M842" i="6" s="1"/>
  <c r="G843" i="6"/>
  <c r="M843" i="6" s="1"/>
  <c r="G844" i="6"/>
  <c r="M844" i="6" s="1"/>
  <c r="G845" i="6"/>
  <c r="M845" i="6" s="1"/>
  <c r="G846" i="6"/>
  <c r="M846" i="6" s="1"/>
  <c r="G847" i="6"/>
  <c r="M847" i="6" s="1"/>
  <c r="G848" i="6"/>
  <c r="M848" i="6" s="1"/>
  <c r="G849" i="6"/>
  <c r="M849" i="6" s="1"/>
  <c r="G850" i="6"/>
  <c r="M850" i="6" s="1"/>
  <c r="G851" i="6"/>
  <c r="M851" i="6" s="1"/>
  <c r="G852" i="6"/>
  <c r="M852" i="6" s="1"/>
  <c r="G853" i="6"/>
  <c r="M853" i="6" s="1"/>
  <c r="G854" i="6"/>
  <c r="M854" i="6" s="1"/>
  <c r="G855" i="6"/>
  <c r="M855" i="6" s="1"/>
  <c r="G856" i="6"/>
  <c r="M856" i="6" s="1"/>
  <c r="G857" i="6"/>
  <c r="M857" i="6" s="1"/>
  <c r="G858" i="6"/>
  <c r="M858" i="6" s="1"/>
  <c r="G859" i="6"/>
  <c r="M859" i="6" s="1"/>
  <c r="G860" i="6"/>
  <c r="M860" i="6" s="1"/>
  <c r="G861" i="6"/>
  <c r="M861" i="6" s="1"/>
  <c r="G862" i="6"/>
  <c r="M862" i="6" s="1"/>
  <c r="G863" i="6"/>
  <c r="M863" i="6" s="1"/>
  <c r="G864" i="6"/>
  <c r="M864" i="6" s="1"/>
  <c r="G865" i="6"/>
  <c r="M865" i="6" s="1"/>
  <c r="G866" i="6"/>
  <c r="M866" i="6" s="1"/>
  <c r="G867" i="6"/>
  <c r="M867" i="6" s="1"/>
  <c r="G868" i="6"/>
  <c r="M868" i="6" s="1"/>
  <c r="G869" i="6"/>
  <c r="M869" i="6" s="1"/>
  <c r="G870" i="6"/>
  <c r="M870" i="6" s="1"/>
  <c r="G871" i="6"/>
  <c r="M871" i="6" s="1"/>
  <c r="G872" i="6"/>
  <c r="M872" i="6" s="1"/>
  <c r="G873" i="6"/>
  <c r="M873" i="6" s="1"/>
  <c r="G874" i="6"/>
  <c r="M874" i="6" s="1"/>
  <c r="G875" i="6"/>
  <c r="M875" i="6" s="1"/>
  <c r="G876" i="6"/>
  <c r="M876" i="6" s="1"/>
  <c r="G877" i="6"/>
  <c r="M877" i="6" s="1"/>
  <c r="G878" i="6"/>
  <c r="M878" i="6" s="1"/>
  <c r="G879" i="6"/>
  <c r="M879" i="6" s="1"/>
  <c r="G880" i="6"/>
  <c r="M880" i="6" s="1"/>
  <c r="G881" i="6"/>
  <c r="M881" i="6" s="1"/>
  <c r="G882" i="6"/>
  <c r="M882" i="6" s="1"/>
  <c r="G883" i="6"/>
  <c r="M883" i="6" s="1"/>
  <c r="G884" i="6"/>
  <c r="M884" i="6" s="1"/>
  <c r="G885" i="6"/>
  <c r="M885" i="6" s="1"/>
  <c r="G886" i="6"/>
  <c r="M886" i="6" s="1"/>
  <c r="G887" i="6"/>
  <c r="M887" i="6" s="1"/>
  <c r="G888" i="6"/>
  <c r="M888" i="6" s="1"/>
  <c r="G889" i="6"/>
  <c r="M889" i="6" s="1"/>
  <c r="G890" i="6"/>
  <c r="M890" i="6" s="1"/>
  <c r="G891" i="6"/>
  <c r="M891" i="6" s="1"/>
  <c r="G892" i="6"/>
  <c r="M892" i="6" s="1"/>
  <c r="G893" i="6"/>
  <c r="M893" i="6" s="1"/>
  <c r="G894" i="6"/>
  <c r="M894" i="6" s="1"/>
  <c r="G895" i="6"/>
  <c r="M895" i="6" s="1"/>
  <c r="G896" i="6"/>
  <c r="M896" i="6" s="1"/>
  <c r="G897" i="6"/>
  <c r="M897" i="6" s="1"/>
  <c r="G898" i="6"/>
  <c r="M898" i="6" s="1"/>
  <c r="G899" i="6"/>
  <c r="M899" i="6" s="1"/>
  <c r="G900" i="6"/>
  <c r="M900" i="6" s="1"/>
  <c r="G901" i="6"/>
  <c r="M901" i="6" s="1"/>
  <c r="G902" i="6"/>
  <c r="M902" i="6" s="1"/>
  <c r="G903" i="6"/>
  <c r="M903" i="6" s="1"/>
  <c r="G904" i="6"/>
  <c r="M904" i="6" s="1"/>
  <c r="G905" i="6"/>
  <c r="M905" i="6" s="1"/>
  <c r="G906" i="6"/>
  <c r="M906" i="6" s="1"/>
  <c r="G907" i="6"/>
  <c r="M907" i="6" s="1"/>
  <c r="G908" i="6"/>
  <c r="M908" i="6" s="1"/>
  <c r="G909" i="6"/>
  <c r="M909" i="6" s="1"/>
  <c r="G910" i="6"/>
  <c r="M910" i="6" s="1"/>
  <c r="G911" i="6"/>
  <c r="M911" i="6" s="1"/>
  <c r="G912" i="6"/>
  <c r="M912" i="6" s="1"/>
  <c r="G913" i="6"/>
  <c r="M913" i="6" s="1"/>
  <c r="G914" i="6"/>
  <c r="M914" i="6" s="1"/>
  <c r="G915" i="6"/>
  <c r="M915" i="6" s="1"/>
  <c r="G916" i="6"/>
  <c r="M916" i="6" s="1"/>
  <c r="G917" i="6"/>
  <c r="M917" i="6" s="1"/>
  <c r="G918" i="6"/>
  <c r="M918" i="6" s="1"/>
  <c r="G919" i="6"/>
  <c r="M919" i="6" s="1"/>
  <c r="G920" i="6"/>
  <c r="M920" i="6" s="1"/>
  <c r="G921" i="6"/>
  <c r="M921" i="6" s="1"/>
  <c r="G922" i="6"/>
  <c r="M922" i="6" s="1"/>
  <c r="G923" i="6"/>
  <c r="M923" i="6" s="1"/>
  <c r="G924" i="6"/>
  <c r="M924" i="6" s="1"/>
  <c r="G925" i="6"/>
  <c r="M925" i="6" s="1"/>
  <c r="G926" i="6"/>
  <c r="M926" i="6" s="1"/>
  <c r="G927" i="6"/>
  <c r="M927" i="6" s="1"/>
  <c r="G928" i="6"/>
  <c r="M928" i="6" s="1"/>
  <c r="G929" i="6"/>
  <c r="M929" i="6" s="1"/>
  <c r="G930" i="6"/>
  <c r="M930" i="6" s="1"/>
  <c r="G931" i="6"/>
  <c r="M931" i="6" s="1"/>
  <c r="G932" i="6"/>
  <c r="M932" i="6" s="1"/>
  <c r="G933" i="6"/>
  <c r="M933" i="6" s="1"/>
  <c r="G934" i="6"/>
  <c r="M934" i="6" s="1"/>
  <c r="G935" i="6"/>
  <c r="M935" i="6" s="1"/>
  <c r="G936" i="6"/>
  <c r="M936" i="6" s="1"/>
  <c r="G937" i="6"/>
  <c r="M937" i="6" s="1"/>
  <c r="G938" i="6"/>
  <c r="M938" i="6" s="1"/>
  <c r="G939" i="6"/>
  <c r="M939" i="6" s="1"/>
  <c r="G940" i="6"/>
  <c r="M940" i="6" s="1"/>
  <c r="G941" i="6"/>
  <c r="M941" i="6" s="1"/>
  <c r="G942" i="6"/>
  <c r="M942" i="6" s="1"/>
  <c r="G943" i="6"/>
  <c r="M943" i="6" s="1"/>
  <c r="G944" i="6"/>
  <c r="M944" i="6" s="1"/>
  <c r="G945" i="6"/>
  <c r="M945" i="6" s="1"/>
  <c r="G946" i="6"/>
  <c r="M946" i="6" s="1"/>
  <c r="G947" i="6"/>
  <c r="M947" i="6" s="1"/>
  <c r="G948" i="6"/>
  <c r="M948" i="6" s="1"/>
  <c r="G949" i="6"/>
  <c r="M949" i="6" s="1"/>
  <c r="G950" i="6"/>
  <c r="M950" i="6" s="1"/>
  <c r="G951" i="6"/>
  <c r="M951" i="6" s="1"/>
  <c r="G952" i="6"/>
  <c r="M952" i="6" s="1"/>
  <c r="G953" i="6"/>
  <c r="M953" i="6" s="1"/>
  <c r="G954" i="6"/>
  <c r="M954" i="6" s="1"/>
  <c r="G955" i="6"/>
  <c r="M955" i="6" s="1"/>
  <c r="G956" i="6"/>
  <c r="M956" i="6" s="1"/>
  <c r="G957" i="6"/>
  <c r="M957" i="6" s="1"/>
  <c r="G958" i="6"/>
  <c r="M958" i="6" s="1"/>
  <c r="G959" i="6"/>
  <c r="M959" i="6" s="1"/>
  <c r="G960" i="6"/>
  <c r="M960" i="6" s="1"/>
  <c r="G961" i="6"/>
  <c r="M961" i="6" s="1"/>
  <c r="G962" i="6"/>
  <c r="M962" i="6" s="1"/>
  <c r="G963" i="6"/>
  <c r="M963" i="6" s="1"/>
  <c r="G964" i="6"/>
  <c r="M964" i="6" s="1"/>
  <c r="G965" i="6"/>
  <c r="M965" i="6" s="1"/>
  <c r="G966" i="6"/>
  <c r="M966" i="6" s="1"/>
  <c r="G967" i="6"/>
  <c r="M967" i="6" s="1"/>
  <c r="G968" i="6"/>
  <c r="M968" i="6" s="1"/>
  <c r="G969" i="6"/>
  <c r="M969" i="6" s="1"/>
  <c r="G970" i="6"/>
  <c r="M970" i="6" s="1"/>
  <c r="G971" i="6"/>
  <c r="M971" i="6" s="1"/>
  <c r="G972" i="6"/>
  <c r="M972" i="6" s="1"/>
  <c r="G973" i="6"/>
  <c r="M973" i="6" s="1"/>
  <c r="G974" i="6"/>
  <c r="M974" i="6" s="1"/>
  <c r="G975" i="6"/>
  <c r="M975" i="6" s="1"/>
  <c r="G976" i="6"/>
  <c r="M976" i="6" s="1"/>
  <c r="G977" i="6"/>
  <c r="M977" i="6" s="1"/>
  <c r="G978" i="6"/>
  <c r="M978" i="6" s="1"/>
  <c r="G979" i="6"/>
  <c r="M979" i="6" s="1"/>
  <c r="G980" i="6"/>
  <c r="M980" i="6" s="1"/>
  <c r="G981" i="6"/>
  <c r="M981" i="6" s="1"/>
  <c r="G982" i="6"/>
  <c r="M982" i="6" s="1"/>
  <c r="G983" i="6"/>
  <c r="M983" i="6" s="1"/>
  <c r="G984" i="6"/>
  <c r="M984" i="6" s="1"/>
  <c r="G985" i="6"/>
  <c r="M985" i="6" s="1"/>
  <c r="G986" i="6"/>
  <c r="M986" i="6" s="1"/>
  <c r="G987" i="6"/>
  <c r="M987" i="6" s="1"/>
  <c r="G988" i="6"/>
  <c r="M988" i="6" s="1"/>
  <c r="G989" i="6"/>
  <c r="M989" i="6" s="1"/>
  <c r="G990" i="6"/>
  <c r="M990" i="6" s="1"/>
  <c r="G991" i="6"/>
  <c r="M991" i="6" s="1"/>
  <c r="G992" i="6"/>
  <c r="M992" i="6" s="1"/>
  <c r="G993" i="6"/>
  <c r="M993" i="6" s="1"/>
  <c r="G994" i="6"/>
  <c r="M994" i="6" s="1"/>
  <c r="G995" i="6"/>
  <c r="M995" i="6" s="1"/>
  <c r="G996" i="6"/>
  <c r="M996" i="6" s="1"/>
  <c r="G997" i="6"/>
  <c r="M997" i="6" s="1"/>
  <c r="G998" i="6"/>
  <c r="M998" i="6" s="1"/>
  <c r="G999" i="6"/>
  <c r="M999" i="6" s="1"/>
  <c r="G1000" i="6"/>
  <c r="M1000" i="6" s="1"/>
  <c r="G1001" i="6"/>
  <c r="M1001" i="6" s="1"/>
  <c r="G1002" i="6"/>
  <c r="M1002" i="6" s="1"/>
  <c r="G1003" i="6"/>
  <c r="M1003" i="6" s="1"/>
  <c r="G1004" i="6"/>
  <c r="M1004" i="6" s="1"/>
  <c r="G1005" i="6"/>
  <c r="M1005" i="6" s="1"/>
  <c r="G1006" i="6"/>
  <c r="M1006" i="6" s="1"/>
  <c r="G1007" i="6"/>
  <c r="M1007" i="6" s="1"/>
  <c r="G1008" i="6"/>
  <c r="M1008" i="6" s="1"/>
  <c r="G1009" i="6"/>
  <c r="M1009" i="6" s="1"/>
  <c r="G1010" i="6"/>
  <c r="M1010" i="6" s="1"/>
  <c r="G1011" i="6"/>
  <c r="M1011" i="6" s="1"/>
  <c r="G1012" i="6"/>
  <c r="M1012" i="6" s="1"/>
  <c r="G1013" i="6"/>
  <c r="M1013" i="6" s="1"/>
  <c r="G1014" i="6"/>
  <c r="M1014" i="6" s="1"/>
  <c r="G1015" i="6"/>
  <c r="M1015" i="6" s="1"/>
  <c r="G1016" i="6"/>
  <c r="M1016" i="6" s="1"/>
  <c r="G1017" i="6"/>
  <c r="M1017" i="6" s="1"/>
  <c r="G1018" i="6"/>
  <c r="M1018" i="6" s="1"/>
  <c r="G1019" i="6"/>
  <c r="M1019" i="6" s="1"/>
  <c r="G1020" i="6"/>
  <c r="M1020" i="6" s="1"/>
  <c r="G1021" i="6"/>
  <c r="M1021" i="6" s="1"/>
  <c r="G1022" i="6"/>
  <c r="M1022" i="6" s="1"/>
  <c r="G1023" i="6"/>
  <c r="M1023" i="6" s="1"/>
  <c r="G1024" i="6"/>
  <c r="M1024" i="6" s="1"/>
  <c r="G1025" i="6"/>
  <c r="M1025" i="6" s="1"/>
  <c r="G1026" i="6"/>
  <c r="M1026" i="6" s="1"/>
  <c r="G1027" i="6"/>
  <c r="M1027" i="6" s="1"/>
  <c r="G1028" i="6"/>
  <c r="M1028" i="6" s="1"/>
  <c r="G1029" i="6"/>
  <c r="M1029" i="6" s="1"/>
  <c r="G1030" i="6"/>
  <c r="M1030" i="6" s="1"/>
  <c r="G1031" i="6"/>
  <c r="M1031" i="6" s="1"/>
  <c r="G1032" i="6"/>
  <c r="M1032" i="6" s="1"/>
  <c r="G1033" i="6"/>
  <c r="M1033" i="6" s="1"/>
  <c r="G1034" i="6"/>
  <c r="M1034" i="6" s="1"/>
  <c r="G1035" i="6"/>
  <c r="M1035" i="6" s="1"/>
  <c r="G1036" i="6"/>
  <c r="M1036" i="6" s="1"/>
  <c r="G1037" i="6"/>
  <c r="M1037" i="6" s="1"/>
  <c r="G1038" i="6"/>
  <c r="M1038" i="6" s="1"/>
  <c r="G1039" i="6"/>
  <c r="M1039" i="6" s="1"/>
  <c r="G1040" i="6"/>
  <c r="M1040" i="6" s="1"/>
  <c r="G1041" i="6"/>
  <c r="M1041" i="6" s="1"/>
  <c r="G1042" i="6"/>
  <c r="M1042" i="6" s="1"/>
  <c r="G1043" i="6"/>
  <c r="M1043" i="6" s="1"/>
  <c r="G1044" i="6"/>
  <c r="M1044" i="6" s="1"/>
  <c r="G1045" i="6"/>
  <c r="M1045" i="6" s="1"/>
  <c r="G1046" i="6"/>
  <c r="M1046" i="6" s="1"/>
  <c r="G1047" i="6"/>
  <c r="M1047" i="6" s="1"/>
  <c r="G1048" i="6"/>
  <c r="M1048" i="6" s="1"/>
  <c r="G1049" i="6"/>
  <c r="M1049" i="6" s="1"/>
  <c r="G1050" i="6"/>
  <c r="M1050" i="6" s="1"/>
  <c r="G1051" i="6"/>
  <c r="M1051" i="6" s="1"/>
  <c r="G1052" i="6"/>
  <c r="M1052" i="6" s="1"/>
  <c r="G1053" i="6"/>
  <c r="M1053" i="6" s="1"/>
  <c r="G1054" i="6"/>
  <c r="M1054" i="6" s="1"/>
  <c r="G1055" i="6"/>
  <c r="M1055" i="6" s="1"/>
  <c r="G1056" i="6"/>
  <c r="M1056" i="6" s="1"/>
  <c r="G1057" i="6"/>
  <c r="M1057" i="6" s="1"/>
  <c r="G1058" i="6"/>
  <c r="M1058" i="6" s="1"/>
  <c r="G1059" i="6"/>
  <c r="M1059" i="6" s="1"/>
  <c r="G1060" i="6"/>
  <c r="M1060" i="6" s="1"/>
  <c r="G1061" i="6"/>
  <c r="M1061" i="6" s="1"/>
  <c r="G1062" i="6"/>
  <c r="M1062" i="6" s="1"/>
  <c r="G1063" i="6"/>
  <c r="M1063" i="6" s="1"/>
  <c r="G1064" i="6"/>
  <c r="M1064" i="6" s="1"/>
  <c r="G1065" i="6"/>
  <c r="M1065" i="6" s="1"/>
  <c r="G1066" i="6"/>
  <c r="M1066" i="6" s="1"/>
  <c r="G1067" i="6"/>
  <c r="M1067" i="6" s="1"/>
  <c r="G1068" i="6"/>
  <c r="M1068" i="6" s="1"/>
  <c r="G1069" i="6"/>
  <c r="M1069" i="6" s="1"/>
  <c r="G1070" i="6"/>
  <c r="M1070" i="6" s="1"/>
  <c r="G1071" i="6"/>
  <c r="M1071" i="6" s="1"/>
  <c r="G1072" i="6"/>
  <c r="M1072" i="6" s="1"/>
  <c r="G1073" i="6"/>
  <c r="M1073" i="6" s="1"/>
  <c r="G1074" i="6"/>
  <c r="M1074" i="6" s="1"/>
  <c r="G1075" i="6"/>
  <c r="M1075" i="6" s="1"/>
  <c r="G1076" i="6"/>
  <c r="M1076" i="6" s="1"/>
  <c r="G1077" i="6"/>
  <c r="M1077" i="6" s="1"/>
  <c r="G1078" i="6"/>
  <c r="M1078" i="6" s="1"/>
  <c r="G1079" i="6"/>
  <c r="M1079" i="6" s="1"/>
  <c r="G1080" i="6"/>
  <c r="M1080" i="6" s="1"/>
  <c r="G1081" i="6"/>
  <c r="M1081" i="6" s="1"/>
  <c r="G1082" i="6"/>
  <c r="M1082" i="6" s="1"/>
  <c r="G1083" i="6"/>
  <c r="M1083" i="6" s="1"/>
  <c r="G1084" i="6"/>
  <c r="M1084" i="6" s="1"/>
  <c r="G1085" i="6"/>
  <c r="M1085" i="6" s="1"/>
  <c r="G1086" i="6"/>
  <c r="M1086" i="6" s="1"/>
  <c r="G1087" i="6"/>
  <c r="M1087" i="6" s="1"/>
  <c r="G1088" i="6"/>
  <c r="M1088" i="6" s="1"/>
  <c r="G1089" i="6"/>
  <c r="M1089" i="6" s="1"/>
  <c r="G1090" i="6"/>
  <c r="M1090" i="6" s="1"/>
  <c r="G1091" i="6"/>
  <c r="M1091" i="6" s="1"/>
  <c r="G1092" i="6"/>
  <c r="M1092" i="6" s="1"/>
  <c r="G1093" i="6"/>
  <c r="M1093" i="6" s="1"/>
  <c r="G1094" i="6"/>
  <c r="M1094" i="6" s="1"/>
  <c r="G1095" i="6"/>
  <c r="M1095" i="6" s="1"/>
  <c r="G1096" i="6"/>
  <c r="M1096" i="6" s="1"/>
  <c r="G1097" i="6"/>
  <c r="M1097" i="6" s="1"/>
  <c r="G1098" i="6"/>
  <c r="M1098" i="6" s="1"/>
  <c r="G1099" i="6"/>
  <c r="M1099" i="6" s="1"/>
  <c r="G1100" i="6"/>
  <c r="M1100" i="6" s="1"/>
  <c r="G1101" i="6"/>
  <c r="M1101" i="6" s="1"/>
  <c r="G1102" i="6"/>
  <c r="M1102" i="6" s="1"/>
  <c r="G1103" i="6"/>
  <c r="M1103" i="6" s="1"/>
  <c r="G1104" i="6"/>
  <c r="M1104" i="6" s="1"/>
  <c r="G1105" i="6"/>
  <c r="M1105" i="6" s="1"/>
  <c r="G1106" i="6"/>
  <c r="M1106" i="6" s="1"/>
  <c r="G1107" i="6"/>
  <c r="M1107" i="6" s="1"/>
  <c r="G1108" i="6"/>
  <c r="M1108" i="6" s="1"/>
  <c r="G1109" i="6"/>
  <c r="M1109" i="6" s="1"/>
  <c r="G1110" i="6"/>
  <c r="M1110" i="6" s="1"/>
  <c r="G1111" i="6"/>
  <c r="M1111" i="6" s="1"/>
  <c r="G1112" i="6"/>
  <c r="M1112" i="6" s="1"/>
  <c r="G1113" i="6"/>
  <c r="M1113" i="6" s="1"/>
  <c r="G1114" i="6"/>
  <c r="M1114" i="6" s="1"/>
  <c r="G1115" i="6"/>
  <c r="M1115" i="6" s="1"/>
  <c r="G1116" i="6"/>
  <c r="M1116" i="6" s="1"/>
  <c r="G1117" i="6"/>
  <c r="M1117" i="6" s="1"/>
  <c r="G1118" i="6"/>
  <c r="M1118" i="6" s="1"/>
  <c r="G1119" i="6"/>
  <c r="M1119" i="6" s="1"/>
  <c r="G1120" i="6"/>
  <c r="M1120" i="6" s="1"/>
  <c r="G1121" i="6"/>
  <c r="M1121" i="6" s="1"/>
  <c r="G1122" i="6"/>
  <c r="M1122" i="6" s="1"/>
  <c r="G1123" i="6"/>
  <c r="M1123" i="6" s="1"/>
  <c r="G1124" i="6"/>
  <c r="M1124" i="6" s="1"/>
  <c r="G1125" i="6"/>
  <c r="M1125" i="6" s="1"/>
  <c r="G1126" i="6"/>
  <c r="M1126" i="6" s="1"/>
  <c r="G1127" i="6"/>
  <c r="M1127" i="6" s="1"/>
  <c r="G1128" i="6"/>
  <c r="M1128" i="6" s="1"/>
  <c r="G1129" i="6"/>
  <c r="M1129" i="6" s="1"/>
  <c r="G1130" i="6"/>
  <c r="M1130" i="6" s="1"/>
  <c r="G1131" i="6"/>
  <c r="M1131" i="6" s="1"/>
  <c r="G1132" i="6"/>
  <c r="M1132" i="6" s="1"/>
  <c r="G1133" i="6"/>
  <c r="M1133" i="6" s="1"/>
  <c r="G1134" i="6"/>
  <c r="M1134" i="6" s="1"/>
  <c r="G1135" i="6"/>
  <c r="M1135" i="6" s="1"/>
  <c r="G1136" i="6"/>
  <c r="M1136" i="6" s="1"/>
  <c r="G1137" i="6"/>
  <c r="M1137" i="6" s="1"/>
  <c r="G1138" i="6"/>
  <c r="M1138" i="6" s="1"/>
  <c r="G1139" i="6"/>
  <c r="M1139" i="6" s="1"/>
  <c r="G1140" i="6"/>
  <c r="M1140" i="6" s="1"/>
  <c r="G1141" i="6"/>
  <c r="M1141" i="6" s="1"/>
  <c r="G1142" i="6"/>
  <c r="M1142" i="6" s="1"/>
  <c r="G1143" i="6"/>
  <c r="M1143" i="6" s="1"/>
  <c r="G1144" i="6"/>
  <c r="M1144" i="6" s="1"/>
  <c r="G1145" i="6"/>
  <c r="M1145" i="6" s="1"/>
  <c r="G1146" i="6"/>
  <c r="M1146" i="6" s="1"/>
  <c r="G1147" i="6"/>
  <c r="M1147" i="6" s="1"/>
  <c r="G1148" i="6"/>
  <c r="M1148" i="6" s="1"/>
  <c r="G1149" i="6"/>
  <c r="M1149" i="6" s="1"/>
  <c r="G1150" i="6"/>
  <c r="M1150" i="6" s="1"/>
  <c r="G1151" i="6"/>
  <c r="M1151" i="6" s="1"/>
  <c r="G1152" i="6"/>
  <c r="M1152" i="6" s="1"/>
  <c r="G1153" i="6"/>
  <c r="M1153" i="6" s="1"/>
  <c r="G1154" i="6"/>
  <c r="M1154" i="6" s="1"/>
  <c r="G1155" i="6"/>
  <c r="M1155" i="6" s="1"/>
  <c r="G1156" i="6"/>
  <c r="M1156" i="6" s="1"/>
  <c r="G1157" i="6"/>
  <c r="M1157" i="6" s="1"/>
  <c r="G1158" i="6"/>
  <c r="M1158" i="6" s="1"/>
  <c r="G1159" i="6"/>
  <c r="M1159" i="6" s="1"/>
  <c r="G1160" i="6"/>
  <c r="M1160" i="6" s="1"/>
  <c r="G1161" i="6"/>
  <c r="M1161" i="6" s="1"/>
  <c r="G1162" i="6"/>
  <c r="M1162" i="6" s="1"/>
  <c r="G1163" i="6"/>
  <c r="M1163" i="6" s="1"/>
  <c r="G1164" i="6"/>
  <c r="M1164" i="6" s="1"/>
  <c r="G1165" i="6"/>
  <c r="M1165" i="6" s="1"/>
  <c r="G1166" i="6"/>
  <c r="M1166" i="6" s="1"/>
  <c r="G1167" i="6"/>
  <c r="M1167" i="6" s="1"/>
  <c r="G1168" i="6"/>
  <c r="M1168" i="6" s="1"/>
  <c r="G1169" i="6"/>
  <c r="M1169" i="6" s="1"/>
  <c r="G1170" i="6"/>
  <c r="M1170" i="6" s="1"/>
  <c r="G1171" i="6"/>
  <c r="M1171" i="6" s="1"/>
  <c r="G1172" i="6"/>
  <c r="M1172" i="6" s="1"/>
  <c r="G1173" i="6"/>
  <c r="M1173" i="6" s="1"/>
  <c r="G1174" i="6"/>
  <c r="M1174" i="6" s="1"/>
  <c r="G1175" i="6"/>
  <c r="M1175" i="6" s="1"/>
  <c r="G1176" i="6"/>
  <c r="M1176" i="6" s="1"/>
  <c r="G1177" i="6"/>
  <c r="M1177" i="6" s="1"/>
  <c r="G1178" i="6"/>
  <c r="M1178" i="6" s="1"/>
  <c r="G1179" i="6"/>
  <c r="M1179" i="6" s="1"/>
  <c r="G1180" i="6"/>
  <c r="M1180" i="6" s="1"/>
  <c r="G1181" i="6"/>
  <c r="M1181" i="6" s="1"/>
  <c r="G1182" i="6"/>
  <c r="M1182" i="6" s="1"/>
  <c r="G1183" i="6"/>
  <c r="M1183" i="6" s="1"/>
  <c r="G1184" i="6"/>
  <c r="M1184" i="6" s="1"/>
  <c r="G1185" i="6"/>
  <c r="M1185" i="6" s="1"/>
  <c r="G1186" i="6"/>
  <c r="M1186" i="6" s="1"/>
  <c r="G1187" i="6"/>
  <c r="M1187" i="6" s="1"/>
  <c r="G1188" i="6"/>
  <c r="M1188" i="6" s="1"/>
  <c r="G1189" i="6"/>
  <c r="M1189" i="6" s="1"/>
  <c r="G1190" i="6"/>
  <c r="M1190" i="6" s="1"/>
  <c r="G1191" i="6"/>
  <c r="M1191" i="6" s="1"/>
  <c r="G1192" i="6"/>
  <c r="M1192" i="6" s="1"/>
  <c r="G1193" i="6"/>
  <c r="M1193" i="6" s="1"/>
  <c r="G1194" i="6"/>
  <c r="M1194" i="6" s="1"/>
  <c r="G1195" i="6"/>
  <c r="M1195" i="6" s="1"/>
  <c r="G1196" i="6"/>
  <c r="M1196" i="6" s="1"/>
  <c r="G1197" i="6"/>
  <c r="M1197" i="6" s="1"/>
  <c r="G1198" i="6"/>
  <c r="M1198" i="6" s="1"/>
  <c r="G1199" i="6"/>
  <c r="M1199" i="6" s="1"/>
  <c r="G1200" i="6"/>
  <c r="M1200" i="6" s="1"/>
  <c r="G1201" i="6"/>
  <c r="M1201" i="6" s="1"/>
  <c r="G1202" i="6"/>
  <c r="M1202" i="6" s="1"/>
  <c r="G1203" i="6"/>
  <c r="M1203" i="6" s="1"/>
  <c r="G1204" i="6"/>
  <c r="M1204" i="6" s="1"/>
  <c r="G1205" i="6"/>
  <c r="M1205" i="6" s="1"/>
  <c r="G1206" i="6"/>
  <c r="M1206" i="6" s="1"/>
  <c r="G1207" i="6"/>
  <c r="M1207" i="6" s="1"/>
  <c r="G1208" i="6"/>
  <c r="M1208" i="6" s="1"/>
  <c r="G1209" i="6"/>
  <c r="M1209" i="6" s="1"/>
  <c r="G1210" i="6"/>
  <c r="M1210" i="6" s="1"/>
  <c r="G1211" i="6"/>
  <c r="M1211" i="6" s="1"/>
  <c r="G1212" i="6"/>
  <c r="M1212" i="6" s="1"/>
  <c r="G1213" i="6"/>
  <c r="M1213" i="6" s="1"/>
  <c r="G1214" i="6"/>
  <c r="M1214" i="6" s="1"/>
  <c r="G1215" i="6"/>
  <c r="M1215" i="6" s="1"/>
  <c r="G1216" i="6"/>
  <c r="M1216" i="6" s="1"/>
  <c r="G1217" i="6"/>
  <c r="M1217" i="6" s="1"/>
  <c r="G1218" i="6"/>
  <c r="M1218" i="6" s="1"/>
  <c r="G1219" i="6"/>
  <c r="M1219" i="6" s="1"/>
  <c r="G1220" i="6"/>
  <c r="M1220" i="6" s="1"/>
  <c r="G1221" i="6"/>
  <c r="M1221" i="6" s="1"/>
  <c r="G1222" i="6"/>
  <c r="M1222" i="6" s="1"/>
  <c r="G1223" i="6"/>
  <c r="M1223" i="6" s="1"/>
  <c r="G1224" i="6"/>
  <c r="M1224" i="6" s="1"/>
  <c r="G1225" i="6"/>
  <c r="M1225" i="6" s="1"/>
  <c r="G1226" i="6"/>
  <c r="M1226" i="6" s="1"/>
  <c r="G1227" i="6"/>
  <c r="M1227" i="6" s="1"/>
  <c r="G1228" i="6"/>
  <c r="M1228" i="6" s="1"/>
  <c r="G1229" i="6"/>
  <c r="M1229" i="6" s="1"/>
  <c r="G1230" i="6"/>
  <c r="M1230" i="6" s="1"/>
  <c r="G1231" i="6"/>
  <c r="M1231" i="6" s="1"/>
  <c r="G1232" i="6"/>
  <c r="M1232" i="6" s="1"/>
  <c r="G1233" i="6"/>
  <c r="M1233" i="6" s="1"/>
  <c r="G1234" i="6"/>
  <c r="M1234" i="6" s="1"/>
  <c r="G1235" i="6"/>
  <c r="M1235" i="6" s="1"/>
  <c r="G1236" i="6"/>
  <c r="M1236" i="6" s="1"/>
  <c r="G1237" i="6"/>
  <c r="M1237" i="6" s="1"/>
  <c r="G1238" i="6"/>
  <c r="M1238" i="6" s="1"/>
  <c r="G1239" i="6"/>
  <c r="M1239" i="6" s="1"/>
  <c r="G1240" i="6"/>
  <c r="M1240" i="6" s="1"/>
  <c r="G1241" i="6"/>
  <c r="M1241" i="6" s="1"/>
  <c r="G1242" i="6"/>
  <c r="M1242" i="6" s="1"/>
  <c r="G1243" i="6"/>
  <c r="M1243" i="6" s="1"/>
  <c r="G1244" i="6"/>
  <c r="M1244" i="6" s="1"/>
  <c r="G1245" i="6"/>
  <c r="M1245" i="6" s="1"/>
  <c r="G1246" i="6"/>
  <c r="M1246" i="6" s="1"/>
  <c r="G1247" i="6"/>
  <c r="M1247" i="6" s="1"/>
  <c r="G1248" i="6"/>
  <c r="M1248" i="6" s="1"/>
  <c r="G1249" i="6"/>
  <c r="M1249" i="6" s="1"/>
  <c r="G1250" i="6"/>
  <c r="M1250" i="6" s="1"/>
  <c r="G1251" i="6"/>
  <c r="M1251" i="6" s="1"/>
  <c r="G1252" i="6"/>
  <c r="M1252" i="6" s="1"/>
  <c r="G1253" i="6"/>
  <c r="M1253" i="6" s="1"/>
  <c r="G1254" i="6"/>
  <c r="M1254" i="6" s="1"/>
  <c r="G1255" i="6"/>
  <c r="M1255" i="6" s="1"/>
  <c r="G1256" i="6"/>
  <c r="M1256" i="6" s="1"/>
  <c r="G1257" i="6"/>
  <c r="M1257" i="6" s="1"/>
  <c r="G1258" i="6"/>
  <c r="M1258" i="6" s="1"/>
  <c r="G1259" i="6"/>
  <c r="M1259" i="6" s="1"/>
  <c r="G1260" i="6"/>
  <c r="M1260" i="6" s="1"/>
  <c r="G1261" i="6"/>
  <c r="M1261" i="6" s="1"/>
  <c r="G1262" i="6"/>
  <c r="M1262" i="6" s="1"/>
  <c r="G1263" i="6"/>
  <c r="M1263" i="6" s="1"/>
  <c r="G1264" i="6"/>
  <c r="M1264" i="6" s="1"/>
  <c r="G1265" i="6"/>
  <c r="M1265" i="6" s="1"/>
  <c r="G1266" i="6"/>
  <c r="M1266" i="6" s="1"/>
  <c r="G1267" i="6"/>
  <c r="M1267" i="6" s="1"/>
  <c r="G1268" i="6"/>
  <c r="M1268" i="6" s="1"/>
  <c r="G1269" i="6"/>
  <c r="M1269" i="6" s="1"/>
  <c r="G1270" i="6"/>
  <c r="M1270" i="6" s="1"/>
  <c r="G1271" i="6"/>
  <c r="M1271" i="6" s="1"/>
  <c r="G1272" i="6"/>
  <c r="M1272" i="6" s="1"/>
  <c r="G1273" i="6"/>
  <c r="M1273" i="6" s="1"/>
  <c r="G1274" i="6"/>
  <c r="M1274" i="6" s="1"/>
  <c r="G1275" i="6"/>
  <c r="M1275" i="6" s="1"/>
  <c r="G1276" i="6"/>
  <c r="M1276" i="6" s="1"/>
  <c r="G1277" i="6"/>
  <c r="M1277" i="6" s="1"/>
  <c r="G1278" i="6"/>
  <c r="M1278" i="6" s="1"/>
  <c r="G1279" i="6"/>
  <c r="M1279" i="6" s="1"/>
  <c r="G1280" i="6"/>
  <c r="M1280" i="6" s="1"/>
  <c r="G1281" i="6"/>
  <c r="M1281" i="6" s="1"/>
  <c r="G1282" i="6"/>
  <c r="M1282" i="6" s="1"/>
  <c r="G1283" i="6"/>
  <c r="M1283" i="6" s="1"/>
  <c r="G1284" i="6"/>
  <c r="M1284" i="6" s="1"/>
  <c r="G1285" i="6"/>
  <c r="M1285" i="6" s="1"/>
  <c r="G1286" i="6"/>
  <c r="M1286" i="6" s="1"/>
  <c r="G1287" i="6"/>
  <c r="M1287" i="6" s="1"/>
  <c r="G1288" i="6"/>
  <c r="M1288" i="6" s="1"/>
  <c r="G1289" i="6"/>
  <c r="M1289" i="6" s="1"/>
  <c r="G1290" i="6"/>
  <c r="M1290" i="6" s="1"/>
  <c r="G1291" i="6"/>
  <c r="M1291" i="6" s="1"/>
  <c r="G1292" i="6"/>
  <c r="M1292" i="6" s="1"/>
  <c r="G1293" i="6"/>
  <c r="M1293" i="6" s="1"/>
  <c r="G1294" i="6"/>
  <c r="M1294" i="6" s="1"/>
  <c r="G1295" i="6"/>
  <c r="M1295" i="6" s="1"/>
  <c r="G1296" i="6"/>
  <c r="M1296" i="6" s="1"/>
  <c r="G1297" i="6"/>
  <c r="M1297" i="6" s="1"/>
  <c r="G1298" i="6"/>
  <c r="M1298" i="6" s="1"/>
  <c r="G1299" i="6"/>
  <c r="M1299" i="6" s="1"/>
  <c r="G1300" i="6"/>
  <c r="M1300" i="6" s="1"/>
  <c r="G1301" i="6"/>
  <c r="M1301" i="6" s="1"/>
  <c r="G1302" i="6"/>
  <c r="M1302" i="6" s="1"/>
  <c r="G1303" i="6"/>
  <c r="M1303" i="6" s="1"/>
  <c r="G1304" i="6"/>
  <c r="M1304" i="6" s="1"/>
  <c r="G1305" i="6"/>
  <c r="M1305" i="6" s="1"/>
  <c r="G1306" i="6"/>
  <c r="M1306" i="6" s="1"/>
  <c r="G1307" i="6"/>
  <c r="M1307" i="6" s="1"/>
  <c r="G1308" i="6"/>
  <c r="M1308" i="6" s="1"/>
  <c r="G1309" i="6"/>
  <c r="M1309" i="6" s="1"/>
  <c r="G1310" i="6"/>
  <c r="M1310" i="6" s="1"/>
  <c r="G1311" i="6"/>
  <c r="M1311" i="6" s="1"/>
  <c r="G1312" i="6"/>
  <c r="M1312" i="6" s="1"/>
  <c r="G1313" i="6"/>
  <c r="M1313" i="6" s="1"/>
  <c r="G1314" i="6"/>
  <c r="M1314" i="6" s="1"/>
  <c r="G1315" i="6"/>
  <c r="M1315" i="6" s="1"/>
  <c r="G1316" i="6"/>
  <c r="M1316" i="6" s="1"/>
  <c r="G1317" i="6"/>
  <c r="M1317" i="6" s="1"/>
  <c r="G1318" i="6"/>
  <c r="M1318" i="6" s="1"/>
  <c r="G1319" i="6"/>
  <c r="M1319" i="6" s="1"/>
  <c r="G1320" i="6"/>
  <c r="M1320" i="6" s="1"/>
  <c r="G1321" i="6"/>
  <c r="M1321" i="6" s="1"/>
  <c r="G1322" i="6"/>
  <c r="M1322" i="6" s="1"/>
  <c r="G1323" i="6"/>
  <c r="M1323" i="6" s="1"/>
  <c r="G1324" i="6"/>
  <c r="M1324" i="6" s="1"/>
  <c r="G1325" i="6"/>
  <c r="M1325" i="6" s="1"/>
  <c r="G1326" i="6"/>
  <c r="M1326" i="6" s="1"/>
  <c r="G1327" i="6"/>
  <c r="M1327" i="6" s="1"/>
  <c r="G1328" i="6"/>
  <c r="M1328" i="6" s="1"/>
  <c r="G1329" i="6"/>
  <c r="M1329" i="6" s="1"/>
  <c r="G1330" i="6"/>
  <c r="M1330" i="6" s="1"/>
  <c r="G1331" i="6"/>
  <c r="M1331" i="6" s="1"/>
  <c r="G1332" i="6"/>
  <c r="M1332" i="6" s="1"/>
  <c r="G1333" i="6"/>
  <c r="M1333" i="6" s="1"/>
  <c r="G1334" i="6"/>
  <c r="M1334" i="6" s="1"/>
  <c r="G1335" i="6"/>
  <c r="M1335" i="6" s="1"/>
  <c r="G1336" i="6"/>
  <c r="M1336" i="6" s="1"/>
  <c r="G1337" i="6"/>
  <c r="M1337" i="6" s="1"/>
  <c r="G1338" i="6"/>
  <c r="M1338" i="6" s="1"/>
  <c r="G1339" i="6"/>
  <c r="M1339" i="6" s="1"/>
  <c r="G1340" i="6"/>
  <c r="M1340" i="6" s="1"/>
  <c r="G1341" i="6"/>
  <c r="M1341" i="6" s="1"/>
  <c r="G1342" i="6"/>
  <c r="M1342" i="6" s="1"/>
  <c r="G1343" i="6"/>
  <c r="M1343" i="6" s="1"/>
  <c r="G1344" i="6"/>
  <c r="M1344" i="6" s="1"/>
  <c r="G1345" i="6"/>
  <c r="M1345" i="6" s="1"/>
  <c r="G1346" i="6"/>
  <c r="M1346" i="6" s="1"/>
  <c r="G1347" i="6"/>
  <c r="M1347" i="6" s="1"/>
  <c r="G1348" i="6"/>
  <c r="M1348" i="6" s="1"/>
  <c r="G1349" i="6"/>
  <c r="M1349" i="6" s="1"/>
  <c r="G1350" i="6"/>
  <c r="M1350" i="6" s="1"/>
  <c r="G1351" i="6"/>
  <c r="M1351" i="6" s="1"/>
  <c r="G1352" i="6"/>
  <c r="M1352" i="6" s="1"/>
  <c r="G1353" i="6"/>
  <c r="M1353" i="6" s="1"/>
  <c r="G1354" i="6"/>
  <c r="M1354" i="6" s="1"/>
  <c r="G1355" i="6"/>
  <c r="M1355" i="6" s="1"/>
  <c r="G1356" i="6"/>
  <c r="M1356" i="6" s="1"/>
  <c r="G1357" i="6"/>
  <c r="M1357" i="6" s="1"/>
  <c r="G1358" i="6"/>
  <c r="M1358" i="6" s="1"/>
  <c r="G1359" i="6"/>
  <c r="M1359" i="6" s="1"/>
  <c r="G1360" i="6"/>
  <c r="M1360" i="6" s="1"/>
  <c r="G1361" i="6"/>
  <c r="M1361" i="6" s="1"/>
  <c r="G1362" i="6"/>
  <c r="M1362" i="6" s="1"/>
  <c r="G1363" i="6"/>
  <c r="M1363" i="6" s="1"/>
  <c r="G1364" i="6"/>
  <c r="M1364" i="6" s="1"/>
  <c r="G1365" i="6"/>
  <c r="M1365" i="6" s="1"/>
  <c r="G1366" i="6"/>
  <c r="M1366" i="6" s="1"/>
  <c r="G1367" i="6"/>
  <c r="M1367" i="6" s="1"/>
  <c r="G1368" i="6"/>
  <c r="M1368" i="6" s="1"/>
  <c r="G1369" i="6"/>
  <c r="M1369" i="6" s="1"/>
  <c r="G1370" i="6"/>
  <c r="M1370" i="6" s="1"/>
  <c r="G1371" i="6"/>
  <c r="M1371" i="6" s="1"/>
  <c r="G1372" i="6"/>
  <c r="M1372" i="6" s="1"/>
  <c r="G1373" i="6"/>
  <c r="M1373" i="6" s="1"/>
  <c r="G1374" i="6"/>
  <c r="M1374" i="6" s="1"/>
  <c r="G1375" i="6"/>
  <c r="M1375" i="6" s="1"/>
  <c r="G1376" i="6"/>
  <c r="M1376" i="6" s="1"/>
  <c r="G1377" i="6"/>
  <c r="M1377" i="6" s="1"/>
  <c r="G1378" i="6"/>
  <c r="M1378" i="6" s="1"/>
  <c r="G1379" i="6"/>
  <c r="M1379" i="6" s="1"/>
  <c r="G1380" i="6"/>
  <c r="M1380" i="6" s="1"/>
  <c r="G1381" i="6"/>
  <c r="M1381" i="6" s="1"/>
  <c r="G1382" i="6"/>
  <c r="M1382" i="6" s="1"/>
  <c r="G1383" i="6"/>
  <c r="M1383" i="6" s="1"/>
  <c r="G1384" i="6"/>
  <c r="M1384" i="6" s="1"/>
  <c r="G1385" i="6"/>
  <c r="M1385" i="6" s="1"/>
  <c r="G1386" i="6"/>
  <c r="M1386" i="6" s="1"/>
  <c r="G1387" i="6"/>
  <c r="M1387" i="6" s="1"/>
  <c r="G1388" i="6"/>
  <c r="M1388" i="6" s="1"/>
  <c r="G1389" i="6"/>
  <c r="M1389" i="6" s="1"/>
  <c r="G1390" i="6"/>
  <c r="M1390" i="6" s="1"/>
  <c r="G1391" i="6"/>
  <c r="M1391" i="6" s="1"/>
  <c r="G1392" i="6"/>
  <c r="M1392" i="6" s="1"/>
  <c r="G1393" i="6"/>
  <c r="M1393" i="6" s="1"/>
  <c r="G1394" i="6"/>
  <c r="M1394" i="6" s="1"/>
  <c r="G1395" i="6"/>
  <c r="M1395" i="6" s="1"/>
  <c r="G1396" i="6"/>
  <c r="M1396" i="6" s="1"/>
  <c r="G1397" i="6"/>
  <c r="M1397" i="6" s="1"/>
  <c r="G1398" i="6"/>
  <c r="M1398" i="6" s="1"/>
  <c r="G1399" i="6"/>
  <c r="M1399" i="6" s="1"/>
  <c r="G1400" i="6"/>
  <c r="M1400" i="6" s="1"/>
  <c r="G1401" i="6"/>
  <c r="M1401" i="6" s="1"/>
  <c r="G1402" i="6"/>
  <c r="M1402" i="6" s="1"/>
  <c r="G1403" i="6"/>
  <c r="M1403" i="6" s="1"/>
  <c r="G1404" i="6"/>
  <c r="M1404" i="6" s="1"/>
  <c r="G1405" i="6"/>
  <c r="M1405" i="6" s="1"/>
  <c r="G1406" i="6"/>
  <c r="M1406" i="6" s="1"/>
  <c r="G1407" i="6"/>
  <c r="M1407" i="6" s="1"/>
  <c r="G1408" i="6"/>
  <c r="M1408" i="6" s="1"/>
  <c r="G1409" i="6"/>
  <c r="M1409" i="6" s="1"/>
  <c r="G1410" i="6"/>
  <c r="M1410" i="6" s="1"/>
  <c r="G1411" i="6"/>
  <c r="M1411" i="6" s="1"/>
  <c r="G1412" i="6"/>
  <c r="M1412" i="6" s="1"/>
  <c r="G1413" i="6"/>
  <c r="M1413" i="6" s="1"/>
  <c r="G1414" i="6"/>
  <c r="M1414" i="6" s="1"/>
  <c r="G1415" i="6"/>
  <c r="M1415" i="6" s="1"/>
  <c r="G1416" i="6"/>
  <c r="M1416" i="6" s="1"/>
  <c r="G1417" i="6"/>
  <c r="M1417" i="6" s="1"/>
  <c r="G1418" i="6"/>
  <c r="M1418" i="6" s="1"/>
  <c r="G1419" i="6"/>
  <c r="M1419" i="6" s="1"/>
  <c r="G1420" i="6"/>
  <c r="M1420" i="6" s="1"/>
  <c r="G1421" i="6"/>
  <c r="M1421" i="6" s="1"/>
  <c r="G1422" i="6"/>
  <c r="M1422" i="6" s="1"/>
  <c r="G1423" i="6"/>
  <c r="M1423" i="6" s="1"/>
  <c r="G1424" i="6"/>
  <c r="M1424" i="6" s="1"/>
  <c r="G1425" i="6"/>
  <c r="M1425" i="6" s="1"/>
  <c r="G1426" i="6"/>
  <c r="M1426" i="6" s="1"/>
  <c r="G1427" i="6"/>
  <c r="M1427" i="6" s="1"/>
  <c r="G1428" i="6"/>
  <c r="M1428" i="6" s="1"/>
  <c r="G1429" i="6"/>
  <c r="M1429" i="6" s="1"/>
  <c r="G1430" i="6"/>
  <c r="M1430" i="6" s="1"/>
  <c r="G1431" i="6"/>
  <c r="M1431" i="6" s="1"/>
  <c r="G1432" i="6"/>
  <c r="M1432" i="6" s="1"/>
  <c r="G1433" i="6"/>
  <c r="M1433" i="6" s="1"/>
  <c r="G1434" i="6"/>
  <c r="M1434" i="6" s="1"/>
  <c r="G1435" i="6"/>
  <c r="M1435" i="6" s="1"/>
  <c r="G1436" i="6"/>
  <c r="M1436" i="6" s="1"/>
  <c r="G1437" i="6"/>
  <c r="M1437" i="6" s="1"/>
  <c r="G1438" i="6"/>
  <c r="M1438" i="6" s="1"/>
  <c r="G1439" i="6"/>
  <c r="M1439" i="6" s="1"/>
  <c r="G1440" i="6"/>
  <c r="M1440" i="6" s="1"/>
  <c r="G1441" i="6"/>
  <c r="M1441" i="6" s="1"/>
  <c r="G1442" i="6"/>
  <c r="M1442" i="6" s="1"/>
  <c r="G1443" i="6"/>
  <c r="M1443" i="6" s="1"/>
  <c r="G1444" i="6"/>
  <c r="M1444" i="6" s="1"/>
  <c r="G1445" i="6"/>
  <c r="M1445" i="6" s="1"/>
  <c r="G1446" i="6"/>
  <c r="M1446" i="6" s="1"/>
  <c r="G1447" i="6"/>
  <c r="M1447" i="6" s="1"/>
  <c r="G1448" i="6"/>
  <c r="M1448" i="6" s="1"/>
  <c r="G1449" i="6"/>
  <c r="M1449" i="6" s="1"/>
  <c r="G1450" i="6"/>
  <c r="M1450" i="6" s="1"/>
  <c r="G1451" i="6"/>
  <c r="M1451" i="6" s="1"/>
  <c r="G1452" i="6"/>
  <c r="M1452" i="6" s="1"/>
  <c r="G1453" i="6"/>
  <c r="M1453" i="6" s="1"/>
  <c r="G1454" i="6"/>
  <c r="M1454" i="6" s="1"/>
  <c r="G1455" i="6"/>
  <c r="M1455" i="6" s="1"/>
  <c r="G1456" i="6"/>
  <c r="M1456" i="6" s="1"/>
  <c r="G1457" i="6"/>
  <c r="M1457" i="6" s="1"/>
  <c r="G1458" i="6"/>
  <c r="M1458" i="6" s="1"/>
  <c r="G1459" i="6"/>
  <c r="M1459" i="6" s="1"/>
  <c r="G1460" i="6"/>
  <c r="M1460" i="6" s="1"/>
  <c r="G1461" i="6"/>
  <c r="M1461" i="6" s="1"/>
  <c r="G1462" i="6"/>
  <c r="M1462" i="6" s="1"/>
  <c r="G1463" i="6"/>
  <c r="M1463" i="6" s="1"/>
  <c r="G1464" i="6"/>
  <c r="M1464" i="6" s="1"/>
  <c r="G1465" i="6"/>
  <c r="M1465" i="6" s="1"/>
  <c r="G1466" i="6"/>
  <c r="M1466" i="6" s="1"/>
  <c r="G1467" i="6"/>
  <c r="M1467" i="6" s="1"/>
  <c r="G1468" i="6"/>
  <c r="M1468" i="6" s="1"/>
  <c r="G1469" i="6"/>
  <c r="M1469" i="6" s="1"/>
  <c r="G1470" i="6"/>
  <c r="M1470" i="6" s="1"/>
  <c r="G1471" i="6"/>
  <c r="M1471" i="6" s="1"/>
  <c r="G1472" i="6"/>
  <c r="M1472" i="6" s="1"/>
  <c r="G1473" i="6"/>
  <c r="M1473" i="6" s="1"/>
  <c r="G1474" i="6"/>
  <c r="M1474" i="6" s="1"/>
  <c r="G1475" i="6"/>
  <c r="M1475" i="6" s="1"/>
  <c r="G1476" i="6"/>
  <c r="M1476" i="6" s="1"/>
  <c r="G1477" i="6"/>
  <c r="M1477" i="6" s="1"/>
  <c r="G1478" i="6"/>
  <c r="M1478" i="6" s="1"/>
  <c r="G1479" i="6"/>
  <c r="M1479" i="6" s="1"/>
  <c r="G1480" i="6"/>
  <c r="M1480" i="6" s="1"/>
  <c r="G1481" i="6"/>
  <c r="M1481" i="6" s="1"/>
  <c r="G1482" i="6"/>
  <c r="M1482" i="6" s="1"/>
  <c r="G1483" i="6"/>
  <c r="M1483" i="6" s="1"/>
  <c r="G1484" i="6"/>
  <c r="M1484" i="6" s="1"/>
  <c r="G1485" i="6"/>
  <c r="M1485" i="6" s="1"/>
  <c r="G1486" i="6"/>
  <c r="M1486" i="6" s="1"/>
  <c r="G1487" i="6"/>
  <c r="M1487" i="6" s="1"/>
  <c r="G1488" i="6"/>
  <c r="M1488" i="6" s="1"/>
  <c r="G1489" i="6"/>
  <c r="M1489" i="6" s="1"/>
  <c r="G1490" i="6"/>
  <c r="M1490" i="6" s="1"/>
  <c r="G1491" i="6"/>
  <c r="M1491" i="6" s="1"/>
  <c r="G1492" i="6"/>
  <c r="M1492" i="6" s="1"/>
  <c r="G1493" i="6"/>
  <c r="M1493" i="6" s="1"/>
  <c r="G1494" i="6"/>
  <c r="M1494" i="6" s="1"/>
  <c r="G1495" i="6"/>
  <c r="M1495" i="6" s="1"/>
  <c r="G1496" i="6"/>
  <c r="M1496" i="6" s="1"/>
  <c r="G1497" i="6"/>
  <c r="M1497" i="6" s="1"/>
  <c r="G1498" i="6"/>
  <c r="M1498" i="6" s="1"/>
  <c r="G1499" i="6"/>
  <c r="M1499" i="6" s="1"/>
  <c r="G1500" i="6"/>
  <c r="M1500" i="6" s="1"/>
  <c r="G1501" i="6"/>
  <c r="M1501" i="6" s="1"/>
  <c r="G1502" i="6"/>
  <c r="M1502" i="6" s="1"/>
  <c r="G1503" i="6"/>
  <c r="M1503" i="6" s="1"/>
  <c r="G1504" i="6"/>
  <c r="M1504" i="6" s="1"/>
  <c r="G1505" i="6"/>
  <c r="M1505" i="6" s="1"/>
  <c r="G1506" i="6"/>
  <c r="M1506" i="6" s="1"/>
  <c r="G1507" i="6"/>
  <c r="M1507" i="6" s="1"/>
  <c r="G1508" i="6"/>
  <c r="M1508" i="6" s="1"/>
  <c r="G1509" i="6"/>
  <c r="M1509" i="6" s="1"/>
  <c r="G1510" i="6"/>
  <c r="M1510" i="6" s="1"/>
  <c r="G1511" i="6"/>
  <c r="M1511" i="6" s="1"/>
  <c r="G1512" i="6"/>
  <c r="M1512" i="6" s="1"/>
  <c r="G1513" i="6"/>
  <c r="M1513" i="6" s="1"/>
  <c r="G1514" i="6"/>
  <c r="M1514" i="6" s="1"/>
  <c r="G1515" i="6"/>
  <c r="M1515" i="6" s="1"/>
  <c r="G1516" i="6"/>
  <c r="M1516" i="6" s="1"/>
  <c r="G1517" i="6"/>
  <c r="M1517" i="6" s="1"/>
  <c r="G1518" i="6"/>
  <c r="M1518" i="6" s="1"/>
  <c r="G1519" i="6"/>
  <c r="M1519" i="6" s="1"/>
  <c r="G1520" i="6"/>
  <c r="M1520" i="6" s="1"/>
  <c r="G1521" i="6"/>
  <c r="M1521" i="6" s="1"/>
  <c r="G1522" i="6"/>
  <c r="M1522" i="6" s="1"/>
  <c r="G1523" i="6"/>
  <c r="M1523" i="6" s="1"/>
  <c r="G1524" i="6"/>
  <c r="M1524" i="6" s="1"/>
  <c r="G1525" i="6"/>
  <c r="M1525" i="6" s="1"/>
  <c r="G1526" i="6"/>
  <c r="M1526" i="6" s="1"/>
  <c r="G1527" i="6"/>
  <c r="M1527" i="6" s="1"/>
  <c r="G1528" i="6"/>
  <c r="M1528" i="6" s="1"/>
  <c r="G1529" i="6"/>
  <c r="M1529" i="6" s="1"/>
  <c r="G1530" i="6"/>
  <c r="M1530" i="6" s="1"/>
  <c r="G1531" i="6"/>
  <c r="M1531" i="6" s="1"/>
  <c r="G1532" i="6"/>
  <c r="M1532" i="6" s="1"/>
  <c r="G1533" i="6"/>
  <c r="M1533" i="6" s="1"/>
  <c r="G1534" i="6"/>
  <c r="M1534" i="6" s="1"/>
  <c r="G1535" i="6"/>
  <c r="M1535" i="6" s="1"/>
  <c r="G1536" i="6"/>
  <c r="M1536" i="6" s="1"/>
  <c r="G1537" i="6"/>
  <c r="M1537" i="6" s="1"/>
  <c r="G1538" i="6"/>
  <c r="M1538" i="6" s="1"/>
  <c r="G1539" i="6"/>
  <c r="M1539" i="6" s="1"/>
  <c r="G1540" i="6"/>
  <c r="M1540" i="6" s="1"/>
  <c r="G1541" i="6"/>
  <c r="M1541" i="6" s="1"/>
  <c r="G1542" i="6"/>
  <c r="M1542" i="6" s="1"/>
  <c r="G1543" i="6"/>
  <c r="M1543" i="6" s="1"/>
  <c r="G1544" i="6"/>
  <c r="M1544" i="6" s="1"/>
  <c r="G1545" i="6"/>
  <c r="M1545" i="6" s="1"/>
  <c r="G1546" i="6"/>
  <c r="M1546" i="6" s="1"/>
  <c r="G1547" i="6"/>
  <c r="M1547" i="6" s="1"/>
  <c r="G1548" i="6"/>
  <c r="M1548" i="6" s="1"/>
  <c r="G1549" i="6"/>
  <c r="M1549" i="6" s="1"/>
  <c r="G1550" i="6"/>
  <c r="M1550" i="6" s="1"/>
  <c r="G1551" i="6"/>
  <c r="M1551" i="6" s="1"/>
  <c r="G1552" i="6"/>
  <c r="M1552" i="6" s="1"/>
  <c r="G1553" i="6"/>
  <c r="M1553" i="6" s="1"/>
  <c r="G1554" i="6"/>
  <c r="M1554" i="6" s="1"/>
  <c r="G1555" i="6"/>
  <c r="M1555" i="6" s="1"/>
  <c r="G1556" i="6"/>
  <c r="M1556" i="6" s="1"/>
  <c r="G1557" i="6"/>
  <c r="M1557" i="6" s="1"/>
  <c r="G1558" i="6"/>
  <c r="M1558" i="6" s="1"/>
  <c r="G1559" i="6"/>
  <c r="M1559" i="6" s="1"/>
  <c r="G1560" i="6"/>
  <c r="M1560" i="6" s="1"/>
  <c r="G1561" i="6"/>
  <c r="M1561" i="6" s="1"/>
  <c r="G1562" i="6"/>
  <c r="M1562" i="6" s="1"/>
  <c r="G1563" i="6"/>
  <c r="M1563" i="6" s="1"/>
  <c r="G1564" i="6"/>
  <c r="M1564" i="6" s="1"/>
  <c r="G1565" i="6"/>
  <c r="M1565" i="6" s="1"/>
  <c r="G1566" i="6"/>
  <c r="M1566" i="6" s="1"/>
  <c r="G1567" i="6"/>
  <c r="M1567" i="6" s="1"/>
  <c r="G1568" i="6"/>
  <c r="M1568" i="6" s="1"/>
  <c r="G1569" i="6"/>
  <c r="M1569" i="6" s="1"/>
  <c r="G1570" i="6"/>
  <c r="M1570" i="6" s="1"/>
  <c r="G1571" i="6"/>
  <c r="M1571" i="6" s="1"/>
  <c r="G1572" i="6"/>
  <c r="M1572" i="6" s="1"/>
  <c r="G1573" i="6"/>
  <c r="M1573" i="6" s="1"/>
  <c r="G1574" i="6"/>
  <c r="M1574" i="6" s="1"/>
  <c r="G1575" i="6"/>
  <c r="M1575" i="6" s="1"/>
  <c r="G1576" i="6"/>
  <c r="M1576" i="6" s="1"/>
  <c r="G1577" i="6"/>
  <c r="M1577" i="6" s="1"/>
  <c r="G1578" i="6"/>
  <c r="M1578" i="6" s="1"/>
  <c r="G1579" i="6"/>
  <c r="M1579" i="6" s="1"/>
  <c r="G1580" i="6"/>
  <c r="M1580" i="6" s="1"/>
  <c r="G1581" i="6"/>
  <c r="M1581" i="6" s="1"/>
  <c r="G1582" i="6"/>
  <c r="M1582" i="6" s="1"/>
  <c r="G1583" i="6"/>
  <c r="M1583" i="6" s="1"/>
  <c r="G1584" i="6"/>
  <c r="M1584" i="6" s="1"/>
  <c r="G1585" i="6"/>
  <c r="M1585" i="6" s="1"/>
  <c r="G1586" i="6"/>
  <c r="M1586" i="6" s="1"/>
  <c r="G1587" i="6"/>
  <c r="M1587" i="6" s="1"/>
  <c r="G1588" i="6"/>
  <c r="M1588" i="6" s="1"/>
  <c r="G1589" i="6"/>
  <c r="M1589" i="6" s="1"/>
  <c r="G1590" i="6"/>
  <c r="M1590" i="6" s="1"/>
  <c r="G1591" i="6"/>
  <c r="M1591" i="6" s="1"/>
  <c r="G1592" i="6"/>
  <c r="M1592" i="6" s="1"/>
  <c r="G1593" i="6"/>
  <c r="M1593" i="6" s="1"/>
  <c r="G1594" i="6"/>
  <c r="M1594" i="6" s="1"/>
  <c r="G1595" i="6"/>
  <c r="M1595" i="6" s="1"/>
  <c r="G1596" i="6"/>
  <c r="M1596" i="6" s="1"/>
  <c r="G1597" i="6"/>
  <c r="M1597" i="6" s="1"/>
  <c r="G1598" i="6"/>
  <c r="M1598" i="6" s="1"/>
  <c r="G1599" i="6"/>
  <c r="M1599" i="6" s="1"/>
  <c r="G1600" i="6"/>
  <c r="M1600" i="6" s="1"/>
  <c r="G1601" i="6"/>
  <c r="M1601" i="6" s="1"/>
  <c r="G1602" i="6"/>
  <c r="M1602" i="6" s="1"/>
  <c r="G1603" i="6"/>
  <c r="M1603" i="6" s="1"/>
  <c r="G1604" i="6"/>
  <c r="M1604" i="6" s="1"/>
  <c r="G1605" i="6"/>
  <c r="M1605" i="6" s="1"/>
  <c r="G1606" i="6"/>
  <c r="M1606" i="6" s="1"/>
  <c r="G1607" i="6"/>
  <c r="M1607" i="6" s="1"/>
  <c r="G1608" i="6"/>
  <c r="M1608" i="6" s="1"/>
  <c r="G1609" i="6"/>
  <c r="M1609" i="6" s="1"/>
  <c r="G1610" i="6"/>
  <c r="M1610" i="6" s="1"/>
  <c r="G1611" i="6"/>
  <c r="M1611" i="6" s="1"/>
  <c r="G1612" i="6"/>
  <c r="M1612" i="6" s="1"/>
  <c r="G1613" i="6"/>
  <c r="M1613" i="6" s="1"/>
  <c r="G1614" i="6"/>
  <c r="M1614" i="6" s="1"/>
  <c r="G1615" i="6"/>
  <c r="M1615" i="6" s="1"/>
  <c r="G1616" i="6"/>
  <c r="M1616" i="6" s="1"/>
  <c r="G1617" i="6"/>
  <c r="M1617" i="6" s="1"/>
  <c r="G1618" i="6"/>
  <c r="M1618" i="6" s="1"/>
  <c r="G1619" i="6"/>
  <c r="M1619" i="6" s="1"/>
  <c r="G1620" i="6"/>
  <c r="M1620" i="6" s="1"/>
  <c r="G1621" i="6"/>
  <c r="M1621" i="6" s="1"/>
  <c r="G1622" i="6"/>
  <c r="M1622" i="6" s="1"/>
  <c r="G1623" i="6"/>
  <c r="M1623" i="6" s="1"/>
  <c r="G1624" i="6"/>
  <c r="M1624" i="6" s="1"/>
  <c r="G1625" i="6"/>
  <c r="M1625" i="6" s="1"/>
  <c r="G1626" i="6"/>
  <c r="M1626" i="6" s="1"/>
  <c r="G1627" i="6"/>
  <c r="M1627" i="6" s="1"/>
  <c r="G1628" i="6"/>
  <c r="M1628" i="6" s="1"/>
  <c r="G1629" i="6"/>
  <c r="M1629" i="6" s="1"/>
  <c r="G1630" i="6"/>
  <c r="M1630" i="6" s="1"/>
  <c r="G1631" i="6"/>
  <c r="M1631" i="6" s="1"/>
  <c r="G1632" i="6"/>
  <c r="M1632" i="6" s="1"/>
  <c r="G1633" i="6"/>
  <c r="M1633" i="6" s="1"/>
  <c r="G1634" i="6"/>
  <c r="M1634" i="6" s="1"/>
  <c r="G1635" i="6"/>
  <c r="M1635" i="6" s="1"/>
  <c r="G1636" i="6"/>
  <c r="M1636" i="6" s="1"/>
  <c r="G1637" i="6"/>
  <c r="M1637" i="6" s="1"/>
  <c r="G1638" i="6"/>
  <c r="M1638" i="6" s="1"/>
  <c r="G1639" i="6"/>
  <c r="M1639" i="6" s="1"/>
  <c r="G1640" i="6"/>
  <c r="M1640" i="6" s="1"/>
  <c r="G1641" i="6"/>
  <c r="M1641" i="6" s="1"/>
  <c r="G1642" i="6"/>
  <c r="M1642" i="6" s="1"/>
  <c r="G1643" i="6"/>
  <c r="M1643" i="6" s="1"/>
  <c r="G1644" i="6"/>
  <c r="M1644" i="6" s="1"/>
  <c r="G1645" i="6"/>
  <c r="M1645" i="6" s="1"/>
  <c r="G1646" i="6"/>
  <c r="M1646" i="6" s="1"/>
  <c r="G1647" i="6"/>
  <c r="M1647" i="6" s="1"/>
  <c r="G1648" i="6"/>
  <c r="M1648" i="6" s="1"/>
  <c r="G1649" i="6"/>
  <c r="M1649" i="6" s="1"/>
  <c r="G1650" i="6"/>
  <c r="M1650" i="6" s="1"/>
  <c r="G1651" i="6"/>
  <c r="M1651" i="6" s="1"/>
  <c r="G1652" i="6"/>
  <c r="M1652" i="6" s="1"/>
  <c r="G1653" i="6"/>
  <c r="M1653" i="6" s="1"/>
  <c r="G1654" i="6"/>
  <c r="M1654" i="6" s="1"/>
  <c r="G1655" i="6"/>
  <c r="M1655" i="6" s="1"/>
  <c r="G1656" i="6"/>
  <c r="M1656" i="6" s="1"/>
  <c r="G1657" i="6"/>
  <c r="M1657" i="6" s="1"/>
  <c r="G1658" i="6"/>
  <c r="M1658" i="6" s="1"/>
  <c r="G1659" i="6"/>
  <c r="M1659" i="6" s="1"/>
  <c r="G1660" i="6"/>
  <c r="M1660" i="6" s="1"/>
  <c r="G1661" i="6"/>
  <c r="M1661" i="6" s="1"/>
  <c r="G1662" i="6"/>
  <c r="M1662" i="6" s="1"/>
  <c r="G1663" i="6"/>
  <c r="M1663" i="6" s="1"/>
  <c r="G1664" i="6"/>
  <c r="M1664" i="6" s="1"/>
  <c r="G1665" i="6"/>
  <c r="M1665" i="6" s="1"/>
  <c r="G1666" i="6"/>
  <c r="M1666" i="6" s="1"/>
  <c r="G1667" i="6"/>
  <c r="M1667" i="6" s="1"/>
  <c r="G1668" i="6"/>
  <c r="M1668" i="6" s="1"/>
  <c r="G1669" i="6"/>
  <c r="M1669" i="6" s="1"/>
  <c r="G1670" i="6"/>
  <c r="M1670" i="6" s="1"/>
  <c r="G1671" i="6"/>
  <c r="M1671" i="6" s="1"/>
  <c r="G1672" i="6"/>
  <c r="M1672" i="6" s="1"/>
  <c r="G1673" i="6"/>
  <c r="M1673" i="6" s="1"/>
  <c r="G1674" i="6"/>
  <c r="M1674" i="6" s="1"/>
  <c r="G1675" i="6"/>
  <c r="M1675" i="6" s="1"/>
  <c r="G1676" i="6"/>
  <c r="M1676" i="6" s="1"/>
  <c r="G1677" i="6"/>
  <c r="M1677" i="6" s="1"/>
  <c r="G1678" i="6"/>
  <c r="M1678" i="6" s="1"/>
  <c r="G1679" i="6"/>
  <c r="M1679" i="6" s="1"/>
  <c r="G1680" i="6"/>
  <c r="M1680" i="6" s="1"/>
  <c r="G1681" i="6"/>
  <c r="M1681" i="6" s="1"/>
  <c r="G1682" i="6"/>
  <c r="M1682" i="6" s="1"/>
  <c r="G1683" i="6"/>
  <c r="M1683" i="6" s="1"/>
  <c r="G1684" i="6"/>
  <c r="M1684" i="6" s="1"/>
  <c r="G1685" i="6"/>
  <c r="M1685" i="6" s="1"/>
  <c r="G1686" i="6"/>
  <c r="M1686" i="6" s="1"/>
  <c r="G1687" i="6"/>
  <c r="M1687" i="6" s="1"/>
  <c r="G1688" i="6"/>
  <c r="M1688" i="6" s="1"/>
  <c r="G1689" i="6"/>
  <c r="M1689" i="6" s="1"/>
  <c r="G1690" i="6"/>
  <c r="M1690" i="6" s="1"/>
  <c r="G1691" i="6"/>
  <c r="M1691" i="6" s="1"/>
  <c r="G1692" i="6"/>
  <c r="M1692" i="6" s="1"/>
  <c r="G1693" i="6"/>
  <c r="M1693" i="6" s="1"/>
  <c r="G1694" i="6"/>
  <c r="M1694" i="6" s="1"/>
  <c r="G1695" i="6"/>
  <c r="M1695" i="6" s="1"/>
  <c r="G1696" i="6"/>
  <c r="M1696" i="6" s="1"/>
  <c r="G1697" i="6"/>
  <c r="M1697" i="6" s="1"/>
  <c r="G1698" i="6"/>
  <c r="M1698" i="6" s="1"/>
  <c r="G1699" i="6"/>
  <c r="M1699" i="6" s="1"/>
  <c r="G1700" i="6"/>
  <c r="M1700" i="6" s="1"/>
  <c r="G1701" i="6"/>
  <c r="M1701" i="6" s="1"/>
  <c r="G1702" i="6"/>
  <c r="M1702" i="6" s="1"/>
  <c r="G1703" i="6"/>
  <c r="M1703" i="6" s="1"/>
  <c r="G1704" i="6"/>
  <c r="M1704" i="6" s="1"/>
  <c r="G1705" i="6"/>
  <c r="M1705" i="6" s="1"/>
  <c r="G1706" i="6"/>
  <c r="M1706" i="6" s="1"/>
  <c r="G1707" i="6"/>
  <c r="M1707" i="6" s="1"/>
  <c r="G1708" i="6"/>
  <c r="M1708" i="6" s="1"/>
  <c r="G1709" i="6"/>
  <c r="M1709" i="6" s="1"/>
  <c r="G1710" i="6"/>
  <c r="M1710" i="6" s="1"/>
  <c r="G1711" i="6"/>
  <c r="M1711" i="6" s="1"/>
  <c r="G1712" i="6"/>
  <c r="M1712" i="6" s="1"/>
  <c r="G1713" i="6"/>
  <c r="M1713" i="6" s="1"/>
  <c r="G1714" i="6"/>
  <c r="M1714" i="6" s="1"/>
  <c r="G1715" i="6"/>
  <c r="M1715" i="6" s="1"/>
  <c r="G1716" i="6"/>
  <c r="M1716" i="6" s="1"/>
  <c r="G1717" i="6"/>
  <c r="M1717" i="6" s="1"/>
  <c r="G1718" i="6"/>
  <c r="M1718" i="6" s="1"/>
  <c r="G1719" i="6"/>
  <c r="M1719" i="6" s="1"/>
  <c r="G1720" i="6"/>
  <c r="M1720" i="6" s="1"/>
  <c r="G1721" i="6"/>
  <c r="M1721" i="6" s="1"/>
  <c r="G1722" i="6"/>
  <c r="M1722" i="6" s="1"/>
  <c r="G1723" i="6"/>
  <c r="M1723" i="6" s="1"/>
  <c r="G1724" i="6"/>
  <c r="M1724" i="6" s="1"/>
  <c r="G1725" i="6"/>
  <c r="M1725" i="6" s="1"/>
  <c r="G1726" i="6"/>
  <c r="M1726" i="6" s="1"/>
  <c r="G1727" i="6"/>
  <c r="M1727" i="6" s="1"/>
  <c r="G1728" i="6"/>
  <c r="M1728" i="6" s="1"/>
  <c r="G1729" i="6"/>
  <c r="M1729" i="6" s="1"/>
  <c r="G1730" i="6"/>
  <c r="M1730" i="6" s="1"/>
  <c r="G1731" i="6"/>
  <c r="M1731" i="6" s="1"/>
  <c r="G1732" i="6"/>
  <c r="M1732" i="6" s="1"/>
  <c r="G1733" i="6"/>
  <c r="M1733" i="6" s="1"/>
  <c r="G1734" i="6"/>
  <c r="M1734" i="6" s="1"/>
  <c r="G1735" i="6"/>
  <c r="M1735" i="6" s="1"/>
  <c r="G1736" i="6"/>
  <c r="M1736" i="6" s="1"/>
  <c r="G1737" i="6"/>
  <c r="M1737" i="6" s="1"/>
  <c r="G1738" i="6"/>
  <c r="M1738" i="6" s="1"/>
  <c r="G1739" i="6"/>
  <c r="M1739" i="6" s="1"/>
  <c r="G1740" i="6"/>
  <c r="M1740" i="6" s="1"/>
  <c r="G1741" i="6"/>
  <c r="M1741" i="6" s="1"/>
  <c r="G1742" i="6"/>
  <c r="M1742" i="6" s="1"/>
  <c r="G1743" i="6"/>
  <c r="M1743" i="6" s="1"/>
  <c r="G1744" i="6"/>
  <c r="M1744" i="6" s="1"/>
  <c r="G1745" i="6"/>
  <c r="M1745" i="6" s="1"/>
  <c r="G1746" i="6"/>
  <c r="M1746" i="6" s="1"/>
  <c r="G1747" i="6"/>
  <c r="M1747" i="6" s="1"/>
  <c r="G1748" i="6"/>
  <c r="M1748" i="6" s="1"/>
  <c r="G1749" i="6"/>
  <c r="M1749" i="6" s="1"/>
  <c r="G1750" i="6"/>
  <c r="M1750" i="6" s="1"/>
  <c r="G1751" i="6"/>
  <c r="M1751" i="6" s="1"/>
  <c r="G1752" i="6"/>
  <c r="M1752" i="6" s="1"/>
  <c r="G1753" i="6"/>
  <c r="M1753" i="6" s="1"/>
  <c r="G1754" i="6"/>
  <c r="M1754" i="6" s="1"/>
  <c r="G1755" i="6"/>
  <c r="M1755" i="6" s="1"/>
  <c r="G1756" i="6"/>
  <c r="M1756" i="6" s="1"/>
  <c r="G1757" i="6"/>
  <c r="M1757" i="6" s="1"/>
  <c r="G1758" i="6"/>
  <c r="M1758" i="6" s="1"/>
  <c r="G1759" i="6"/>
  <c r="M1759" i="6" s="1"/>
  <c r="G1760" i="6"/>
  <c r="M1760" i="6" s="1"/>
  <c r="G1761" i="6"/>
  <c r="M1761" i="6" s="1"/>
  <c r="G1762" i="6"/>
  <c r="M1762" i="6" s="1"/>
  <c r="G1763" i="6"/>
  <c r="M1763" i="6" s="1"/>
  <c r="G1764" i="6"/>
  <c r="M1764" i="6" s="1"/>
  <c r="G1765" i="6"/>
  <c r="M1765" i="6" s="1"/>
  <c r="G1766" i="6"/>
  <c r="M1766" i="6" s="1"/>
  <c r="G1767" i="6"/>
  <c r="M1767" i="6" s="1"/>
  <c r="G1768" i="6"/>
  <c r="M1768" i="6" s="1"/>
  <c r="G1769" i="6"/>
  <c r="M1769" i="6" s="1"/>
  <c r="G1770" i="6"/>
  <c r="M1770" i="6" s="1"/>
  <c r="G1771" i="6"/>
  <c r="M1771" i="6" s="1"/>
  <c r="G1772" i="6"/>
  <c r="M1772" i="6" s="1"/>
  <c r="G1773" i="6"/>
  <c r="M1773" i="6" s="1"/>
  <c r="G1774" i="6"/>
  <c r="M1774" i="6" s="1"/>
  <c r="G1775" i="6"/>
  <c r="M1775" i="6" s="1"/>
  <c r="G1776" i="6"/>
  <c r="M1776" i="6" s="1"/>
  <c r="G1777" i="6"/>
  <c r="M1777" i="6" s="1"/>
  <c r="G1778" i="6"/>
  <c r="M1778" i="6" s="1"/>
  <c r="G1779" i="6"/>
  <c r="M1779" i="6" s="1"/>
  <c r="G1780" i="6"/>
  <c r="M1780" i="6" s="1"/>
  <c r="G1781" i="6"/>
  <c r="M1781" i="6" s="1"/>
  <c r="G1782" i="6"/>
  <c r="M1782" i="6" s="1"/>
  <c r="G1783" i="6"/>
  <c r="M1783" i="6" s="1"/>
  <c r="G1784" i="6"/>
  <c r="M1784" i="6" s="1"/>
  <c r="G1785" i="6"/>
  <c r="M1785" i="6" s="1"/>
  <c r="G1786" i="6"/>
  <c r="M1786" i="6" s="1"/>
  <c r="G1787" i="6"/>
  <c r="M1787" i="6" s="1"/>
  <c r="G1788" i="6"/>
  <c r="M1788" i="6" s="1"/>
  <c r="G1789" i="6"/>
  <c r="M1789" i="6" s="1"/>
  <c r="G1790" i="6"/>
  <c r="M1790" i="6" s="1"/>
  <c r="G1791" i="6"/>
  <c r="M1791" i="6" s="1"/>
  <c r="G1792" i="6"/>
  <c r="M1792" i="6" s="1"/>
  <c r="G1793" i="6"/>
  <c r="M1793" i="6" s="1"/>
  <c r="G1794" i="6"/>
  <c r="M1794" i="6" s="1"/>
  <c r="G1795" i="6"/>
  <c r="M1795" i="6" s="1"/>
  <c r="G1796" i="6"/>
  <c r="M1796" i="6" s="1"/>
  <c r="G1797" i="6"/>
  <c r="M1797" i="6" s="1"/>
  <c r="G1798" i="6"/>
  <c r="M1798" i="6" s="1"/>
  <c r="G1799" i="6"/>
  <c r="M1799" i="6" s="1"/>
  <c r="G1800" i="6"/>
  <c r="M1800" i="6" s="1"/>
  <c r="G1801" i="6"/>
  <c r="M1801" i="6" s="1"/>
  <c r="G1802" i="6"/>
  <c r="M1802" i="6" s="1"/>
  <c r="G1803" i="6"/>
  <c r="M1803" i="6" s="1"/>
  <c r="G1804" i="6"/>
  <c r="M1804" i="6" s="1"/>
  <c r="G1805" i="6"/>
  <c r="M1805" i="6" s="1"/>
  <c r="G1806" i="6"/>
  <c r="M1806" i="6" s="1"/>
  <c r="G1807" i="6"/>
  <c r="M1807" i="6" s="1"/>
  <c r="G1808" i="6"/>
  <c r="M1808" i="6" s="1"/>
  <c r="G1809" i="6"/>
  <c r="M1809" i="6" s="1"/>
  <c r="G1810" i="6"/>
  <c r="M1810" i="6" s="1"/>
  <c r="G1811" i="6"/>
  <c r="M1811" i="6" s="1"/>
  <c r="G1812" i="6"/>
  <c r="M1812" i="6" s="1"/>
  <c r="G1813" i="6"/>
  <c r="M1813" i="6" s="1"/>
  <c r="G1814" i="6"/>
  <c r="M1814" i="6" s="1"/>
  <c r="G1815" i="6"/>
  <c r="M1815" i="6" s="1"/>
  <c r="G1816" i="6"/>
  <c r="M1816" i="6" s="1"/>
  <c r="G1817" i="6"/>
  <c r="M1817" i="6" s="1"/>
  <c r="G1818" i="6"/>
  <c r="M1818" i="6" s="1"/>
  <c r="G1819" i="6"/>
  <c r="M1819" i="6" s="1"/>
  <c r="G1820" i="6"/>
  <c r="M1820" i="6" s="1"/>
  <c r="G1821" i="6"/>
  <c r="M1821" i="6" s="1"/>
  <c r="G1822" i="6"/>
  <c r="M1822" i="6" s="1"/>
  <c r="G1823" i="6"/>
  <c r="M1823" i="6" s="1"/>
  <c r="G1824" i="6"/>
  <c r="M1824" i="6" s="1"/>
  <c r="G1825" i="6"/>
  <c r="M1825" i="6" s="1"/>
  <c r="G1826" i="6"/>
  <c r="M1826" i="6" s="1"/>
  <c r="G1827" i="6"/>
  <c r="M1827" i="6" s="1"/>
  <c r="G1828" i="6"/>
  <c r="M1828" i="6" s="1"/>
  <c r="G1829" i="6"/>
  <c r="M1829" i="6" s="1"/>
  <c r="G1830" i="6"/>
  <c r="M1830" i="6" s="1"/>
  <c r="G1831" i="6"/>
  <c r="M1831" i="6" s="1"/>
  <c r="G1832" i="6"/>
  <c r="M1832" i="6" s="1"/>
  <c r="G1833" i="6"/>
  <c r="M1833" i="6" s="1"/>
  <c r="G1834" i="6"/>
  <c r="M1834" i="6" s="1"/>
  <c r="G1835" i="6"/>
  <c r="M1835" i="6" s="1"/>
  <c r="G1836" i="6"/>
  <c r="M1836" i="6" s="1"/>
  <c r="G1837" i="6"/>
  <c r="M1837" i="6" s="1"/>
  <c r="G1838" i="6"/>
  <c r="M1838" i="6" s="1"/>
  <c r="G1839" i="6"/>
  <c r="M1839" i="6" s="1"/>
  <c r="G1840" i="6"/>
  <c r="M1840" i="6" s="1"/>
  <c r="G1841" i="6"/>
  <c r="M1841" i="6" s="1"/>
  <c r="G1842" i="6"/>
  <c r="M1842" i="6" s="1"/>
  <c r="G1843" i="6"/>
  <c r="M1843" i="6" s="1"/>
  <c r="G1844" i="6"/>
  <c r="M1844" i="6" s="1"/>
  <c r="G1845" i="6"/>
  <c r="M1845" i="6" s="1"/>
  <c r="G1846" i="6"/>
  <c r="M1846" i="6" s="1"/>
  <c r="G1847" i="6"/>
  <c r="M1847" i="6" s="1"/>
  <c r="G1848" i="6"/>
  <c r="M1848" i="6" s="1"/>
  <c r="G1849" i="6"/>
  <c r="M1849" i="6" s="1"/>
  <c r="G1850" i="6"/>
  <c r="M1850" i="6" s="1"/>
  <c r="G1851" i="6"/>
  <c r="M1851" i="6" s="1"/>
  <c r="G1852" i="6"/>
  <c r="M1852" i="6" s="1"/>
  <c r="G1853" i="6"/>
  <c r="M1853" i="6" s="1"/>
  <c r="G1854" i="6"/>
  <c r="M1854" i="6" s="1"/>
  <c r="G1855" i="6"/>
  <c r="M1855" i="6" s="1"/>
  <c r="G1856" i="6"/>
  <c r="M1856" i="6" s="1"/>
  <c r="G1857" i="6"/>
  <c r="M1857" i="6" s="1"/>
  <c r="G1858" i="6"/>
  <c r="M1858" i="6" s="1"/>
  <c r="G1859" i="6"/>
  <c r="M1859" i="6" s="1"/>
  <c r="G1860" i="6"/>
  <c r="M1860" i="6" s="1"/>
  <c r="G1861" i="6"/>
  <c r="M1861" i="6" s="1"/>
  <c r="G1862" i="6"/>
  <c r="M1862" i="6" s="1"/>
  <c r="G1863" i="6"/>
  <c r="M1863" i="6" s="1"/>
  <c r="G1864" i="6"/>
  <c r="M1864" i="6" s="1"/>
  <c r="G1865" i="6"/>
  <c r="M1865" i="6" s="1"/>
  <c r="G1866" i="6"/>
  <c r="M1866" i="6" s="1"/>
  <c r="G1867" i="6"/>
  <c r="M1867" i="6" s="1"/>
  <c r="G1868" i="6"/>
  <c r="M1868" i="6" s="1"/>
  <c r="G1869" i="6"/>
  <c r="M1869" i="6" s="1"/>
  <c r="G1870" i="6"/>
  <c r="M1870" i="6" s="1"/>
  <c r="G1871" i="6"/>
  <c r="M1871" i="6" s="1"/>
  <c r="G1872" i="6"/>
  <c r="M1872" i="6" s="1"/>
  <c r="G1873" i="6"/>
  <c r="M1873" i="6" s="1"/>
  <c r="G1874" i="6"/>
  <c r="M1874" i="6" s="1"/>
  <c r="G1875" i="6"/>
  <c r="M1875" i="6" s="1"/>
  <c r="G1876" i="6"/>
  <c r="M1876" i="6" s="1"/>
  <c r="G1877" i="6"/>
  <c r="M1877" i="6" s="1"/>
  <c r="G1878" i="6"/>
  <c r="M1878" i="6" s="1"/>
  <c r="G1879" i="6"/>
  <c r="M1879" i="6" s="1"/>
  <c r="G1880" i="6"/>
  <c r="M1880" i="6" s="1"/>
  <c r="G1881" i="6"/>
  <c r="M1881" i="6" s="1"/>
  <c r="G1882" i="6"/>
  <c r="M1882" i="6" s="1"/>
  <c r="G1883" i="6"/>
  <c r="M1883" i="6" s="1"/>
  <c r="G1884" i="6"/>
  <c r="M1884" i="6" s="1"/>
  <c r="G1885" i="6"/>
  <c r="M1885" i="6" s="1"/>
  <c r="G1886" i="6"/>
  <c r="M1886" i="6" s="1"/>
  <c r="G1887" i="6"/>
  <c r="M1887" i="6" s="1"/>
  <c r="G1888" i="6"/>
  <c r="M1888" i="6" s="1"/>
  <c r="G1889" i="6"/>
  <c r="M1889" i="6" s="1"/>
  <c r="G1890" i="6"/>
  <c r="M1890" i="6" s="1"/>
  <c r="G1891" i="6"/>
  <c r="M1891" i="6" s="1"/>
  <c r="G1892" i="6"/>
  <c r="M1892" i="6" s="1"/>
  <c r="G1893" i="6"/>
  <c r="M1893" i="6" s="1"/>
  <c r="G1894" i="6"/>
  <c r="M1894" i="6" s="1"/>
  <c r="G1895" i="6"/>
  <c r="M1895" i="6" s="1"/>
  <c r="G1896" i="6"/>
  <c r="M1896" i="6" s="1"/>
  <c r="G1897" i="6"/>
  <c r="M1897" i="6" s="1"/>
  <c r="G1898" i="6"/>
  <c r="M1898" i="6" s="1"/>
  <c r="G1899" i="6"/>
  <c r="M1899" i="6" s="1"/>
  <c r="G1900" i="6"/>
  <c r="M1900" i="6" s="1"/>
  <c r="G1901" i="6"/>
  <c r="M1901" i="6" s="1"/>
  <c r="G1902" i="6"/>
  <c r="M1902" i="6" s="1"/>
  <c r="G1903" i="6"/>
  <c r="M1903" i="6" s="1"/>
  <c r="G1904" i="6"/>
  <c r="M1904" i="6" s="1"/>
  <c r="G1905" i="6"/>
  <c r="M1905" i="6" s="1"/>
  <c r="G1906" i="6"/>
  <c r="M1906" i="6" s="1"/>
  <c r="G1907" i="6"/>
  <c r="M1907" i="6" s="1"/>
  <c r="G1908" i="6"/>
  <c r="M1908" i="6" s="1"/>
  <c r="G1909" i="6"/>
  <c r="M1909" i="6" s="1"/>
  <c r="G1910" i="6"/>
  <c r="M1910" i="6" s="1"/>
  <c r="G1911" i="6"/>
  <c r="M1911" i="6" s="1"/>
  <c r="G1912" i="6"/>
  <c r="M1912" i="6" s="1"/>
  <c r="G1913" i="6"/>
  <c r="M1913" i="6" s="1"/>
  <c r="G1914" i="6"/>
  <c r="M1914" i="6" s="1"/>
  <c r="G1915" i="6"/>
  <c r="M1915" i="6" s="1"/>
  <c r="G1916" i="6"/>
  <c r="M1916" i="6" s="1"/>
  <c r="G1917" i="6"/>
  <c r="M1917" i="6" s="1"/>
  <c r="G1918" i="6"/>
  <c r="M1918" i="6" s="1"/>
  <c r="G1919" i="6"/>
  <c r="M1919" i="6" s="1"/>
  <c r="G1920" i="6"/>
  <c r="M1920" i="6" s="1"/>
  <c r="G1921" i="6"/>
  <c r="M1921" i="6" s="1"/>
  <c r="G1922" i="6"/>
  <c r="M1922" i="6" s="1"/>
  <c r="G1923" i="6"/>
  <c r="M1923" i="6" s="1"/>
  <c r="G1924" i="6"/>
  <c r="M1924" i="6" s="1"/>
  <c r="G1925" i="6"/>
  <c r="M1925" i="6" s="1"/>
  <c r="G1926" i="6"/>
  <c r="M1926" i="6" s="1"/>
  <c r="G1927" i="6"/>
  <c r="M1927" i="6" s="1"/>
  <c r="G1928" i="6"/>
  <c r="M1928" i="6" s="1"/>
  <c r="G1929" i="6"/>
  <c r="M1929" i="6" s="1"/>
  <c r="G1930" i="6"/>
  <c r="M1930" i="6" s="1"/>
  <c r="G1931" i="6"/>
  <c r="M1931" i="6" s="1"/>
  <c r="G1932" i="6"/>
  <c r="M1932" i="6" s="1"/>
  <c r="G1933" i="6"/>
  <c r="M1933" i="6" s="1"/>
  <c r="G1934" i="6"/>
  <c r="M1934" i="6" s="1"/>
  <c r="G1935" i="6"/>
  <c r="M1935" i="6" s="1"/>
  <c r="G1936" i="6"/>
  <c r="M1936" i="6" s="1"/>
  <c r="G1937" i="6"/>
  <c r="M1937" i="6" s="1"/>
  <c r="G1938" i="6"/>
  <c r="M1938" i="6" s="1"/>
  <c r="G1939" i="6"/>
  <c r="M1939" i="6" s="1"/>
  <c r="G1940" i="6"/>
  <c r="M1940" i="6" s="1"/>
  <c r="G1941" i="6"/>
  <c r="M1941" i="6" s="1"/>
  <c r="G1942" i="6"/>
  <c r="M1942" i="6" s="1"/>
  <c r="G1943" i="6"/>
  <c r="M1943" i="6" s="1"/>
  <c r="G1944" i="6"/>
  <c r="M1944" i="6" s="1"/>
  <c r="G1945" i="6"/>
  <c r="M1945" i="6" s="1"/>
  <c r="G1946" i="6"/>
  <c r="M1946" i="6" s="1"/>
  <c r="G1947" i="6"/>
  <c r="M1947" i="6" s="1"/>
  <c r="G1948" i="6"/>
  <c r="M1948" i="6" s="1"/>
  <c r="G1949" i="6"/>
  <c r="M1949" i="6" s="1"/>
  <c r="G1950" i="6"/>
  <c r="M1950" i="6" s="1"/>
  <c r="G1951" i="6"/>
  <c r="M1951" i="6" s="1"/>
  <c r="G1952" i="6"/>
  <c r="M1952" i="6" s="1"/>
  <c r="G1953" i="6"/>
  <c r="M1953" i="6" s="1"/>
  <c r="G1954" i="6"/>
  <c r="M1954" i="6" s="1"/>
  <c r="G1955" i="6"/>
  <c r="M1955" i="6" s="1"/>
  <c r="G1956" i="6"/>
  <c r="M1956" i="6" s="1"/>
  <c r="G1957" i="6"/>
  <c r="M1957" i="6" s="1"/>
  <c r="G1958" i="6"/>
  <c r="M1958" i="6" s="1"/>
  <c r="G1959" i="6"/>
  <c r="M1959" i="6" s="1"/>
  <c r="G1960" i="6"/>
  <c r="M1960" i="6" s="1"/>
  <c r="G1961" i="6"/>
  <c r="M1961" i="6" s="1"/>
  <c r="G1962" i="6"/>
  <c r="M1962" i="6" s="1"/>
  <c r="G1963" i="6"/>
  <c r="M1963" i="6" s="1"/>
  <c r="G1964" i="6"/>
  <c r="M1964" i="6" s="1"/>
  <c r="G1965" i="6"/>
  <c r="M1965" i="6" s="1"/>
  <c r="G1966" i="6"/>
  <c r="M1966" i="6" s="1"/>
  <c r="G1967" i="6"/>
  <c r="M1967" i="6" s="1"/>
  <c r="G1968" i="6"/>
  <c r="M1968" i="6" s="1"/>
  <c r="G1969" i="6"/>
  <c r="M1969" i="6" s="1"/>
  <c r="G1970" i="6"/>
  <c r="M1970" i="6" s="1"/>
  <c r="G1971" i="6"/>
  <c r="M1971" i="6" s="1"/>
  <c r="G1972" i="6"/>
  <c r="M1972" i="6" s="1"/>
  <c r="G1973" i="6"/>
  <c r="M1973" i="6" s="1"/>
  <c r="G1974" i="6"/>
  <c r="M1974" i="6" s="1"/>
  <c r="G1975" i="6"/>
  <c r="M1975" i="6" s="1"/>
  <c r="G1976" i="6"/>
  <c r="M1976" i="6" s="1"/>
  <c r="G1977" i="6"/>
  <c r="M1977" i="6" s="1"/>
  <c r="G1978" i="6"/>
  <c r="M1978" i="6" s="1"/>
  <c r="G1979" i="6"/>
  <c r="M1979" i="6" s="1"/>
  <c r="G1980" i="6"/>
  <c r="M1980" i="6" s="1"/>
  <c r="G1981" i="6"/>
  <c r="M1981" i="6" s="1"/>
  <c r="G1982" i="6"/>
  <c r="M1982" i="6" s="1"/>
  <c r="G1983" i="6"/>
  <c r="M1983" i="6" s="1"/>
  <c r="G1984" i="6"/>
  <c r="M1984" i="6" s="1"/>
  <c r="G1985" i="6"/>
  <c r="M1985" i="6" s="1"/>
  <c r="G1986" i="6"/>
  <c r="M1986" i="6" s="1"/>
  <c r="G1987" i="6"/>
  <c r="M1987" i="6" s="1"/>
  <c r="G1988" i="6"/>
  <c r="M1988" i="6" s="1"/>
  <c r="G1989" i="6"/>
  <c r="M1989" i="6" s="1"/>
  <c r="G1990" i="6"/>
  <c r="M1990" i="6" s="1"/>
  <c r="G1991" i="6"/>
  <c r="M1991" i="6" s="1"/>
  <c r="G1992" i="6"/>
  <c r="M1992" i="6" s="1"/>
  <c r="G1993" i="6"/>
  <c r="M1993" i="6" s="1"/>
  <c r="G1994" i="6"/>
  <c r="M1994" i="6" s="1"/>
  <c r="G1995" i="6"/>
  <c r="M1995" i="6" s="1"/>
  <c r="G1996" i="6"/>
  <c r="M1996" i="6" s="1"/>
  <c r="G1997" i="6"/>
  <c r="M1997" i="6" s="1"/>
  <c r="G1998" i="6"/>
  <c r="M1998" i="6" s="1"/>
  <c r="G1999" i="6"/>
  <c r="M1999" i="6" s="1"/>
  <c r="G2000" i="6"/>
  <c r="M2000" i="6" s="1"/>
  <c r="G2001" i="6"/>
  <c r="M2001" i="6" s="1"/>
  <c r="G2002" i="6"/>
  <c r="M2002" i="6" s="1"/>
  <c r="G2003" i="6"/>
  <c r="M2003" i="6" s="1"/>
  <c r="G2004" i="6"/>
  <c r="M2004" i="6" s="1"/>
  <c r="G2005" i="6"/>
  <c r="M2005" i="6" s="1"/>
  <c r="G2006" i="6"/>
  <c r="M2006" i="6" s="1"/>
  <c r="G2007" i="6"/>
  <c r="M2007" i="6" s="1"/>
  <c r="G2008" i="6"/>
  <c r="M2008" i="6" s="1"/>
  <c r="G2009" i="6"/>
  <c r="M2009" i="6" s="1"/>
  <c r="G2010" i="6"/>
  <c r="M2010" i="6" s="1"/>
  <c r="G2011" i="6"/>
  <c r="M2011" i="6" s="1"/>
  <c r="G2012" i="6"/>
  <c r="M2012" i="6" s="1"/>
  <c r="G2013" i="6"/>
  <c r="M2013" i="6" s="1"/>
  <c r="G2014" i="6"/>
  <c r="M2014" i="6" s="1"/>
  <c r="G2015" i="6"/>
  <c r="M2015" i="6" s="1"/>
  <c r="G2016" i="6"/>
  <c r="M2016" i="6" s="1"/>
  <c r="G2017" i="6"/>
  <c r="M2017" i="6" s="1"/>
  <c r="G2018" i="6"/>
  <c r="M2018" i="6" s="1"/>
  <c r="G2019" i="6"/>
  <c r="M2019" i="6" s="1"/>
  <c r="G2020" i="6"/>
  <c r="M2020" i="6" s="1"/>
  <c r="G2021" i="6"/>
  <c r="M2021" i="6" s="1"/>
  <c r="G2022" i="6"/>
  <c r="M2022" i="6" s="1"/>
  <c r="G2023" i="6"/>
  <c r="M2023" i="6" s="1"/>
  <c r="G2024" i="6"/>
  <c r="M2024" i="6" s="1"/>
  <c r="G2025" i="6"/>
  <c r="M2025" i="6" s="1"/>
  <c r="G2026" i="6"/>
  <c r="M2026" i="6" s="1"/>
  <c r="G2027" i="6"/>
  <c r="M2027" i="6" s="1"/>
  <c r="G2028" i="6"/>
  <c r="M2028" i="6" s="1"/>
  <c r="G2029" i="6"/>
  <c r="M2029" i="6" s="1"/>
  <c r="G2030" i="6"/>
  <c r="M2030" i="6" s="1"/>
  <c r="G2031" i="6"/>
  <c r="M2031" i="6" s="1"/>
  <c r="G2032" i="6"/>
  <c r="M2032" i="6" s="1"/>
  <c r="G2033" i="6"/>
  <c r="M2033" i="6" s="1"/>
  <c r="G2034" i="6"/>
  <c r="M2034" i="6" s="1"/>
  <c r="G2035" i="6"/>
  <c r="M2035" i="6" s="1"/>
  <c r="G2036" i="6"/>
  <c r="M2036" i="6" s="1"/>
  <c r="G2037" i="6"/>
  <c r="M2037" i="6" s="1"/>
  <c r="G2038" i="6"/>
  <c r="M2038" i="6" s="1"/>
  <c r="G2039" i="6"/>
  <c r="M2039" i="6" s="1"/>
  <c r="G2040" i="6"/>
  <c r="M2040" i="6" s="1"/>
  <c r="G2041" i="6"/>
  <c r="M2041" i="6" s="1"/>
  <c r="G2042" i="6"/>
  <c r="M2042" i="6" s="1"/>
  <c r="G2043" i="6"/>
  <c r="M2043" i="6" s="1"/>
  <c r="G2044" i="6"/>
  <c r="M2044" i="6" s="1"/>
  <c r="G2045" i="6"/>
  <c r="M2045" i="6" s="1"/>
  <c r="G2046" i="6"/>
  <c r="M2046" i="6" s="1"/>
  <c r="G2047" i="6"/>
  <c r="M2047" i="6" s="1"/>
  <c r="G2048" i="6"/>
  <c r="M2048" i="6" s="1"/>
  <c r="G2049" i="6"/>
  <c r="M2049" i="6" s="1"/>
  <c r="G2050" i="6"/>
  <c r="M2050" i="6" s="1"/>
  <c r="G2051" i="6"/>
  <c r="M2051" i="6" s="1"/>
  <c r="G2052" i="6"/>
  <c r="M2052" i="6" s="1"/>
  <c r="G2053" i="6"/>
  <c r="M2053" i="6" s="1"/>
  <c r="G2054" i="6"/>
  <c r="M2054" i="6" s="1"/>
  <c r="G2055" i="6"/>
  <c r="M2055" i="6" s="1"/>
  <c r="G2056" i="6"/>
  <c r="M2056" i="6" s="1"/>
  <c r="G2057" i="6"/>
  <c r="M2057" i="6" s="1"/>
  <c r="G2058" i="6"/>
  <c r="M2058" i="6" s="1"/>
  <c r="G2059" i="6"/>
  <c r="M2059" i="6" s="1"/>
  <c r="G2060" i="6"/>
  <c r="M2060" i="6" s="1"/>
  <c r="G2061" i="6"/>
  <c r="M2061" i="6" s="1"/>
  <c r="G2062" i="6"/>
  <c r="M2062" i="6" s="1"/>
  <c r="G2063" i="6"/>
  <c r="M2063" i="6" s="1"/>
  <c r="G2064" i="6"/>
  <c r="M2064" i="6" s="1"/>
  <c r="G2065" i="6"/>
  <c r="M2065" i="6" s="1"/>
  <c r="G2066" i="6"/>
  <c r="M2066" i="6" s="1"/>
  <c r="G2067" i="6"/>
  <c r="M2067" i="6" s="1"/>
  <c r="G2068" i="6"/>
  <c r="M2068" i="6" s="1"/>
  <c r="G2069" i="6"/>
  <c r="M2069" i="6" s="1"/>
  <c r="G2070" i="6"/>
  <c r="M2070" i="6" s="1"/>
  <c r="G2071" i="6"/>
  <c r="M2071" i="6" s="1"/>
  <c r="G2072" i="6"/>
  <c r="M2072" i="6" s="1"/>
  <c r="G2073" i="6"/>
  <c r="M2073" i="6" s="1"/>
  <c r="G2074" i="6"/>
  <c r="M2074" i="6" s="1"/>
  <c r="G2075" i="6"/>
  <c r="M2075" i="6" s="1"/>
  <c r="G2076" i="6"/>
  <c r="M2076" i="6" s="1"/>
  <c r="G2077" i="6"/>
  <c r="M2077" i="6" s="1"/>
  <c r="G2078" i="6"/>
  <c r="M2078" i="6" s="1"/>
  <c r="G2079" i="6"/>
  <c r="M2079" i="6" s="1"/>
  <c r="G2080" i="6"/>
  <c r="M2080" i="6" s="1"/>
  <c r="G2081" i="6"/>
  <c r="M2081" i="6" s="1"/>
  <c r="G2082" i="6"/>
  <c r="M2082" i="6" s="1"/>
  <c r="G2083" i="6"/>
  <c r="M2083" i="6" s="1"/>
  <c r="G2084" i="6"/>
  <c r="M2084" i="6" s="1"/>
  <c r="G2085" i="6"/>
  <c r="M2085" i="6" s="1"/>
  <c r="G2086" i="6"/>
  <c r="M2086" i="6" s="1"/>
  <c r="G2087" i="6"/>
  <c r="M2087" i="6" s="1"/>
  <c r="G2088" i="6"/>
  <c r="M2088" i="6" s="1"/>
  <c r="G2089" i="6"/>
  <c r="M2089" i="6" s="1"/>
  <c r="G2090" i="6"/>
  <c r="M2090" i="6" s="1"/>
  <c r="G2091" i="6"/>
  <c r="M2091" i="6" s="1"/>
  <c r="G2092" i="6"/>
  <c r="M2092" i="6" s="1"/>
  <c r="G2093" i="6"/>
  <c r="M2093" i="6" s="1"/>
  <c r="G2094" i="6"/>
  <c r="M2094" i="6" s="1"/>
  <c r="G2095" i="6"/>
  <c r="M2095" i="6" s="1"/>
  <c r="G2096" i="6"/>
  <c r="M2096" i="6" s="1"/>
  <c r="G2097" i="6"/>
  <c r="M2097" i="6" s="1"/>
  <c r="G2098" i="6"/>
  <c r="M2098" i="6" s="1"/>
  <c r="G2099" i="6"/>
  <c r="M2099" i="6" s="1"/>
  <c r="G2100" i="6"/>
  <c r="M2100" i="6" s="1"/>
  <c r="G2101" i="6"/>
  <c r="M2101" i="6" s="1"/>
  <c r="G2102" i="6"/>
  <c r="M2102" i="6" s="1"/>
  <c r="G2103" i="6"/>
  <c r="M2103" i="6" s="1"/>
  <c r="G2104" i="6"/>
  <c r="M2104" i="6" s="1"/>
  <c r="G2105" i="6"/>
  <c r="M2105" i="6" s="1"/>
  <c r="G2106" i="6"/>
  <c r="M2106" i="6" s="1"/>
  <c r="G2107" i="6"/>
  <c r="M2107" i="6" s="1"/>
  <c r="G2108" i="6"/>
  <c r="M2108" i="6" s="1"/>
  <c r="G2109" i="6"/>
  <c r="M2109" i="6" s="1"/>
  <c r="G2110" i="6"/>
  <c r="M2110" i="6" s="1"/>
  <c r="G2111" i="6"/>
  <c r="M2111" i="6" s="1"/>
  <c r="G2112" i="6"/>
  <c r="M2112" i="6" s="1"/>
  <c r="G2113" i="6"/>
  <c r="M2113" i="6" s="1"/>
  <c r="G2114" i="6"/>
  <c r="M2114" i="6" s="1"/>
  <c r="G2115" i="6"/>
  <c r="M2115" i="6" s="1"/>
  <c r="G2116" i="6"/>
  <c r="M2116" i="6" s="1"/>
  <c r="G2117" i="6"/>
  <c r="M2117" i="6" s="1"/>
  <c r="G2118" i="6"/>
  <c r="M2118" i="6" s="1"/>
  <c r="G2119" i="6"/>
  <c r="M2119" i="6" s="1"/>
  <c r="G2120" i="6"/>
  <c r="M2120" i="6" s="1"/>
  <c r="G2121" i="6"/>
  <c r="M2121" i="6" s="1"/>
  <c r="G2122" i="6"/>
  <c r="M2122" i="6" s="1"/>
  <c r="G2123" i="6"/>
  <c r="M2123" i="6" s="1"/>
  <c r="G2124" i="6"/>
  <c r="M2124" i="6" s="1"/>
  <c r="G2125" i="6"/>
  <c r="M2125" i="6" s="1"/>
  <c r="G2126" i="6"/>
  <c r="M2126" i="6" s="1"/>
  <c r="G2127" i="6"/>
  <c r="M2127" i="6" s="1"/>
  <c r="G2128" i="6"/>
  <c r="M2128" i="6" s="1"/>
  <c r="G2129" i="6"/>
  <c r="M2129" i="6" s="1"/>
  <c r="G2130" i="6"/>
  <c r="M2130" i="6" s="1"/>
  <c r="G2131" i="6"/>
  <c r="M2131" i="6" s="1"/>
  <c r="G2132" i="6"/>
  <c r="M2132" i="6" s="1"/>
  <c r="G2133" i="6"/>
  <c r="M2133" i="6" s="1"/>
  <c r="G2134" i="6"/>
  <c r="M2134" i="6" s="1"/>
  <c r="G2135" i="6"/>
  <c r="M2135" i="6" s="1"/>
  <c r="G2136" i="6"/>
  <c r="M2136" i="6" s="1"/>
  <c r="G2137" i="6"/>
  <c r="M2137" i="6" s="1"/>
  <c r="G2138" i="6"/>
  <c r="M2138" i="6" s="1"/>
  <c r="G2139" i="6"/>
  <c r="M2139" i="6" s="1"/>
  <c r="G2140" i="6"/>
  <c r="M2140" i="6" s="1"/>
  <c r="G2141" i="6"/>
  <c r="M2141" i="6" s="1"/>
  <c r="G2142" i="6"/>
  <c r="M2142" i="6" s="1"/>
  <c r="G2143" i="6"/>
  <c r="M2143" i="6" s="1"/>
  <c r="G2144" i="6"/>
  <c r="M2144" i="6" s="1"/>
  <c r="G2145" i="6"/>
  <c r="M2145" i="6" s="1"/>
  <c r="G2146" i="6"/>
  <c r="M2146" i="6" s="1"/>
  <c r="G2147" i="6"/>
  <c r="M2147" i="6" s="1"/>
  <c r="G2148" i="6"/>
  <c r="M2148" i="6" s="1"/>
  <c r="G2149" i="6"/>
  <c r="M2149" i="6" s="1"/>
  <c r="G2150" i="6"/>
  <c r="M2150" i="6" s="1"/>
  <c r="G2151" i="6"/>
  <c r="M2151" i="6" s="1"/>
  <c r="G2152" i="6"/>
  <c r="M2152" i="6" s="1"/>
  <c r="G2153" i="6"/>
  <c r="M2153" i="6" s="1"/>
  <c r="G2154" i="6"/>
  <c r="M2154" i="6" s="1"/>
  <c r="G2155" i="6"/>
  <c r="M2155" i="6" s="1"/>
  <c r="G2156" i="6"/>
  <c r="M2156" i="6" s="1"/>
  <c r="G2157" i="6"/>
  <c r="M2157" i="6" s="1"/>
  <c r="G2158" i="6"/>
  <c r="M2158" i="6" s="1"/>
  <c r="G2159" i="6"/>
  <c r="M2159" i="6" s="1"/>
  <c r="G2160" i="6"/>
  <c r="M2160" i="6" s="1"/>
  <c r="G2161" i="6"/>
  <c r="M2161" i="6" s="1"/>
  <c r="G2162" i="6"/>
  <c r="M2162" i="6" s="1"/>
  <c r="G2163" i="6"/>
  <c r="M2163" i="6" s="1"/>
  <c r="G2164" i="6"/>
  <c r="M2164" i="6" s="1"/>
  <c r="G2165" i="6"/>
  <c r="M2165" i="6" s="1"/>
  <c r="G2166" i="6"/>
  <c r="M2166" i="6" s="1"/>
  <c r="G2167" i="6"/>
  <c r="M2167" i="6" s="1"/>
  <c r="G2168" i="6"/>
  <c r="M2168" i="6" s="1"/>
  <c r="G2169" i="6"/>
  <c r="M2169" i="6" s="1"/>
  <c r="G2170" i="6"/>
  <c r="M2170" i="6" s="1"/>
  <c r="G2171" i="6"/>
  <c r="M2171" i="6" s="1"/>
  <c r="G2172" i="6"/>
  <c r="M2172" i="6" s="1"/>
  <c r="G2173" i="6"/>
  <c r="M2173" i="6" s="1"/>
  <c r="G2174" i="6"/>
  <c r="M2174" i="6" s="1"/>
  <c r="G2175" i="6"/>
  <c r="M2175" i="6" s="1"/>
  <c r="G2176" i="6"/>
  <c r="M2176" i="6" s="1"/>
  <c r="G2177" i="6"/>
  <c r="M2177" i="6" s="1"/>
  <c r="G2178" i="6"/>
  <c r="M2178" i="6" s="1"/>
  <c r="G2179" i="6"/>
  <c r="M2179" i="6" s="1"/>
  <c r="G2180" i="6"/>
  <c r="M2180" i="6" s="1"/>
  <c r="G2181" i="6"/>
  <c r="M2181" i="6" s="1"/>
  <c r="G2182" i="6"/>
  <c r="M2182" i="6" s="1"/>
  <c r="G2183" i="6"/>
  <c r="M2183" i="6" s="1"/>
  <c r="G2184" i="6"/>
  <c r="M2184" i="6" s="1"/>
  <c r="G2185" i="6"/>
  <c r="M2185" i="6" s="1"/>
  <c r="G2186" i="6"/>
  <c r="M2186" i="6" s="1"/>
  <c r="G2187" i="6"/>
  <c r="M2187" i="6" s="1"/>
  <c r="G2188" i="6"/>
  <c r="M2188" i="6" s="1"/>
  <c r="G2189" i="6"/>
  <c r="M2189" i="6" s="1"/>
  <c r="G2190" i="6"/>
  <c r="M2190" i="6" s="1"/>
  <c r="G2191" i="6"/>
  <c r="M2191" i="6" s="1"/>
  <c r="G2192" i="6"/>
  <c r="M2192" i="6" s="1"/>
  <c r="G2193" i="6"/>
  <c r="M2193" i="6" s="1"/>
  <c r="G2194" i="6"/>
  <c r="M2194" i="6" s="1"/>
  <c r="G2195" i="6"/>
  <c r="M2195" i="6" s="1"/>
  <c r="G2196" i="6"/>
  <c r="M2196" i="6" s="1"/>
  <c r="G2197" i="6"/>
  <c r="M2197" i="6" s="1"/>
  <c r="G2198" i="6"/>
  <c r="M2198" i="6" s="1"/>
  <c r="G2199" i="6"/>
  <c r="M2199" i="6" s="1"/>
  <c r="G2200" i="6"/>
  <c r="M2200" i="6" s="1"/>
  <c r="G2201" i="6"/>
  <c r="M2201" i="6" s="1"/>
  <c r="G2202" i="6"/>
  <c r="M2202" i="6" s="1"/>
  <c r="G2203" i="6"/>
  <c r="M2203" i="6" s="1"/>
  <c r="G2204" i="6"/>
  <c r="M2204" i="6" s="1"/>
  <c r="G2205" i="6"/>
  <c r="M2205" i="6" s="1"/>
  <c r="G2206" i="6"/>
  <c r="M2206" i="6" s="1"/>
  <c r="G2207" i="6"/>
  <c r="M2207" i="6" s="1"/>
  <c r="G2208" i="6"/>
  <c r="M2208" i="6" s="1"/>
  <c r="G2209" i="6"/>
  <c r="M2209" i="6" s="1"/>
  <c r="G2210" i="6"/>
  <c r="M2210" i="6" s="1"/>
  <c r="G2211" i="6"/>
  <c r="M2211" i="6" s="1"/>
  <c r="G2212" i="6"/>
  <c r="M2212" i="6" s="1"/>
  <c r="G2213" i="6"/>
  <c r="M2213" i="6" s="1"/>
  <c r="G2214" i="6"/>
  <c r="M2214" i="6" s="1"/>
  <c r="G2215" i="6"/>
  <c r="M2215" i="6" s="1"/>
  <c r="G2216" i="6"/>
  <c r="M2216" i="6" s="1"/>
  <c r="G2217" i="6"/>
  <c r="M2217" i="6" s="1"/>
  <c r="G2218" i="6"/>
  <c r="M2218" i="6" s="1"/>
  <c r="G2219" i="6"/>
  <c r="M2219" i="6" s="1"/>
  <c r="G2220" i="6"/>
  <c r="M2220" i="6" s="1"/>
  <c r="G2221" i="6"/>
  <c r="M2221" i="6" s="1"/>
  <c r="G2222" i="6"/>
  <c r="M2222" i="6" s="1"/>
  <c r="G2223" i="6"/>
  <c r="M2223" i="6" s="1"/>
  <c r="G2224" i="6"/>
  <c r="M2224" i="6" s="1"/>
  <c r="G2225" i="6"/>
  <c r="M2225" i="6" s="1"/>
  <c r="G2226" i="6"/>
  <c r="M2226" i="6" s="1"/>
  <c r="G2227" i="6"/>
  <c r="M2227" i="6" s="1"/>
  <c r="G2228" i="6"/>
  <c r="M2228" i="6" s="1"/>
  <c r="G2229" i="6"/>
  <c r="M2229" i="6" s="1"/>
  <c r="G2230" i="6"/>
  <c r="M2230" i="6" s="1"/>
  <c r="G2231" i="6"/>
  <c r="M2231" i="6" s="1"/>
  <c r="G2232" i="6"/>
  <c r="M2232" i="6" s="1"/>
  <c r="G2233" i="6"/>
  <c r="M2233" i="6" s="1"/>
  <c r="G2234" i="6"/>
  <c r="M2234" i="6" s="1"/>
  <c r="G2235" i="6"/>
  <c r="M2235" i="6" s="1"/>
  <c r="G2236" i="6"/>
  <c r="M2236" i="6" s="1"/>
  <c r="G2237" i="6"/>
  <c r="M2237" i="6" s="1"/>
  <c r="G2238" i="6"/>
  <c r="M2238" i="6" s="1"/>
  <c r="G2239" i="6"/>
  <c r="M2239" i="6" s="1"/>
  <c r="G2240" i="6"/>
  <c r="M2240" i="6" s="1"/>
  <c r="G2241" i="6"/>
  <c r="M2241" i="6" s="1"/>
  <c r="G2242" i="6"/>
  <c r="M2242" i="6" s="1"/>
  <c r="G2243" i="6"/>
  <c r="M2243" i="6" s="1"/>
  <c r="G2244" i="6"/>
  <c r="M2244" i="6" s="1"/>
  <c r="G2245" i="6"/>
  <c r="M2245" i="6" s="1"/>
  <c r="G2246" i="6"/>
  <c r="M2246" i="6" s="1"/>
  <c r="G2247" i="6"/>
  <c r="M2247" i="6" s="1"/>
  <c r="G2248" i="6"/>
  <c r="M2248" i="6" s="1"/>
  <c r="G2249" i="6"/>
  <c r="M2249" i="6" s="1"/>
  <c r="G2250" i="6"/>
  <c r="M2250" i="6" s="1"/>
  <c r="G2251" i="6"/>
  <c r="M2251" i="6" s="1"/>
  <c r="G2252" i="6"/>
  <c r="M2252" i="6" s="1"/>
  <c r="G2253" i="6"/>
  <c r="M2253" i="6" s="1"/>
  <c r="G2254" i="6"/>
  <c r="M2254" i="6" s="1"/>
  <c r="G2255" i="6"/>
  <c r="M2255" i="6" s="1"/>
  <c r="G2256" i="6"/>
  <c r="M2256" i="6" s="1"/>
  <c r="G2257" i="6"/>
  <c r="M2257" i="6" s="1"/>
  <c r="G2258" i="6"/>
  <c r="M2258" i="6" s="1"/>
  <c r="G2259" i="6"/>
  <c r="M2259" i="6" s="1"/>
  <c r="G2260" i="6"/>
  <c r="M2260" i="6" s="1"/>
  <c r="G2261" i="6"/>
  <c r="M2261" i="6" s="1"/>
  <c r="G2262" i="6"/>
  <c r="M2262" i="6" s="1"/>
  <c r="G2263" i="6"/>
  <c r="M2263" i="6" s="1"/>
  <c r="G2264" i="6"/>
  <c r="M2264" i="6" s="1"/>
  <c r="G2265" i="6"/>
  <c r="M2265" i="6" s="1"/>
  <c r="G2266" i="6"/>
  <c r="M2266" i="6" s="1"/>
  <c r="G2267" i="6"/>
  <c r="M2267" i="6" s="1"/>
  <c r="G2268" i="6"/>
  <c r="M2268" i="6" s="1"/>
  <c r="G2269" i="6"/>
  <c r="M2269" i="6" s="1"/>
  <c r="G2270" i="6"/>
  <c r="M2270" i="6" s="1"/>
  <c r="G2271" i="6"/>
  <c r="M2271" i="6" s="1"/>
  <c r="G2272" i="6"/>
  <c r="M2272" i="6" s="1"/>
  <c r="G2273" i="6"/>
  <c r="M2273" i="6" s="1"/>
  <c r="G2274" i="6"/>
  <c r="M2274" i="6" s="1"/>
  <c r="G2275" i="6"/>
  <c r="M2275" i="6" s="1"/>
  <c r="G2276" i="6"/>
  <c r="M2276" i="6" s="1"/>
  <c r="G2277" i="6"/>
  <c r="M2277" i="6" s="1"/>
  <c r="G2278" i="6"/>
  <c r="M2278" i="6" s="1"/>
  <c r="G2279" i="6"/>
  <c r="M2279" i="6" s="1"/>
  <c r="G2280" i="6"/>
  <c r="M2280" i="6" s="1"/>
  <c r="G2281" i="6"/>
  <c r="M2281" i="6" s="1"/>
  <c r="G2282" i="6"/>
  <c r="M2282" i="6" s="1"/>
  <c r="G2283" i="6"/>
  <c r="M2283" i="6" s="1"/>
  <c r="G2284" i="6"/>
  <c r="M2284" i="6" s="1"/>
  <c r="G2285" i="6"/>
  <c r="M2285" i="6" s="1"/>
  <c r="G2286" i="6"/>
  <c r="M2286" i="6" s="1"/>
  <c r="G2287" i="6"/>
  <c r="M2287" i="6" s="1"/>
  <c r="G2288" i="6"/>
  <c r="M2288" i="6" s="1"/>
  <c r="G2289" i="6"/>
  <c r="M2289" i="6" s="1"/>
  <c r="G2290" i="6"/>
  <c r="M2290" i="6" s="1"/>
  <c r="G2291" i="6"/>
  <c r="M2291" i="6" s="1"/>
  <c r="G2292" i="6"/>
  <c r="M2292" i="6" s="1"/>
  <c r="G2293" i="6"/>
  <c r="M2293" i="6" s="1"/>
  <c r="G2294" i="6"/>
  <c r="M2294" i="6" s="1"/>
  <c r="G2295" i="6"/>
  <c r="M2295" i="6" s="1"/>
  <c r="G2296" i="6"/>
  <c r="M2296" i="6" s="1"/>
  <c r="G2297" i="6"/>
  <c r="M2297" i="6" s="1"/>
  <c r="G2298" i="6"/>
  <c r="M2298" i="6" s="1"/>
  <c r="G2299" i="6"/>
  <c r="M2299" i="6" s="1"/>
  <c r="G2300" i="6"/>
  <c r="M2300" i="6" s="1"/>
  <c r="G2301" i="6"/>
  <c r="M2301" i="6" s="1"/>
  <c r="G2302" i="6"/>
  <c r="M2302" i="6" s="1"/>
  <c r="G2303" i="6"/>
  <c r="M2303" i="6" s="1"/>
  <c r="G2304" i="6"/>
  <c r="M2304" i="6" s="1"/>
  <c r="G2305" i="6"/>
  <c r="M2305" i="6" s="1"/>
  <c r="G2306" i="6"/>
  <c r="M2306" i="6" s="1"/>
  <c r="G2307" i="6"/>
  <c r="M2307" i="6" s="1"/>
  <c r="G2308" i="6"/>
  <c r="M2308" i="6" s="1"/>
  <c r="G2309" i="6"/>
  <c r="M2309" i="6" s="1"/>
  <c r="G2310" i="6"/>
  <c r="M2310" i="6" s="1"/>
  <c r="G2311" i="6"/>
  <c r="M2311" i="6" s="1"/>
  <c r="G2312" i="6"/>
  <c r="M2312" i="6" s="1"/>
  <c r="G2313" i="6"/>
  <c r="M2313" i="6" s="1"/>
  <c r="G2314" i="6"/>
  <c r="M2314" i="6" s="1"/>
  <c r="G2315" i="6"/>
  <c r="M2315" i="6" s="1"/>
  <c r="G2316" i="6"/>
  <c r="M2316" i="6" s="1"/>
  <c r="G2317" i="6"/>
  <c r="M2317" i="6" s="1"/>
  <c r="G2318" i="6"/>
  <c r="M2318" i="6" s="1"/>
  <c r="G2319" i="6"/>
  <c r="M2319" i="6" s="1"/>
  <c r="G2320" i="6"/>
  <c r="M2320" i="6" s="1"/>
  <c r="G2321" i="6"/>
  <c r="M2321" i="6" s="1"/>
  <c r="G2322" i="6"/>
  <c r="M2322" i="6" s="1"/>
  <c r="G2323" i="6"/>
  <c r="M2323" i="6" s="1"/>
  <c r="G2324" i="6"/>
  <c r="M2324" i="6" s="1"/>
  <c r="G2325" i="6"/>
  <c r="M2325" i="6" s="1"/>
  <c r="G2326" i="6"/>
  <c r="M2326" i="6" s="1"/>
  <c r="G2327" i="6"/>
  <c r="M2327" i="6" s="1"/>
  <c r="G2328" i="6"/>
  <c r="M2328" i="6" s="1"/>
  <c r="G2329" i="6"/>
  <c r="M2329" i="6" s="1"/>
  <c r="G2330" i="6"/>
  <c r="M2330" i="6" s="1"/>
  <c r="G2331" i="6"/>
  <c r="M2331" i="6" s="1"/>
  <c r="G2332" i="6"/>
  <c r="M2332" i="6" s="1"/>
  <c r="G2333" i="6"/>
  <c r="M2333" i="6" s="1"/>
  <c r="G2334" i="6"/>
  <c r="M2334" i="6" s="1"/>
  <c r="G2335" i="6"/>
  <c r="M2335" i="6" s="1"/>
  <c r="G2336" i="6"/>
  <c r="M2336" i="6" s="1"/>
  <c r="G2337" i="6"/>
  <c r="M2337" i="6" s="1"/>
  <c r="G2338" i="6"/>
  <c r="M2338" i="6" s="1"/>
  <c r="G2339" i="6"/>
  <c r="M2339" i="6" s="1"/>
  <c r="G2340" i="6"/>
  <c r="M2340" i="6" s="1"/>
  <c r="G2341" i="6"/>
  <c r="M2341" i="6" s="1"/>
  <c r="G2342" i="6"/>
  <c r="M2342" i="6" s="1"/>
  <c r="G2343" i="6"/>
  <c r="M2343" i="6" s="1"/>
  <c r="G2344" i="6"/>
  <c r="M2344" i="6" s="1"/>
  <c r="G2345" i="6"/>
  <c r="M2345" i="6" s="1"/>
  <c r="G2346" i="6"/>
  <c r="M2346" i="6" s="1"/>
  <c r="G2347" i="6"/>
  <c r="M2347" i="6" s="1"/>
  <c r="G2348" i="6"/>
  <c r="M2348" i="6" s="1"/>
  <c r="G2349" i="6"/>
  <c r="M2349" i="6" s="1"/>
  <c r="G2350" i="6"/>
  <c r="M2350" i="6" s="1"/>
  <c r="G2351" i="6"/>
  <c r="M2351" i="6" s="1"/>
  <c r="G2352" i="6"/>
  <c r="M2352" i="6" s="1"/>
  <c r="G2353" i="6"/>
  <c r="M2353" i="6" s="1"/>
  <c r="G2354" i="6"/>
  <c r="M2354" i="6" s="1"/>
  <c r="G2355" i="6"/>
  <c r="M2355" i="6" s="1"/>
  <c r="G2356" i="6"/>
  <c r="M2356" i="6" s="1"/>
  <c r="G2357" i="6"/>
  <c r="M2357" i="6" s="1"/>
  <c r="G2358" i="6"/>
  <c r="M2358" i="6" s="1"/>
  <c r="G2359" i="6"/>
  <c r="M2359" i="6" s="1"/>
  <c r="G2360" i="6"/>
  <c r="M2360" i="6" s="1"/>
  <c r="G2361" i="6"/>
  <c r="M2361" i="6" s="1"/>
  <c r="G2362" i="6"/>
  <c r="M2362" i="6" s="1"/>
  <c r="G2363" i="6"/>
  <c r="M2363" i="6" s="1"/>
  <c r="G2364" i="6"/>
  <c r="M2364" i="6" s="1"/>
  <c r="G2365" i="6"/>
  <c r="M2365" i="6" s="1"/>
  <c r="G2366" i="6"/>
  <c r="M2366" i="6" s="1"/>
  <c r="G2367" i="6"/>
  <c r="M2367" i="6" s="1"/>
  <c r="G2368" i="6"/>
  <c r="M2368" i="6" s="1"/>
  <c r="G2369" i="6"/>
  <c r="M2369" i="6" s="1"/>
  <c r="G2370" i="6"/>
  <c r="M2370" i="6" s="1"/>
  <c r="G2371" i="6"/>
  <c r="M2371" i="6" s="1"/>
  <c r="G2372" i="6"/>
  <c r="M2372" i="6" s="1"/>
  <c r="G2373" i="6"/>
  <c r="M2373" i="6" s="1"/>
  <c r="G2374" i="6"/>
  <c r="M2374" i="6" s="1"/>
  <c r="G2375" i="6"/>
  <c r="M2375" i="6" s="1"/>
  <c r="G2376" i="6"/>
  <c r="M2376" i="6" s="1"/>
  <c r="G2377" i="6"/>
  <c r="M2377" i="6" s="1"/>
  <c r="G2378" i="6"/>
  <c r="M2378" i="6" s="1"/>
  <c r="G2379" i="6"/>
  <c r="M2379" i="6" s="1"/>
  <c r="G2380" i="6"/>
  <c r="M2380" i="6" s="1"/>
  <c r="G2381" i="6"/>
  <c r="M2381" i="6" s="1"/>
  <c r="G2382" i="6"/>
  <c r="M2382" i="6" s="1"/>
  <c r="G2383" i="6"/>
  <c r="M2383" i="6" s="1"/>
  <c r="G2384" i="6"/>
  <c r="M2384" i="6" s="1"/>
  <c r="G2385" i="6"/>
  <c r="M2385" i="6" s="1"/>
  <c r="G2386" i="6"/>
  <c r="M2386" i="6" s="1"/>
  <c r="G2387" i="6"/>
  <c r="M2387" i="6" s="1"/>
  <c r="G2388" i="6"/>
  <c r="M2388" i="6" s="1"/>
  <c r="G2389" i="6"/>
  <c r="M2389" i="6" s="1"/>
  <c r="G2390" i="6"/>
  <c r="M2390" i="6" s="1"/>
  <c r="G2391" i="6"/>
  <c r="M2391" i="6" s="1"/>
  <c r="G2392" i="6"/>
  <c r="M2392" i="6" s="1"/>
  <c r="G2393" i="6"/>
  <c r="M2393" i="6" s="1"/>
  <c r="G2394" i="6"/>
  <c r="M2394" i="6" s="1"/>
  <c r="G2395" i="6"/>
  <c r="M2395" i="6" s="1"/>
  <c r="G2396" i="6"/>
  <c r="M2396" i="6" s="1"/>
  <c r="G2397" i="6"/>
  <c r="M2397" i="6" s="1"/>
  <c r="G2398" i="6"/>
  <c r="M2398" i="6" s="1"/>
  <c r="G2399" i="6"/>
  <c r="M2399" i="6" s="1"/>
  <c r="G2400" i="6"/>
  <c r="M2400" i="6" s="1"/>
  <c r="G2401" i="6"/>
  <c r="M2401" i="6" s="1"/>
  <c r="G2402" i="6"/>
  <c r="M2402" i="6" s="1"/>
  <c r="G2403" i="6"/>
  <c r="M2403" i="6" s="1"/>
  <c r="G2404" i="6"/>
  <c r="M2404" i="6" s="1"/>
  <c r="G2405" i="6"/>
  <c r="M2405" i="6" s="1"/>
  <c r="G2406" i="6"/>
  <c r="M2406" i="6" s="1"/>
  <c r="G2407" i="6"/>
  <c r="M2407" i="6" s="1"/>
  <c r="G2408" i="6"/>
  <c r="M2408" i="6" s="1"/>
  <c r="G2409" i="6"/>
  <c r="M2409" i="6" s="1"/>
  <c r="G2410" i="6"/>
  <c r="M2410" i="6" s="1"/>
  <c r="G2411" i="6"/>
  <c r="M2411" i="6" s="1"/>
  <c r="G2412" i="6"/>
  <c r="M2412" i="6" s="1"/>
  <c r="G2413" i="6"/>
  <c r="M2413" i="6" s="1"/>
  <c r="G2414" i="6"/>
  <c r="M2414" i="6" s="1"/>
  <c r="G2415" i="6"/>
  <c r="M2415" i="6" s="1"/>
  <c r="G2416" i="6"/>
  <c r="M2416" i="6" s="1"/>
  <c r="G2417" i="6"/>
  <c r="M2417" i="6" s="1"/>
  <c r="G2418" i="6"/>
  <c r="M2418" i="6" s="1"/>
  <c r="G2419" i="6"/>
  <c r="M2419" i="6" s="1"/>
  <c r="G2420" i="6"/>
  <c r="M2420" i="6" s="1"/>
  <c r="G2421" i="6"/>
  <c r="M2421" i="6" s="1"/>
  <c r="G2422" i="6"/>
  <c r="M2422" i="6" s="1"/>
  <c r="G2423" i="6"/>
  <c r="M2423" i="6" s="1"/>
  <c r="G2424" i="6"/>
  <c r="M2424" i="6" s="1"/>
  <c r="G2425" i="6"/>
  <c r="M2425" i="6" s="1"/>
  <c r="G2426" i="6"/>
  <c r="M2426" i="6" s="1"/>
  <c r="G2427" i="6"/>
  <c r="M2427" i="6" s="1"/>
  <c r="G2428" i="6"/>
  <c r="M2428" i="6" s="1"/>
  <c r="G2429" i="6"/>
  <c r="M2429" i="6" s="1"/>
  <c r="G2430" i="6"/>
  <c r="M2430" i="6" s="1"/>
  <c r="G2431" i="6"/>
  <c r="M2431" i="6" s="1"/>
  <c r="G2432" i="6"/>
  <c r="M2432" i="6" s="1"/>
  <c r="G2433" i="6"/>
  <c r="M2433" i="6" s="1"/>
  <c r="G2434" i="6"/>
  <c r="M2434" i="6" s="1"/>
  <c r="G2435" i="6"/>
  <c r="M2435" i="6" s="1"/>
  <c r="G2436" i="6"/>
  <c r="M2436" i="6" s="1"/>
  <c r="G2437" i="6"/>
  <c r="M2437" i="6" s="1"/>
  <c r="G2438" i="6"/>
  <c r="M2438" i="6" s="1"/>
  <c r="G2439" i="6"/>
  <c r="M2439" i="6" s="1"/>
  <c r="G2440" i="6"/>
  <c r="M2440" i="6" s="1"/>
  <c r="G2441" i="6"/>
  <c r="M2441" i="6" s="1"/>
  <c r="G2442" i="6"/>
  <c r="M2442" i="6" s="1"/>
  <c r="G2443" i="6"/>
  <c r="M2443" i="6" s="1"/>
  <c r="G2444" i="6"/>
  <c r="M2444" i="6" s="1"/>
  <c r="G2445" i="6"/>
  <c r="M2445" i="6" s="1"/>
  <c r="G2446" i="6"/>
  <c r="M2446" i="6" s="1"/>
  <c r="G2447" i="6"/>
  <c r="M2447" i="6" s="1"/>
  <c r="G2448" i="6"/>
  <c r="M2448" i="6" s="1"/>
  <c r="G2449" i="6"/>
  <c r="M2449" i="6" s="1"/>
  <c r="G2450" i="6"/>
  <c r="M2450" i="6" s="1"/>
  <c r="G2451" i="6"/>
  <c r="M2451" i="6" s="1"/>
  <c r="G2452" i="6"/>
  <c r="M2452" i="6" s="1"/>
  <c r="G2453" i="6"/>
  <c r="M2453" i="6" s="1"/>
  <c r="G2454" i="6"/>
  <c r="M2454" i="6" s="1"/>
  <c r="G2455" i="6"/>
  <c r="M2455" i="6" s="1"/>
  <c r="G2456" i="6"/>
  <c r="M2456" i="6" s="1"/>
  <c r="G2457" i="6"/>
  <c r="M2457" i="6" s="1"/>
  <c r="G2458" i="6"/>
  <c r="M2458" i="6" s="1"/>
  <c r="G2459" i="6"/>
  <c r="M2459" i="6" s="1"/>
  <c r="G2460" i="6"/>
  <c r="M2460" i="6" s="1"/>
  <c r="G2461" i="6"/>
  <c r="M2461" i="6" s="1"/>
  <c r="G2462" i="6"/>
  <c r="M2462" i="6" s="1"/>
  <c r="G2463" i="6"/>
  <c r="M2463" i="6" s="1"/>
  <c r="G2464" i="6"/>
  <c r="M2464" i="6" s="1"/>
  <c r="G2465" i="6"/>
  <c r="M2465" i="6" s="1"/>
  <c r="G2466" i="6"/>
  <c r="M2466" i="6" s="1"/>
  <c r="G2467" i="6"/>
  <c r="M2467" i="6" s="1"/>
  <c r="G2468" i="6"/>
  <c r="M2468" i="6" s="1"/>
  <c r="G2469" i="6"/>
  <c r="M2469" i="6" s="1"/>
  <c r="G2470" i="6"/>
  <c r="M2470" i="6" s="1"/>
  <c r="G2471" i="6"/>
  <c r="M2471" i="6" s="1"/>
  <c r="G2472" i="6"/>
  <c r="M2472" i="6" s="1"/>
  <c r="G2473" i="6"/>
  <c r="M2473" i="6" s="1"/>
  <c r="G2474" i="6"/>
  <c r="M2474" i="6" s="1"/>
  <c r="G2475" i="6"/>
  <c r="M2475" i="6" s="1"/>
  <c r="G2476" i="6"/>
  <c r="M2476" i="6" s="1"/>
  <c r="G2477" i="6"/>
  <c r="M2477" i="6" s="1"/>
  <c r="G2478" i="6"/>
  <c r="M2478" i="6" s="1"/>
  <c r="G2479" i="6"/>
  <c r="M2479" i="6" s="1"/>
  <c r="G2480" i="6"/>
  <c r="M2480" i="6" s="1"/>
  <c r="G2481" i="6"/>
  <c r="M2481" i="6" s="1"/>
  <c r="G2482" i="6"/>
  <c r="M2482" i="6" s="1"/>
  <c r="G2483" i="6"/>
  <c r="M2483" i="6" s="1"/>
  <c r="G2484" i="6"/>
  <c r="M2484" i="6" s="1"/>
  <c r="G2485" i="6"/>
  <c r="M2485" i="6" s="1"/>
  <c r="G2486" i="6"/>
  <c r="M2486" i="6" s="1"/>
  <c r="G2487" i="6"/>
  <c r="M2487" i="6" s="1"/>
  <c r="G2488" i="6"/>
  <c r="M2488" i="6" s="1"/>
  <c r="G2489" i="6"/>
  <c r="M2489" i="6" s="1"/>
  <c r="G2490" i="6"/>
  <c r="M2490" i="6" s="1"/>
  <c r="G2491" i="6"/>
  <c r="M2491" i="6" s="1"/>
  <c r="G2492" i="6"/>
  <c r="M2492" i="6" s="1"/>
  <c r="G2493" i="6"/>
  <c r="M2493" i="6" s="1"/>
  <c r="G2494" i="6"/>
  <c r="M2494" i="6" s="1"/>
  <c r="G2495" i="6"/>
  <c r="M2495" i="6" s="1"/>
  <c r="G2496" i="6"/>
  <c r="M2496" i="6" s="1"/>
  <c r="G2497" i="6"/>
  <c r="M2497" i="6" s="1"/>
  <c r="G2498" i="6"/>
  <c r="M2498" i="6" s="1"/>
  <c r="G2499" i="6"/>
  <c r="M2499" i="6" s="1"/>
  <c r="G2500" i="6"/>
  <c r="M2500" i="6" s="1"/>
  <c r="G2501" i="6"/>
  <c r="M2501" i="6" s="1"/>
  <c r="G2502" i="6"/>
  <c r="M2502" i="6" s="1"/>
  <c r="G2503" i="6"/>
  <c r="M2503" i="6" s="1"/>
  <c r="G2504" i="6"/>
  <c r="M2504" i="6" s="1"/>
  <c r="G2505" i="6"/>
  <c r="M2505" i="6" s="1"/>
  <c r="G2506" i="6"/>
  <c r="M2506" i="6" s="1"/>
  <c r="G2507" i="6"/>
  <c r="M2507" i="6" s="1"/>
  <c r="G2508" i="6"/>
  <c r="M2508" i="6" s="1"/>
  <c r="G2509" i="6"/>
  <c r="M2509" i="6" s="1"/>
  <c r="G2510" i="6"/>
  <c r="M2510" i="6" s="1"/>
  <c r="G2511" i="6"/>
  <c r="M2511" i="6" s="1"/>
  <c r="G2512" i="6"/>
  <c r="M2512" i="6" s="1"/>
  <c r="G2513" i="6"/>
  <c r="M2513" i="6" s="1"/>
  <c r="G2514" i="6"/>
  <c r="M2514" i="6" s="1"/>
  <c r="G2515" i="6"/>
  <c r="M2515" i="6" s="1"/>
  <c r="G2516" i="6"/>
  <c r="M2516" i="6" s="1"/>
  <c r="G2517" i="6"/>
  <c r="M2517" i="6" s="1"/>
  <c r="G2518" i="6"/>
  <c r="M2518" i="6" s="1"/>
  <c r="G2519" i="6"/>
  <c r="M2519" i="6" s="1"/>
  <c r="G2520" i="6"/>
  <c r="M2520" i="6" s="1"/>
  <c r="G2521" i="6"/>
  <c r="M2521" i="6" s="1"/>
  <c r="G2522" i="6"/>
  <c r="M2522" i="6" s="1"/>
  <c r="G2523" i="6"/>
  <c r="M2523" i="6" s="1"/>
  <c r="G2524" i="6"/>
  <c r="M2524" i="6" s="1"/>
  <c r="G2525" i="6"/>
  <c r="M2525" i="6" s="1"/>
  <c r="G2526" i="6"/>
  <c r="M2526" i="6" s="1"/>
  <c r="G2527" i="6"/>
  <c r="M2527" i="6" s="1"/>
  <c r="G2528" i="6"/>
  <c r="M2528" i="6" s="1"/>
  <c r="G2529" i="6"/>
  <c r="M2529" i="6" s="1"/>
  <c r="G2530" i="6"/>
  <c r="M2530" i="6" s="1"/>
  <c r="G2531" i="6"/>
  <c r="M2531" i="6" s="1"/>
  <c r="G2532" i="6"/>
  <c r="M2532" i="6" s="1"/>
  <c r="G2533" i="6"/>
  <c r="M2533" i="6" s="1"/>
  <c r="G2534" i="6"/>
  <c r="M2534" i="6" s="1"/>
  <c r="G2535" i="6"/>
  <c r="M2535" i="6" s="1"/>
  <c r="G2536" i="6"/>
  <c r="M2536" i="6" s="1"/>
  <c r="G2537" i="6"/>
  <c r="M2537" i="6" s="1"/>
  <c r="G2538" i="6"/>
  <c r="M2538" i="6" s="1"/>
  <c r="G2539" i="6"/>
  <c r="M2539" i="6" s="1"/>
  <c r="G2540" i="6"/>
  <c r="M2540" i="6" s="1"/>
  <c r="G2541" i="6"/>
  <c r="M2541" i="6" s="1"/>
  <c r="G2542" i="6"/>
  <c r="M2542" i="6" s="1"/>
  <c r="G2543" i="6"/>
  <c r="M2543" i="6" s="1"/>
  <c r="G2544" i="6"/>
  <c r="M2544" i="6" s="1"/>
  <c r="G2545" i="6"/>
  <c r="M2545" i="6" s="1"/>
  <c r="G2546" i="6"/>
  <c r="M2546" i="6" s="1"/>
  <c r="G2547" i="6"/>
  <c r="M2547" i="6" s="1"/>
  <c r="G2548" i="6"/>
  <c r="M2548" i="6" s="1"/>
  <c r="G2549" i="6"/>
  <c r="M2549" i="6" s="1"/>
  <c r="G2550" i="6"/>
  <c r="M2550" i="6" s="1"/>
  <c r="G2551" i="6"/>
  <c r="M2551" i="6" s="1"/>
  <c r="G2552" i="6"/>
  <c r="M2552" i="6" s="1"/>
  <c r="G2553" i="6"/>
  <c r="M2553" i="6" s="1"/>
  <c r="G2554" i="6"/>
  <c r="M2554" i="6" s="1"/>
  <c r="G2555" i="6"/>
  <c r="M2555" i="6" s="1"/>
  <c r="G2556" i="6"/>
  <c r="M2556" i="6" s="1"/>
  <c r="G2557" i="6"/>
  <c r="M2557" i="6" s="1"/>
  <c r="G2558" i="6"/>
  <c r="M2558" i="6" s="1"/>
  <c r="G2559" i="6"/>
  <c r="M2559" i="6" s="1"/>
  <c r="G2560" i="6"/>
  <c r="M2560" i="6" s="1"/>
  <c r="G2561" i="6"/>
  <c r="M2561" i="6" s="1"/>
  <c r="G2562" i="6"/>
  <c r="M2562" i="6" s="1"/>
  <c r="G2563" i="6"/>
  <c r="M2563" i="6" s="1"/>
  <c r="G2564" i="6"/>
  <c r="M2564" i="6" s="1"/>
  <c r="G2565" i="6"/>
  <c r="M2565" i="6" s="1"/>
  <c r="G2566" i="6"/>
  <c r="M2566" i="6" s="1"/>
  <c r="G2567" i="6"/>
  <c r="M2567" i="6" s="1"/>
  <c r="G2568" i="6"/>
  <c r="M2568" i="6" s="1"/>
  <c r="G2569" i="6"/>
  <c r="M2569" i="6" s="1"/>
  <c r="G2570" i="6"/>
  <c r="M2570" i="6" s="1"/>
  <c r="G2571" i="6"/>
  <c r="M2571" i="6" s="1"/>
  <c r="G2572" i="6"/>
  <c r="M2572" i="6" s="1"/>
  <c r="G2573" i="6"/>
  <c r="M2573" i="6" s="1"/>
  <c r="G2574" i="6"/>
  <c r="M2574" i="6" s="1"/>
  <c r="G2575" i="6"/>
  <c r="M2575" i="6" s="1"/>
  <c r="G2576" i="6"/>
  <c r="M2576" i="6" s="1"/>
  <c r="G2577" i="6"/>
  <c r="M2577" i="6" s="1"/>
  <c r="G2578" i="6"/>
  <c r="M2578" i="6" s="1"/>
  <c r="G2579" i="6"/>
  <c r="M2579" i="6" s="1"/>
  <c r="G2580" i="6"/>
  <c r="M2580" i="6" s="1"/>
  <c r="G2581" i="6"/>
  <c r="M2581" i="6" s="1"/>
  <c r="G2582" i="6"/>
  <c r="M2582" i="6" s="1"/>
  <c r="G2583" i="6"/>
  <c r="M2583" i="6" s="1"/>
  <c r="G2584" i="6"/>
  <c r="M2584" i="6" s="1"/>
  <c r="G2585" i="6"/>
  <c r="M2585" i="6" s="1"/>
  <c r="G2586" i="6"/>
  <c r="M2586" i="6" s="1"/>
  <c r="G2587" i="6"/>
  <c r="M2587" i="6" s="1"/>
  <c r="G2588" i="6"/>
  <c r="M2588" i="6" s="1"/>
  <c r="G2589" i="6"/>
  <c r="M2589" i="6" s="1"/>
  <c r="G2590" i="6"/>
  <c r="M2590" i="6" s="1"/>
  <c r="G2591" i="6"/>
  <c r="M2591" i="6" s="1"/>
  <c r="G2592" i="6"/>
  <c r="M2592" i="6" s="1"/>
  <c r="G2593" i="6"/>
  <c r="M2593" i="6" s="1"/>
  <c r="G2594" i="6"/>
  <c r="M2594" i="6" s="1"/>
  <c r="G2595" i="6"/>
  <c r="M2595" i="6" s="1"/>
  <c r="G2596" i="6"/>
  <c r="M2596" i="6" s="1"/>
  <c r="G2597" i="6"/>
  <c r="M2597" i="6" s="1"/>
  <c r="G2598" i="6"/>
  <c r="M2598" i="6" s="1"/>
  <c r="G2599" i="6"/>
  <c r="M2599" i="6" s="1"/>
  <c r="G2600" i="6"/>
  <c r="M2600" i="6" s="1"/>
  <c r="G2601" i="6"/>
  <c r="M2601" i="6" s="1"/>
  <c r="G2602" i="6"/>
  <c r="M2602" i="6" s="1"/>
  <c r="G2603" i="6"/>
  <c r="M2603" i="6" s="1"/>
  <c r="G2604" i="6"/>
  <c r="M2604" i="6" s="1"/>
  <c r="G2605" i="6"/>
  <c r="M2605" i="6" s="1"/>
  <c r="G2606" i="6"/>
  <c r="M2606" i="6" s="1"/>
  <c r="G2607" i="6"/>
  <c r="M2607" i="6" s="1"/>
  <c r="G2608" i="6"/>
  <c r="M2608" i="6" s="1"/>
  <c r="G2609" i="6"/>
  <c r="M2609" i="6" s="1"/>
  <c r="G2610" i="6"/>
  <c r="M2610" i="6" s="1"/>
  <c r="G2611" i="6"/>
  <c r="M2611" i="6" s="1"/>
  <c r="G2612" i="6"/>
  <c r="M2612" i="6" s="1"/>
  <c r="G2613" i="6"/>
  <c r="M2613" i="6" s="1"/>
  <c r="G2614" i="6"/>
  <c r="M2614" i="6" s="1"/>
  <c r="G2615" i="6"/>
  <c r="M2615" i="6" s="1"/>
  <c r="G2616" i="6"/>
  <c r="M2616" i="6" s="1"/>
  <c r="G2617" i="6"/>
  <c r="M2617" i="6" s="1"/>
  <c r="G2618" i="6"/>
  <c r="M2618" i="6" s="1"/>
  <c r="G2619" i="6"/>
  <c r="M2619" i="6" s="1"/>
  <c r="G2620" i="6"/>
  <c r="M2620" i="6" s="1"/>
  <c r="G2621" i="6"/>
  <c r="M2621" i="6" s="1"/>
  <c r="G2622" i="6"/>
  <c r="M2622" i="6" s="1"/>
  <c r="G2623" i="6"/>
  <c r="M2623" i="6" s="1"/>
  <c r="G2624" i="6"/>
  <c r="M2624" i="6" s="1"/>
  <c r="G2625" i="6"/>
  <c r="M2625" i="6" s="1"/>
  <c r="G2626" i="6"/>
  <c r="M2626" i="6" s="1"/>
  <c r="G2627" i="6"/>
  <c r="M2627" i="6" s="1"/>
  <c r="G2628" i="6"/>
  <c r="M2628" i="6" s="1"/>
  <c r="G2629" i="6"/>
  <c r="M2629" i="6" s="1"/>
  <c r="G2630" i="6"/>
  <c r="M2630" i="6" s="1"/>
  <c r="G2631" i="6"/>
  <c r="M2631" i="6" s="1"/>
  <c r="G2632" i="6"/>
  <c r="M2632" i="6" s="1"/>
  <c r="G2633" i="6"/>
  <c r="M2633" i="6" s="1"/>
  <c r="G2634" i="6"/>
  <c r="M2634" i="6" s="1"/>
  <c r="G2635" i="6"/>
  <c r="M2635" i="6" s="1"/>
  <c r="G2636" i="6"/>
  <c r="M2636" i="6" s="1"/>
  <c r="G2637" i="6"/>
  <c r="M2637" i="6" s="1"/>
  <c r="G2638" i="6"/>
  <c r="M2638" i="6" s="1"/>
  <c r="G2639" i="6"/>
  <c r="M2639" i="6" s="1"/>
  <c r="G2640" i="6"/>
  <c r="M2640" i="6" s="1"/>
  <c r="G2641" i="6"/>
  <c r="M2641" i="6" s="1"/>
  <c r="G2642" i="6"/>
  <c r="M2642" i="6" s="1"/>
  <c r="G2643" i="6"/>
  <c r="M2643" i="6" s="1"/>
  <c r="G2644" i="6"/>
  <c r="M2644" i="6" s="1"/>
  <c r="G2645" i="6"/>
  <c r="M2645" i="6" s="1"/>
  <c r="G2646" i="6"/>
  <c r="M2646" i="6" s="1"/>
  <c r="G2647" i="6"/>
  <c r="M2647" i="6" s="1"/>
  <c r="G2648" i="6"/>
  <c r="M2648" i="6" s="1"/>
  <c r="G2649" i="6"/>
  <c r="M2649" i="6" s="1"/>
  <c r="G2650" i="6"/>
  <c r="M2650" i="6" s="1"/>
  <c r="G2651" i="6"/>
  <c r="M2651" i="6" s="1"/>
  <c r="G2652" i="6"/>
  <c r="M2652" i="6" s="1"/>
  <c r="G2653" i="6"/>
  <c r="M2653" i="6" s="1"/>
  <c r="G2654" i="6"/>
  <c r="M2654" i="6" s="1"/>
  <c r="G2655" i="6"/>
  <c r="M2655" i="6" s="1"/>
  <c r="G2656" i="6"/>
  <c r="M2656" i="6" s="1"/>
  <c r="G2657" i="6"/>
  <c r="M2657" i="6" s="1"/>
  <c r="G2658" i="6"/>
  <c r="M2658" i="6" s="1"/>
  <c r="G2659" i="6"/>
  <c r="M2659" i="6" s="1"/>
  <c r="G2660" i="6"/>
  <c r="M2660" i="6" s="1"/>
  <c r="G2661" i="6"/>
  <c r="M2661" i="6" s="1"/>
  <c r="G2662" i="6"/>
  <c r="M2662" i="6" s="1"/>
  <c r="G2663" i="6"/>
  <c r="M2663" i="6" s="1"/>
  <c r="G2664" i="6"/>
  <c r="M2664" i="6" s="1"/>
  <c r="G2665" i="6"/>
  <c r="M2665" i="6" s="1"/>
  <c r="G2666" i="6"/>
  <c r="M2666" i="6" s="1"/>
  <c r="G2667" i="6"/>
  <c r="M2667" i="6" s="1"/>
  <c r="G2668" i="6"/>
  <c r="M2668" i="6" s="1"/>
  <c r="G2669" i="6"/>
  <c r="M2669" i="6" s="1"/>
  <c r="G2670" i="6"/>
  <c r="M2670" i="6" s="1"/>
  <c r="G2671" i="6"/>
  <c r="M2671" i="6" s="1"/>
  <c r="G2672" i="6"/>
  <c r="M2672" i="6" s="1"/>
  <c r="G2673" i="6"/>
  <c r="M2673" i="6" s="1"/>
  <c r="G2674" i="6"/>
  <c r="M2674" i="6" s="1"/>
  <c r="G2675" i="6"/>
  <c r="M2675" i="6" s="1"/>
  <c r="G2676" i="6"/>
  <c r="M2676" i="6" s="1"/>
  <c r="G2677" i="6"/>
  <c r="M2677" i="6" s="1"/>
  <c r="G2678" i="6"/>
  <c r="M2678" i="6" s="1"/>
  <c r="G2679" i="6"/>
  <c r="M2679" i="6" s="1"/>
  <c r="G2680" i="6"/>
  <c r="M2680" i="6" s="1"/>
  <c r="G2681" i="6"/>
  <c r="M2681" i="6" s="1"/>
  <c r="G2682" i="6"/>
  <c r="M2682" i="6" s="1"/>
  <c r="G2683" i="6"/>
  <c r="M2683" i="6" s="1"/>
  <c r="G2684" i="6"/>
  <c r="M2684" i="6" s="1"/>
  <c r="G2685" i="6"/>
  <c r="M2685" i="6" s="1"/>
  <c r="G2686" i="6"/>
  <c r="M2686" i="6" s="1"/>
  <c r="G2687" i="6"/>
  <c r="M2687" i="6" s="1"/>
  <c r="G2688" i="6"/>
  <c r="M2688" i="6" s="1"/>
  <c r="G2689" i="6"/>
  <c r="M2689" i="6" s="1"/>
  <c r="G2690" i="6"/>
  <c r="M2690" i="6" s="1"/>
  <c r="G2691" i="6"/>
  <c r="M2691" i="6" s="1"/>
  <c r="G2692" i="6"/>
  <c r="M2692" i="6" s="1"/>
  <c r="G2693" i="6"/>
  <c r="M2693" i="6" s="1"/>
  <c r="G2694" i="6"/>
  <c r="M2694" i="6" s="1"/>
  <c r="G2695" i="6"/>
  <c r="M2695" i="6" s="1"/>
  <c r="G2696" i="6"/>
  <c r="M2696" i="6" s="1"/>
  <c r="G2697" i="6"/>
  <c r="M2697" i="6" s="1"/>
  <c r="G2698" i="6"/>
  <c r="M2698" i="6" s="1"/>
  <c r="G2699" i="6"/>
  <c r="M2699" i="6" s="1"/>
  <c r="G2700" i="6"/>
  <c r="M2700" i="6" s="1"/>
  <c r="G2701" i="6"/>
  <c r="M2701" i="6" s="1"/>
  <c r="G2702" i="6"/>
  <c r="M2702" i="6" s="1"/>
  <c r="G2703" i="6"/>
  <c r="M2703" i="6" s="1"/>
  <c r="G2704" i="6"/>
  <c r="M2704" i="6" s="1"/>
  <c r="G2705" i="6"/>
  <c r="M2705" i="6" s="1"/>
  <c r="G2706" i="6"/>
  <c r="M2706" i="6" s="1"/>
  <c r="G2707" i="6"/>
  <c r="M2707" i="6" s="1"/>
  <c r="G2708" i="6"/>
  <c r="M2708" i="6" s="1"/>
  <c r="G2709" i="6"/>
  <c r="M2709" i="6" s="1"/>
  <c r="G2710" i="6"/>
  <c r="M2710" i="6" s="1"/>
  <c r="G2711" i="6"/>
  <c r="M2711" i="6" s="1"/>
  <c r="G2712" i="6"/>
  <c r="M2712" i="6" s="1"/>
  <c r="G2713" i="6"/>
  <c r="M2713" i="6" s="1"/>
  <c r="G2714" i="6"/>
  <c r="M2714" i="6" s="1"/>
  <c r="G2715" i="6"/>
  <c r="M2715" i="6" s="1"/>
  <c r="G2716" i="6"/>
  <c r="M2716" i="6" s="1"/>
  <c r="G2717" i="6"/>
  <c r="M2717" i="6" s="1"/>
  <c r="G2718" i="6"/>
  <c r="M2718" i="6" s="1"/>
  <c r="G2719" i="6"/>
  <c r="M2719" i="6" s="1"/>
  <c r="G2720" i="6"/>
  <c r="M2720" i="6" s="1"/>
  <c r="G2721" i="6"/>
  <c r="M2721" i="6" s="1"/>
  <c r="G2722" i="6"/>
  <c r="M2722" i="6" s="1"/>
  <c r="G2723" i="6"/>
  <c r="M2723" i="6" s="1"/>
  <c r="G2724" i="6"/>
  <c r="M2724" i="6" s="1"/>
  <c r="G2725" i="6"/>
  <c r="M2725" i="6" s="1"/>
  <c r="G2726" i="6"/>
  <c r="M2726" i="6" s="1"/>
  <c r="G2727" i="6"/>
  <c r="M2727" i="6" s="1"/>
  <c r="G2728" i="6"/>
  <c r="M2728" i="6" s="1"/>
  <c r="G2729" i="6"/>
  <c r="M2729" i="6" s="1"/>
  <c r="G2730" i="6"/>
  <c r="M2730" i="6" s="1"/>
  <c r="G2731" i="6"/>
  <c r="M2731" i="6" s="1"/>
  <c r="G2732" i="6"/>
  <c r="M2732" i="6" s="1"/>
  <c r="G2733" i="6"/>
  <c r="M2733" i="6" s="1"/>
  <c r="G2734" i="6"/>
  <c r="M2734" i="6" s="1"/>
  <c r="G2735" i="6"/>
  <c r="M2735" i="6" s="1"/>
  <c r="G2736" i="6"/>
  <c r="M2736" i="6" s="1"/>
  <c r="G2737" i="6"/>
  <c r="M2737" i="6" s="1"/>
  <c r="G2738" i="6"/>
  <c r="M2738" i="6" s="1"/>
  <c r="G2739" i="6"/>
  <c r="M2739" i="6" s="1"/>
  <c r="G2740" i="6"/>
  <c r="M2740" i="6" s="1"/>
  <c r="G2741" i="6"/>
  <c r="M2741" i="6" s="1"/>
  <c r="G2742" i="6"/>
  <c r="M2742" i="6" s="1"/>
  <c r="G2743" i="6"/>
  <c r="M2743" i="6" s="1"/>
  <c r="G2744" i="6"/>
  <c r="M2744" i="6" s="1"/>
  <c r="G2745" i="6"/>
  <c r="M2745" i="6" s="1"/>
  <c r="G2746" i="6"/>
  <c r="M2746" i="6" s="1"/>
  <c r="G2747" i="6"/>
  <c r="M2747" i="6" s="1"/>
  <c r="G2748" i="6"/>
  <c r="M2748" i="6" s="1"/>
  <c r="G2749" i="6"/>
  <c r="M2749" i="6" s="1"/>
  <c r="G2750" i="6"/>
  <c r="M2750" i="6" s="1"/>
  <c r="G2751" i="6"/>
  <c r="M2751" i="6" s="1"/>
  <c r="G2752" i="6"/>
  <c r="M2752" i="6" s="1"/>
  <c r="G2753" i="6"/>
  <c r="M2753" i="6" s="1"/>
  <c r="G2754" i="6"/>
  <c r="M2754" i="6" s="1"/>
  <c r="G2755" i="6"/>
  <c r="M2755" i="6" s="1"/>
  <c r="G2756" i="6"/>
  <c r="M2756" i="6" s="1"/>
  <c r="G2757" i="6"/>
  <c r="M2757" i="6" s="1"/>
  <c r="G2758" i="6"/>
  <c r="M2758" i="6" s="1"/>
  <c r="G2759" i="6"/>
  <c r="M2759" i="6" s="1"/>
  <c r="G2760" i="6"/>
  <c r="M2760" i="6" s="1"/>
  <c r="G2761" i="6"/>
  <c r="M2761" i="6" s="1"/>
  <c r="G2762" i="6"/>
  <c r="M2762" i="6" s="1"/>
  <c r="G2763" i="6"/>
  <c r="M2763" i="6" s="1"/>
  <c r="G2764" i="6"/>
  <c r="M2764" i="6" s="1"/>
  <c r="G2765" i="6"/>
  <c r="M2765" i="6" s="1"/>
  <c r="G2766" i="6"/>
  <c r="M2766" i="6" s="1"/>
  <c r="G2767" i="6"/>
  <c r="M2767" i="6" s="1"/>
  <c r="G2768" i="6"/>
  <c r="M2768" i="6" s="1"/>
  <c r="G2769" i="6"/>
  <c r="M2769" i="6" s="1"/>
  <c r="G2770" i="6"/>
  <c r="M2770" i="6" s="1"/>
  <c r="G2771" i="6"/>
  <c r="M2771" i="6" s="1"/>
  <c r="G2772" i="6"/>
  <c r="M2772" i="6" s="1"/>
  <c r="G2773" i="6"/>
  <c r="M2773" i="6" s="1"/>
  <c r="G2774" i="6"/>
  <c r="M2774" i="6" s="1"/>
  <c r="G2775" i="6"/>
  <c r="M2775" i="6" s="1"/>
  <c r="G2776" i="6"/>
  <c r="M2776" i="6" s="1"/>
  <c r="G2777" i="6"/>
  <c r="M2777" i="6" s="1"/>
  <c r="G2778" i="6"/>
  <c r="M2778" i="6" s="1"/>
  <c r="G2779" i="6"/>
  <c r="M2779" i="6" s="1"/>
  <c r="G2780" i="6"/>
  <c r="M2780" i="6" s="1"/>
  <c r="G2781" i="6"/>
  <c r="M2781" i="6" s="1"/>
  <c r="G2782" i="6"/>
  <c r="M2782" i="6" s="1"/>
  <c r="G2783" i="6"/>
  <c r="M2783" i="6" s="1"/>
  <c r="G2784" i="6"/>
  <c r="M2784" i="6" s="1"/>
  <c r="G2785" i="6"/>
  <c r="M2785" i="6" s="1"/>
  <c r="G2786" i="6"/>
  <c r="M2786" i="6" s="1"/>
  <c r="G2787" i="6"/>
  <c r="M2787" i="6" s="1"/>
  <c r="G2788" i="6"/>
  <c r="M2788" i="6" s="1"/>
  <c r="G2789" i="6"/>
  <c r="M2789" i="6" s="1"/>
  <c r="G2790" i="6"/>
  <c r="M2790" i="6" s="1"/>
  <c r="G2791" i="6"/>
  <c r="M2791" i="6" s="1"/>
  <c r="G2792" i="6"/>
  <c r="M2792" i="6" s="1"/>
  <c r="G2793" i="6"/>
  <c r="M2793" i="6" s="1"/>
  <c r="G2794" i="6"/>
  <c r="M2794" i="6" s="1"/>
  <c r="G2795" i="6"/>
  <c r="M2795" i="6" s="1"/>
  <c r="G2796" i="6"/>
  <c r="M2796" i="6" s="1"/>
  <c r="G2797" i="6"/>
  <c r="M2797" i="6" s="1"/>
  <c r="G2798" i="6"/>
  <c r="M2798" i="6" s="1"/>
  <c r="G2799" i="6"/>
  <c r="M2799" i="6" s="1"/>
  <c r="G2800" i="6"/>
  <c r="M2800" i="6" s="1"/>
  <c r="G2801" i="6"/>
  <c r="M2801" i="6" s="1"/>
  <c r="G2802" i="6"/>
  <c r="M2802" i="6" s="1"/>
  <c r="G2803" i="6"/>
  <c r="M2803" i="6" s="1"/>
  <c r="G2804" i="6"/>
  <c r="M2804" i="6" s="1"/>
  <c r="G2805" i="6"/>
  <c r="M2805" i="6" s="1"/>
  <c r="G2806" i="6"/>
  <c r="M2806" i="6" s="1"/>
  <c r="G2807" i="6"/>
  <c r="M2807" i="6" s="1"/>
  <c r="G2808" i="6"/>
  <c r="M2808" i="6" s="1"/>
  <c r="G2809" i="6"/>
  <c r="M2809" i="6" s="1"/>
  <c r="G2810" i="6"/>
  <c r="M2810" i="6" s="1"/>
  <c r="G2811" i="6"/>
  <c r="M2811" i="6" s="1"/>
  <c r="G2812" i="6"/>
  <c r="M2812" i="6" s="1"/>
  <c r="G2813" i="6"/>
  <c r="M2813" i="6" s="1"/>
  <c r="G2814" i="6"/>
  <c r="M2814" i="6" s="1"/>
  <c r="G2815" i="6"/>
  <c r="M2815" i="6" s="1"/>
  <c r="G2816" i="6"/>
  <c r="M2816" i="6" s="1"/>
  <c r="G2817" i="6"/>
  <c r="M2817" i="6" s="1"/>
  <c r="G2818" i="6"/>
  <c r="M2818" i="6" s="1"/>
  <c r="G2819" i="6"/>
  <c r="M2819" i="6" s="1"/>
  <c r="G2820" i="6"/>
  <c r="M2820" i="6" s="1"/>
  <c r="G2821" i="6"/>
  <c r="M2821" i="6" s="1"/>
  <c r="G2822" i="6"/>
  <c r="M2822" i="6" s="1"/>
  <c r="G2823" i="6"/>
  <c r="M2823" i="6" s="1"/>
  <c r="G2824" i="6"/>
  <c r="M2824" i="6" s="1"/>
  <c r="G2825" i="6"/>
  <c r="M2825" i="6" s="1"/>
  <c r="G2826" i="6"/>
  <c r="M2826" i="6" s="1"/>
  <c r="G2827" i="6"/>
  <c r="M2827" i="6" s="1"/>
  <c r="G2828" i="6"/>
  <c r="M2828" i="6" s="1"/>
  <c r="G2829" i="6"/>
  <c r="M2829" i="6" s="1"/>
  <c r="G2830" i="6"/>
  <c r="M2830" i="6" s="1"/>
  <c r="G2831" i="6"/>
  <c r="M2831" i="6" s="1"/>
  <c r="G2832" i="6"/>
  <c r="M2832" i="6" s="1"/>
  <c r="G2833" i="6"/>
  <c r="M2833" i="6" s="1"/>
  <c r="G2834" i="6"/>
  <c r="M2834" i="6" s="1"/>
  <c r="G2835" i="6"/>
  <c r="M2835" i="6" s="1"/>
  <c r="G2836" i="6"/>
  <c r="M2836" i="6" s="1"/>
  <c r="G2837" i="6"/>
  <c r="M2837" i="6" s="1"/>
  <c r="G2838" i="6"/>
  <c r="M2838" i="6" s="1"/>
  <c r="G2839" i="6"/>
  <c r="M2839" i="6" s="1"/>
  <c r="G2840" i="6"/>
  <c r="M2840" i="6" s="1"/>
  <c r="G2841" i="6"/>
  <c r="M2841" i="6" s="1"/>
  <c r="G2842" i="6"/>
  <c r="M2842" i="6" s="1"/>
  <c r="G2843" i="6"/>
  <c r="M2843" i="6" s="1"/>
  <c r="G2844" i="6"/>
  <c r="M2844" i="6" s="1"/>
  <c r="G2845" i="6"/>
  <c r="M2845" i="6" s="1"/>
  <c r="G2846" i="6"/>
  <c r="M2846" i="6" s="1"/>
  <c r="G2847" i="6"/>
  <c r="M2847" i="6" s="1"/>
  <c r="G2848" i="6"/>
  <c r="M2848" i="6" s="1"/>
  <c r="G2849" i="6"/>
  <c r="M2849" i="6" s="1"/>
  <c r="G2850" i="6"/>
  <c r="M2850" i="6" s="1"/>
  <c r="G2851" i="6"/>
  <c r="M2851" i="6" s="1"/>
  <c r="G2852" i="6"/>
  <c r="M2852" i="6" s="1"/>
  <c r="G2853" i="6"/>
  <c r="M2853" i="6" s="1"/>
  <c r="G2854" i="6"/>
  <c r="M2854" i="6" s="1"/>
  <c r="G2855" i="6"/>
  <c r="M2855" i="6" s="1"/>
  <c r="G2856" i="6"/>
  <c r="M2856" i="6" s="1"/>
  <c r="G2857" i="6"/>
  <c r="M2857" i="6" s="1"/>
  <c r="G2858" i="6"/>
  <c r="M2858" i="6" s="1"/>
  <c r="G2859" i="6"/>
  <c r="M2859" i="6" s="1"/>
  <c r="G2860" i="6"/>
  <c r="M2860" i="6" s="1"/>
  <c r="G2861" i="6"/>
  <c r="M2861" i="6" s="1"/>
  <c r="G2862" i="6"/>
  <c r="M2862" i="6" s="1"/>
  <c r="G2863" i="6"/>
  <c r="M2863" i="6" s="1"/>
  <c r="G2864" i="6"/>
  <c r="M2864" i="6" s="1"/>
  <c r="G2865" i="6"/>
  <c r="M2865" i="6" s="1"/>
  <c r="G2866" i="6"/>
  <c r="M2866" i="6" s="1"/>
  <c r="G2867" i="6"/>
  <c r="M2867" i="6" s="1"/>
  <c r="G2868" i="6"/>
  <c r="M2868" i="6" s="1"/>
  <c r="G2869" i="6"/>
  <c r="M2869" i="6" s="1"/>
  <c r="G2870" i="6"/>
  <c r="M2870" i="6" s="1"/>
  <c r="G2871" i="6"/>
  <c r="M2871" i="6" s="1"/>
  <c r="G2872" i="6"/>
  <c r="M2872" i="6" s="1"/>
  <c r="G2873" i="6"/>
  <c r="M2873" i="6" s="1"/>
  <c r="G2874" i="6"/>
  <c r="M2874" i="6" s="1"/>
  <c r="G2875" i="6"/>
  <c r="M2875" i="6" s="1"/>
  <c r="G2876" i="6"/>
  <c r="M2876" i="6" s="1"/>
  <c r="G2877" i="6"/>
  <c r="M2877" i="6" s="1"/>
  <c r="G2878" i="6"/>
  <c r="M2878" i="6" s="1"/>
  <c r="G2879" i="6"/>
  <c r="M2879" i="6" s="1"/>
  <c r="G2880" i="6"/>
  <c r="M2880" i="6" s="1"/>
  <c r="G2881" i="6"/>
  <c r="M2881" i="6" s="1"/>
  <c r="G2882" i="6"/>
  <c r="M2882" i="6" s="1"/>
  <c r="G2883" i="6"/>
  <c r="M2883" i="6" s="1"/>
  <c r="G2884" i="6"/>
  <c r="M2884" i="6" s="1"/>
  <c r="G2885" i="6"/>
  <c r="M2885" i="6" s="1"/>
  <c r="G2886" i="6"/>
  <c r="M2886" i="6" s="1"/>
  <c r="G2887" i="6"/>
  <c r="M2887" i="6" s="1"/>
  <c r="G2888" i="6"/>
  <c r="M2888" i="6" s="1"/>
  <c r="G2889" i="6"/>
  <c r="M2889" i="6" s="1"/>
  <c r="G2890" i="6"/>
  <c r="M2890" i="6" s="1"/>
  <c r="G2891" i="6"/>
  <c r="M2891" i="6" s="1"/>
  <c r="G2892" i="6"/>
  <c r="M2892" i="6" s="1"/>
  <c r="G2893" i="6"/>
  <c r="M2893" i="6" s="1"/>
  <c r="G2894" i="6"/>
  <c r="M2894" i="6" s="1"/>
  <c r="G2895" i="6"/>
  <c r="M2895" i="6" s="1"/>
  <c r="G2896" i="6"/>
  <c r="M2896" i="6" s="1"/>
  <c r="G2897" i="6"/>
  <c r="M2897" i="6" s="1"/>
  <c r="G2898" i="6"/>
  <c r="M2898" i="6" s="1"/>
  <c r="G2899" i="6"/>
  <c r="M2899" i="6" s="1"/>
  <c r="G2900" i="6"/>
  <c r="M2900" i="6" s="1"/>
  <c r="G2901" i="6"/>
  <c r="M2901" i="6" s="1"/>
  <c r="G2902" i="6"/>
  <c r="M2902" i="6" s="1"/>
  <c r="G2903" i="6"/>
  <c r="M2903" i="6" s="1"/>
  <c r="G2904" i="6"/>
  <c r="M2904" i="6" s="1"/>
  <c r="G2905" i="6"/>
  <c r="M2905" i="6" s="1"/>
  <c r="G2906" i="6"/>
  <c r="M2906" i="6" s="1"/>
  <c r="G2907" i="6"/>
  <c r="M2907" i="6" s="1"/>
  <c r="G2908" i="6"/>
  <c r="M2908" i="6" s="1"/>
  <c r="G2909" i="6"/>
  <c r="M2909" i="6" s="1"/>
  <c r="G2910" i="6"/>
  <c r="M2910" i="6" s="1"/>
  <c r="G2911" i="6"/>
  <c r="M2911" i="6" s="1"/>
  <c r="G2912" i="6"/>
  <c r="M2912" i="6" s="1"/>
  <c r="G2913" i="6"/>
  <c r="M2913" i="6" s="1"/>
  <c r="G2914" i="6"/>
  <c r="M2914" i="6" s="1"/>
  <c r="G2915" i="6"/>
  <c r="M2915" i="6" s="1"/>
  <c r="G2916" i="6"/>
  <c r="M2916" i="6" s="1"/>
  <c r="G2917" i="6"/>
  <c r="M2917" i="6" s="1"/>
  <c r="G2918" i="6"/>
  <c r="M2918" i="6" s="1"/>
  <c r="G2919" i="6"/>
  <c r="M2919" i="6" s="1"/>
  <c r="G2920" i="6"/>
  <c r="M2920" i="6" s="1"/>
  <c r="G2921" i="6"/>
  <c r="M2921" i="6" s="1"/>
  <c r="G2922" i="6"/>
  <c r="M2922" i="6" s="1"/>
  <c r="G2923" i="6"/>
  <c r="M2923" i="6" s="1"/>
  <c r="G2924" i="6"/>
  <c r="M2924" i="6" s="1"/>
  <c r="G2925" i="6"/>
  <c r="M2925" i="6" s="1"/>
  <c r="G2926" i="6"/>
  <c r="M2926" i="6" s="1"/>
  <c r="G2927" i="6"/>
  <c r="M2927" i="6" s="1"/>
  <c r="G2928" i="6"/>
  <c r="M2928" i="6" s="1"/>
  <c r="G2929" i="6"/>
  <c r="M2929" i="6" s="1"/>
  <c r="G2930" i="6"/>
  <c r="M2930" i="6" s="1"/>
  <c r="G2931" i="6"/>
  <c r="M2931" i="6" s="1"/>
  <c r="G2932" i="6"/>
  <c r="M2932" i="6" s="1"/>
  <c r="G2933" i="6"/>
  <c r="M2933" i="6" s="1"/>
  <c r="G2934" i="6"/>
  <c r="M2934" i="6" s="1"/>
  <c r="G2935" i="6"/>
  <c r="M2935" i="6" s="1"/>
  <c r="G2936" i="6"/>
  <c r="M2936" i="6" s="1"/>
  <c r="G2937" i="6"/>
  <c r="M2937" i="6" s="1"/>
  <c r="G2938" i="6"/>
  <c r="M2938" i="6" s="1"/>
  <c r="G2939" i="6"/>
  <c r="M2939" i="6" s="1"/>
  <c r="G2940" i="6"/>
  <c r="M2940" i="6" s="1"/>
  <c r="G2941" i="6"/>
  <c r="M2941" i="6" s="1"/>
  <c r="G2942" i="6"/>
  <c r="M2942" i="6" s="1"/>
  <c r="G2943" i="6"/>
  <c r="M2943" i="6" s="1"/>
  <c r="G2944" i="6"/>
  <c r="M2944" i="6" s="1"/>
  <c r="G2945" i="6"/>
  <c r="M2945" i="6" s="1"/>
  <c r="G2946" i="6"/>
  <c r="M2946" i="6" s="1"/>
  <c r="G2947" i="6"/>
  <c r="M2947" i="6" s="1"/>
  <c r="G2948" i="6"/>
  <c r="M2948" i="6" s="1"/>
  <c r="G2949" i="6"/>
  <c r="M2949" i="6" s="1"/>
  <c r="G2950" i="6"/>
  <c r="M2950" i="6" s="1"/>
  <c r="G2951" i="6"/>
  <c r="M2951" i="6" s="1"/>
  <c r="G2952" i="6"/>
  <c r="M2952" i="6" s="1"/>
  <c r="G2953" i="6"/>
  <c r="M2953" i="6" s="1"/>
  <c r="G2954" i="6"/>
  <c r="M2954" i="6" s="1"/>
  <c r="G2955" i="6"/>
  <c r="M2955" i="6" s="1"/>
  <c r="G2956" i="6"/>
  <c r="M2956" i="6" s="1"/>
  <c r="G2957" i="6"/>
  <c r="M2957" i="6" s="1"/>
  <c r="G2958" i="6"/>
  <c r="M2958" i="6" s="1"/>
  <c r="G2959" i="6"/>
  <c r="M2959" i="6" s="1"/>
  <c r="G2960" i="6"/>
  <c r="M2960" i="6" s="1"/>
  <c r="G2961" i="6"/>
  <c r="M2961" i="6" s="1"/>
  <c r="G2962" i="6"/>
  <c r="M2962" i="6" s="1"/>
  <c r="G2963" i="6"/>
  <c r="M2963" i="6" s="1"/>
  <c r="G2964" i="6"/>
  <c r="M2964" i="6" s="1"/>
  <c r="G2965" i="6"/>
  <c r="M2965" i="6" s="1"/>
  <c r="G2966" i="6"/>
  <c r="M2966" i="6" s="1"/>
  <c r="G2967" i="6"/>
  <c r="M2967" i="6" s="1"/>
  <c r="G2968" i="6"/>
  <c r="M2968" i="6" s="1"/>
  <c r="G2969" i="6"/>
  <c r="M2969" i="6" s="1"/>
  <c r="G2970" i="6"/>
  <c r="M2970" i="6" s="1"/>
  <c r="G2971" i="6"/>
  <c r="M2971" i="6" s="1"/>
  <c r="G2972" i="6"/>
  <c r="M2972" i="6" s="1"/>
  <c r="G2973" i="6"/>
  <c r="M2973" i="6" s="1"/>
  <c r="G2974" i="6"/>
  <c r="M2974" i="6" s="1"/>
  <c r="G2975" i="6"/>
  <c r="M2975" i="6" s="1"/>
  <c r="G2976" i="6"/>
  <c r="M2976" i="6" s="1"/>
  <c r="G2977" i="6"/>
  <c r="M2977" i="6" s="1"/>
  <c r="G2978" i="6"/>
  <c r="M2978" i="6" s="1"/>
  <c r="G2979" i="6"/>
  <c r="M2979" i="6" s="1"/>
  <c r="G2980" i="6"/>
  <c r="M2980" i="6" s="1"/>
  <c r="G2981" i="6"/>
  <c r="M2981" i="6" s="1"/>
  <c r="G2982" i="6"/>
  <c r="M2982" i="6" s="1"/>
  <c r="G2983" i="6"/>
  <c r="M2983" i="6" s="1"/>
  <c r="G2984" i="6"/>
  <c r="M2984" i="6" s="1"/>
  <c r="G2985" i="6"/>
  <c r="M2985" i="6" s="1"/>
  <c r="G2986" i="6"/>
  <c r="M2986" i="6" s="1"/>
  <c r="G2987" i="6"/>
  <c r="M2987" i="6" s="1"/>
  <c r="G2988" i="6"/>
  <c r="M2988" i="6" s="1"/>
  <c r="G2989" i="6"/>
  <c r="M2989" i="6" s="1"/>
  <c r="G2990" i="6"/>
  <c r="M2990" i="6" s="1"/>
  <c r="G2991" i="6"/>
  <c r="M2991" i="6" s="1"/>
  <c r="G2992" i="6"/>
  <c r="M2992" i="6" s="1"/>
  <c r="G2993" i="6"/>
  <c r="M2993" i="6" s="1"/>
  <c r="G2994" i="6"/>
  <c r="M2994" i="6" s="1"/>
  <c r="G2995" i="6"/>
  <c r="M2995" i="6" s="1"/>
  <c r="G2996" i="6"/>
  <c r="M2996" i="6" s="1"/>
  <c r="G2997" i="6"/>
  <c r="M2997" i="6" s="1"/>
  <c r="G2998" i="6"/>
  <c r="M2998" i="6" s="1"/>
  <c r="G2999" i="6"/>
  <c r="M2999" i="6" s="1"/>
  <c r="G3000" i="6"/>
  <c r="M3000" i="6" s="1"/>
  <c r="G3001" i="6"/>
  <c r="M3001" i="6" s="1"/>
  <c r="G3002" i="6"/>
  <c r="M3002" i="6" s="1"/>
  <c r="G3003" i="6"/>
  <c r="M3003" i="6" s="1"/>
  <c r="G3004" i="6"/>
  <c r="M3004" i="6" s="1"/>
  <c r="G3005" i="6"/>
  <c r="M3005" i="6" s="1"/>
  <c r="G3006" i="6"/>
  <c r="M3006" i="6" s="1"/>
  <c r="G3007" i="6"/>
  <c r="M3007" i="6" s="1"/>
  <c r="G3008" i="6"/>
  <c r="M3008" i="6" s="1"/>
  <c r="G3009" i="6"/>
  <c r="M3009" i="6" s="1"/>
  <c r="G3010" i="6"/>
  <c r="M3010" i="6" s="1"/>
  <c r="G3011" i="6"/>
  <c r="M3011" i="6" s="1"/>
  <c r="G3012" i="6"/>
  <c r="M3012" i="6" s="1"/>
  <c r="G3013" i="6"/>
  <c r="M3013" i="6" s="1"/>
  <c r="G3014" i="6"/>
  <c r="M3014" i="6" s="1"/>
  <c r="G3015" i="6"/>
  <c r="M3015" i="6" s="1"/>
  <c r="G3016" i="6"/>
  <c r="M3016" i="6" s="1"/>
  <c r="G3017" i="6"/>
  <c r="M3017" i="6" s="1"/>
  <c r="G3018" i="6"/>
  <c r="M3018" i="6" s="1"/>
  <c r="G3019" i="6"/>
  <c r="M3019" i="6" s="1"/>
  <c r="G3020" i="6"/>
  <c r="M3020" i="6" s="1"/>
  <c r="G3021" i="6"/>
  <c r="M3021" i="6" s="1"/>
  <c r="G3022" i="6"/>
  <c r="M3022" i="6" s="1"/>
  <c r="G3023" i="6"/>
  <c r="M3023" i="6" s="1"/>
  <c r="G3024" i="6"/>
  <c r="M3024" i="6" s="1"/>
  <c r="G3025" i="6"/>
  <c r="M3025" i="6" s="1"/>
  <c r="G3026" i="6"/>
  <c r="M3026" i="6" s="1"/>
  <c r="G3027" i="6"/>
  <c r="M3027" i="6" s="1"/>
  <c r="G3028" i="6"/>
  <c r="M3028" i="6" s="1"/>
  <c r="G3029" i="6"/>
  <c r="M3029" i="6" s="1"/>
  <c r="G3030" i="6"/>
  <c r="M3030" i="6" s="1"/>
  <c r="G3031" i="6"/>
  <c r="M3031" i="6" s="1"/>
  <c r="G3032" i="6"/>
  <c r="M3032" i="6" s="1"/>
  <c r="G3033" i="6"/>
  <c r="M3033" i="6" s="1"/>
  <c r="G3034" i="6"/>
  <c r="M3034" i="6" s="1"/>
  <c r="G3035" i="6"/>
  <c r="M3035" i="6" s="1"/>
  <c r="G3036" i="6"/>
  <c r="M3036" i="6" s="1"/>
  <c r="G3037" i="6"/>
  <c r="M3037" i="6" s="1"/>
  <c r="G3038" i="6"/>
  <c r="M3038" i="6" s="1"/>
  <c r="G3039" i="6"/>
  <c r="M3039" i="6" s="1"/>
  <c r="G3040" i="6"/>
  <c r="M3040" i="6" s="1"/>
  <c r="G3041" i="6"/>
  <c r="M3041" i="6" s="1"/>
  <c r="G3042" i="6"/>
  <c r="M3042" i="6" s="1"/>
  <c r="G3043" i="6"/>
  <c r="M3043" i="6" s="1"/>
  <c r="G3044" i="6"/>
  <c r="M3044" i="6" s="1"/>
  <c r="G3045" i="6"/>
  <c r="M3045" i="6" s="1"/>
  <c r="G3046" i="6"/>
  <c r="M3046" i="6" s="1"/>
  <c r="G3047" i="6"/>
  <c r="M3047" i="6" s="1"/>
  <c r="G3048" i="6"/>
  <c r="M3048" i="6" s="1"/>
  <c r="G3049" i="6"/>
  <c r="M3049" i="6" s="1"/>
  <c r="G3050" i="6"/>
  <c r="M3050" i="6" s="1"/>
  <c r="G3051" i="6"/>
  <c r="M3051" i="6" s="1"/>
  <c r="G3052" i="6"/>
  <c r="M3052" i="6" s="1"/>
  <c r="G3053" i="6"/>
  <c r="M3053" i="6" s="1"/>
  <c r="G3054" i="6"/>
  <c r="M3054" i="6" s="1"/>
  <c r="G3055" i="6"/>
  <c r="M3055" i="6" s="1"/>
  <c r="G3056" i="6"/>
  <c r="M3056" i="6" s="1"/>
  <c r="G3057" i="6"/>
  <c r="M3057" i="6" s="1"/>
  <c r="G3058" i="6"/>
  <c r="M3058" i="6" s="1"/>
  <c r="G3059" i="6"/>
  <c r="M3059" i="6" s="1"/>
  <c r="G3060" i="6"/>
  <c r="M3060" i="6" s="1"/>
  <c r="G3061" i="6"/>
  <c r="M3061" i="6" s="1"/>
  <c r="G3062" i="6"/>
  <c r="M3062" i="6" s="1"/>
  <c r="G3063" i="6"/>
  <c r="M3063" i="6" s="1"/>
  <c r="G3064" i="6"/>
  <c r="M3064" i="6" s="1"/>
  <c r="G3065" i="6"/>
  <c r="M3065" i="6" s="1"/>
  <c r="G3066" i="6"/>
  <c r="M3066" i="6" s="1"/>
  <c r="G3067" i="6"/>
  <c r="M3067" i="6" s="1"/>
  <c r="G3068" i="6"/>
  <c r="M3068" i="6" s="1"/>
  <c r="G3069" i="6"/>
  <c r="M3069" i="6" s="1"/>
  <c r="G3070" i="6"/>
  <c r="M3070" i="6" s="1"/>
  <c r="G3071" i="6"/>
  <c r="M3071" i="6" s="1"/>
  <c r="G3072" i="6"/>
  <c r="M3072" i="6" s="1"/>
  <c r="G3073" i="6"/>
  <c r="M3073" i="6" s="1"/>
  <c r="G3074" i="6"/>
  <c r="M3074" i="6" s="1"/>
  <c r="G3075" i="6"/>
  <c r="M3075" i="6" s="1"/>
  <c r="G3076" i="6"/>
  <c r="M3076" i="6" s="1"/>
  <c r="G3077" i="6"/>
  <c r="M3077" i="6" s="1"/>
  <c r="G3078" i="6"/>
  <c r="M3078" i="6" s="1"/>
  <c r="G3079" i="6"/>
  <c r="M3079" i="6" s="1"/>
  <c r="G3080" i="6"/>
  <c r="M3080" i="6" s="1"/>
  <c r="G3081" i="6"/>
  <c r="M3081" i="6" s="1"/>
  <c r="G3082" i="6"/>
  <c r="M3082" i="6" s="1"/>
  <c r="G3083" i="6"/>
  <c r="M3083" i="6" s="1"/>
  <c r="G3084" i="6"/>
  <c r="M3084" i="6" s="1"/>
  <c r="G3085" i="6"/>
  <c r="M3085" i="6" s="1"/>
  <c r="G3086" i="6"/>
  <c r="M3086" i="6" s="1"/>
  <c r="G3087" i="6"/>
  <c r="M3087" i="6" s="1"/>
  <c r="G3088" i="6"/>
  <c r="M3088" i="6" s="1"/>
  <c r="G3089" i="6"/>
  <c r="M3089" i="6" s="1"/>
  <c r="G3090" i="6"/>
  <c r="M3090" i="6" s="1"/>
  <c r="G3091" i="6"/>
  <c r="M3091" i="6" s="1"/>
  <c r="G3092" i="6"/>
  <c r="M3092" i="6" s="1"/>
  <c r="G3093" i="6"/>
  <c r="M3093" i="6" s="1"/>
  <c r="G3094" i="6"/>
  <c r="M3094" i="6" s="1"/>
  <c r="G3095" i="6"/>
  <c r="M3095" i="6" s="1"/>
  <c r="G3096" i="6"/>
  <c r="M3096" i="6" s="1"/>
  <c r="G3097" i="6"/>
  <c r="M3097" i="6" s="1"/>
  <c r="G3098" i="6"/>
  <c r="M3098" i="6" s="1"/>
  <c r="G3099" i="6"/>
  <c r="M3099" i="6" s="1"/>
  <c r="G3100" i="6"/>
  <c r="M3100" i="6" s="1"/>
  <c r="G3101" i="6"/>
  <c r="M3101" i="6" s="1"/>
  <c r="G3102" i="6"/>
  <c r="M3102" i="6" s="1"/>
  <c r="G3103" i="6"/>
  <c r="M3103" i="6" s="1"/>
  <c r="G3104" i="6"/>
  <c r="M3104" i="6" s="1"/>
  <c r="G3105" i="6"/>
  <c r="M3105" i="6" s="1"/>
  <c r="G3106" i="6"/>
  <c r="M3106" i="6" s="1"/>
  <c r="G3107" i="6"/>
  <c r="M3107" i="6" s="1"/>
  <c r="G3108" i="6"/>
  <c r="M3108" i="6" s="1"/>
  <c r="G3109" i="6"/>
  <c r="M3109" i="6" s="1"/>
  <c r="G3110" i="6"/>
  <c r="M3110" i="6" s="1"/>
  <c r="G3111" i="6"/>
  <c r="M3111" i="6" s="1"/>
  <c r="G3112" i="6"/>
  <c r="M3112" i="6" s="1"/>
  <c r="G3113" i="6"/>
  <c r="M3113" i="6" s="1"/>
  <c r="G3114" i="6"/>
  <c r="M3114" i="6" s="1"/>
  <c r="G3115" i="6"/>
  <c r="M3115" i="6" s="1"/>
  <c r="G3116" i="6"/>
  <c r="M3116" i="6" s="1"/>
  <c r="G3117" i="6"/>
  <c r="M3117" i="6" s="1"/>
  <c r="G3118" i="6"/>
  <c r="M3118" i="6" s="1"/>
  <c r="G3119" i="6"/>
  <c r="M3119" i="6" s="1"/>
  <c r="G3120" i="6"/>
  <c r="M3120" i="6" s="1"/>
  <c r="G3121" i="6"/>
  <c r="M3121" i="6" s="1"/>
  <c r="G3122" i="6"/>
  <c r="M3122" i="6" s="1"/>
  <c r="G3123" i="6"/>
  <c r="M3123" i="6" s="1"/>
  <c r="G3124" i="6"/>
  <c r="M3124" i="6" s="1"/>
  <c r="G3125" i="6"/>
  <c r="M3125" i="6" s="1"/>
  <c r="G3126" i="6"/>
  <c r="M3126" i="6" s="1"/>
  <c r="G3127" i="6"/>
  <c r="M3127" i="6" s="1"/>
  <c r="G3128" i="6"/>
  <c r="M3128" i="6" s="1"/>
  <c r="G3129" i="6"/>
  <c r="M3129" i="6" s="1"/>
  <c r="G3130" i="6"/>
  <c r="M3130" i="6" s="1"/>
  <c r="G3131" i="6"/>
  <c r="M3131" i="6" s="1"/>
  <c r="G3132" i="6"/>
  <c r="M3132" i="6" s="1"/>
  <c r="G3133" i="6"/>
  <c r="M3133" i="6" s="1"/>
  <c r="G3134" i="6"/>
  <c r="M3134" i="6" s="1"/>
  <c r="G3135" i="6"/>
  <c r="M3135" i="6" s="1"/>
  <c r="G3136" i="6"/>
  <c r="M3136" i="6" s="1"/>
  <c r="G3137" i="6"/>
  <c r="M3137" i="6" s="1"/>
  <c r="G3138" i="6"/>
  <c r="M3138" i="6" s="1"/>
  <c r="G3139" i="6"/>
  <c r="M3139" i="6" s="1"/>
  <c r="G3140" i="6"/>
  <c r="M3140" i="6" s="1"/>
  <c r="G3141" i="6"/>
  <c r="M3141" i="6" s="1"/>
  <c r="G3142" i="6"/>
  <c r="M3142" i="6" s="1"/>
  <c r="G3143" i="6"/>
  <c r="M3143" i="6" s="1"/>
  <c r="G3144" i="6"/>
  <c r="M3144" i="6" s="1"/>
  <c r="G3145" i="6"/>
  <c r="M3145" i="6" s="1"/>
  <c r="G3146" i="6"/>
  <c r="M3146" i="6" s="1"/>
  <c r="G3147" i="6"/>
  <c r="M3147" i="6" s="1"/>
  <c r="G3148" i="6"/>
  <c r="M3148" i="6" s="1"/>
  <c r="G3149" i="6"/>
  <c r="M3149" i="6" s="1"/>
  <c r="G3150" i="6"/>
  <c r="M3150" i="6" s="1"/>
  <c r="G3151" i="6"/>
  <c r="M3151" i="6" s="1"/>
  <c r="G3152" i="6"/>
  <c r="M3152" i="6" s="1"/>
  <c r="G3153" i="6"/>
  <c r="M3153" i="6" s="1"/>
  <c r="G3154" i="6"/>
  <c r="M3154" i="6" s="1"/>
  <c r="G3155" i="6"/>
  <c r="M3155" i="6" s="1"/>
  <c r="G3156" i="6"/>
  <c r="M3156" i="6" s="1"/>
  <c r="G3157" i="6"/>
  <c r="M3157" i="6" s="1"/>
  <c r="G3158" i="6"/>
  <c r="M3158" i="6" s="1"/>
  <c r="G3159" i="6"/>
  <c r="M3159" i="6" s="1"/>
  <c r="G3160" i="6"/>
  <c r="M3160" i="6" s="1"/>
  <c r="G3161" i="6"/>
  <c r="M3161" i="6" s="1"/>
  <c r="G3162" i="6"/>
  <c r="M3162" i="6" s="1"/>
  <c r="G3163" i="6"/>
  <c r="M3163" i="6" s="1"/>
  <c r="G3164" i="6"/>
  <c r="M3164" i="6" s="1"/>
  <c r="G3165" i="6"/>
  <c r="M3165" i="6" s="1"/>
  <c r="G3166" i="6"/>
  <c r="M3166" i="6" s="1"/>
  <c r="G3167" i="6"/>
  <c r="M3167" i="6" s="1"/>
  <c r="G3168" i="6"/>
  <c r="M3168" i="6" s="1"/>
  <c r="G3169" i="6"/>
  <c r="M3169" i="6" s="1"/>
  <c r="G3170" i="6"/>
  <c r="M3170" i="6" s="1"/>
  <c r="G3171" i="6"/>
  <c r="M3171" i="6" s="1"/>
  <c r="G3172" i="6"/>
  <c r="M3172" i="6" s="1"/>
  <c r="G3173" i="6"/>
  <c r="M3173" i="6" s="1"/>
  <c r="G3174" i="6"/>
  <c r="M3174" i="6" s="1"/>
  <c r="G3175" i="6"/>
  <c r="M3175" i="6" s="1"/>
  <c r="G3176" i="6"/>
  <c r="M3176" i="6" s="1"/>
  <c r="G3177" i="6"/>
  <c r="M3177" i="6" s="1"/>
  <c r="G3178" i="6"/>
  <c r="M3178" i="6" s="1"/>
  <c r="G3179" i="6"/>
  <c r="M3179" i="6" s="1"/>
  <c r="G3180" i="6"/>
  <c r="M3180" i="6" s="1"/>
  <c r="G3181" i="6"/>
  <c r="M3181" i="6" s="1"/>
  <c r="G3182" i="6"/>
  <c r="M3182" i="6" s="1"/>
  <c r="G3183" i="6"/>
  <c r="M3183" i="6" s="1"/>
  <c r="G3184" i="6"/>
  <c r="M3184" i="6" s="1"/>
  <c r="G3185" i="6"/>
  <c r="M3185" i="6" s="1"/>
  <c r="G3186" i="6"/>
  <c r="M3186" i="6" s="1"/>
  <c r="G3187" i="6"/>
  <c r="M3187" i="6" s="1"/>
  <c r="G3188" i="6"/>
  <c r="M3188" i="6" s="1"/>
  <c r="G3189" i="6"/>
  <c r="M3189" i="6" s="1"/>
  <c r="G3190" i="6"/>
  <c r="M3190" i="6" s="1"/>
  <c r="G3191" i="6"/>
  <c r="M3191" i="6" s="1"/>
  <c r="G3192" i="6"/>
  <c r="M3192" i="6" s="1"/>
  <c r="G3193" i="6"/>
  <c r="M3193" i="6" s="1"/>
  <c r="G3194" i="6"/>
  <c r="M3194" i="6" s="1"/>
  <c r="G3195" i="6"/>
  <c r="M3195" i="6" s="1"/>
  <c r="G3196" i="6"/>
  <c r="M3196" i="6" s="1"/>
  <c r="G3197" i="6"/>
  <c r="M3197" i="6" s="1"/>
  <c r="G3198" i="6"/>
  <c r="M3198" i="6" s="1"/>
  <c r="G3199" i="6"/>
  <c r="M3199" i="6" s="1"/>
  <c r="G3200" i="6"/>
  <c r="M3200" i="6" s="1"/>
  <c r="G3201" i="6"/>
  <c r="M3201" i="6" s="1"/>
  <c r="G3202" i="6"/>
  <c r="M3202" i="6" s="1"/>
  <c r="G3203" i="6"/>
  <c r="M3203" i="6" s="1"/>
  <c r="G3204" i="6"/>
  <c r="M3204" i="6" s="1"/>
  <c r="G3205" i="6"/>
  <c r="M3205" i="6" s="1"/>
  <c r="G3206" i="6"/>
  <c r="M3206" i="6" s="1"/>
  <c r="G3207" i="6"/>
  <c r="M3207" i="6" s="1"/>
  <c r="G3208" i="6"/>
  <c r="M3208" i="6" s="1"/>
  <c r="G3209" i="6"/>
  <c r="M3209" i="6" s="1"/>
  <c r="G3210" i="6"/>
  <c r="M3210" i="6" s="1"/>
  <c r="G3211" i="6"/>
  <c r="M3211" i="6" s="1"/>
  <c r="G3212" i="6"/>
  <c r="M3212" i="6" s="1"/>
  <c r="G3213" i="6"/>
  <c r="M3213" i="6" s="1"/>
  <c r="G3214" i="6"/>
  <c r="M3214" i="6" s="1"/>
  <c r="G3215" i="6"/>
  <c r="M3215" i="6" s="1"/>
  <c r="G3216" i="6"/>
  <c r="M3216" i="6" s="1"/>
  <c r="G3217" i="6"/>
  <c r="M3217" i="6" s="1"/>
  <c r="G3218" i="6"/>
  <c r="M3218" i="6" s="1"/>
  <c r="G3219" i="6"/>
  <c r="M3219" i="6" s="1"/>
  <c r="G3220" i="6"/>
  <c r="M3220" i="6" s="1"/>
  <c r="G3221" i="6"/>
  <c r="M3221" i="6" s="1"/>
  <c r="G3222" i="6"/>
  <c r="M3222" i="6" s="1"/>
  <c r="G3223" i="6"/>
  <c r="M3223" i="6" s="1"/>
  <c r="G3224" i="6"/>
  <c r="M3224" i="6" s="1"/>
  <c r="G3225" i="6"/>
  <c r="M3225" i="6" s="1"/>
  <c r="G3226" i="6"/>
  <c r="M3226" i="6" s="1"/>
  <c r="G3227" i="6"/>
  <c r="M3227" i="6" s="1"/>
  <c r="G3228" i="6"/>
  <c r="M3228" i="6" s="1"/>
  <c r="G3229" i="6"/>
  <c r="M3229" i="6" s="1"/>
  <c r="G3230" i="6"/>
  <c r="M3230" i="6" s="1"/>
  <c r="G3231" i="6"/>
  <c r="M3231" i="6" s="1"/>
  <c r="G3232" i="6"/>
  <c r="M3232" i="6" s="1"/>
  <c r="G3233" i="6"/>
  <c r="M3233" i="6" s="1"/>
  <c r="G3234" i="6"/>
  <c r="M3234" i="6" s="1"/>
  <c r="G3235" i="6"/>
  <c r="M3235" i="6" s="1"/>
  <c r="G3236" i="6"/>
  <c r="M3236" i="6" s="1"/>
  <c r="G3237" i="6"/>
  <c r="M3237" i="6" s="1"/>
  <c r="G3238" i="6"/>
  <c r="M3238" i="6" s="1"/>
  <c r="G3239" i="6"/>
  <c r="M3239" i="6" s="1"/>
  <c r="G3240" i="6"/>
  <c r="M3240" i="6" s="1"/>
  <c r="G3241" i="6"/>
  <c r="M3241" i="6" s="1"/>
  <c r="G3242" i="6"/>
  <c r="M3242" i="6" s="1"/>
  <c r="G3243" i="6"/>
  <c r="M3243" i="6" s="1"/>
  <c r="G3244" i="6"/>
  <c r="M3244" i="6" s="1"/>
  <c r="G3245" i="6"/>
  <c r="M3245" i="6" s="1"/>
  <c r="G3246" i="6"/>
  <c r="M3246" i="6" s="1"/>
  <c r="G3247" i="6"/>
  <c r="M3247" i="6" s="1"/>
  <c r="G3248" i="6"/>
  <c r="M3248" i="6" s="1"/>
  <c r="G3249" i="6"/>
  <c r="M3249" i="6" s="1"/>
  <c r="G3250" i="6"/>
  <c r="M3250" i="6" s="1"/>
  <c r="G3251" i="6"/>
  <c r="M3251" i="6" s="1"/>
  <c r="G3252" i="6"/>
  <c r="M3252" i="6" s="1"/>
  <c r="G3253" i="6"/>
  <c r="M3253" i="6" s="1"/>
  <c r="G3254" i="6"/>
  <c r="M3254" i="6" s="1"/>
  <c r="G3255" i="6"/>
  <c r="M3255" i="6" s="1"/>
  <c r="G3256" i="6"/>
  <c r="M3256" i="6" s="1"/>
  <c r="G3257" i="6"/>
  <c r="M3257" i="6" s="1"/>
  <c r="G3258" i="6"/>
  <c r="M3258" i="6" s="1"/>
  <c r="G3259" i="6"/>
  <c r="M3259" i="6" s="1"/>
  <c r="G3260" i="6"/>
  <c r="M3260" i="6" s="1"/>
  <c r="G3261" i="6"/>
  <c r="M3261" i="6" s="1"/>
  <c r="G3262" i="6"/>
  <c r="M3262" i="6" s="1"/>
  <c r="G3263" i="6"/>
  <c r="M3263" i="6" s="1"/>
  <c r="G3264" i="6"/>
  <c r="M3264" i="6" s="1"/>
  <c r="G3265" i="6"/>
  <c r="M3265" i="6" s="1"/>
  <c r="G3266" i="6"/>
  <c r="M3266" i="6" s="1"/>
  <c r="G3267" i="6"/>
  <c r="M3267" i="6" s="1"/>
  <c r="G3268" i="6"/>
  <c r="M3268" i="6" s="1"/>
  <c r="G3269" i="6"/>
  <c r="M3269" i="6" s="1"/>
  <c r="G3270" i="6"/>
  <c r="M3270" i="6" s="1"/>
  <c r="G3271" i="6"/>
  <c r="M3271" i="6" s="1"/>
  <c r="G3272" i="6"/>
  <c r="M3272" i="6" s="1"/>
  <c r="G3273" i="6"/>
  <c r="M3273" i="6" s="1"/>
  <c r="G3274" i="6"/>
  <c r="M3274" i="6" s="1"/>
  <c r="G3275" i="6"/>
  <c r="M3275" i="6" s="1"/>
  <c r="G3276" i="6"/>
  <c r="M3276" i="6" s="1"/>
  <c r="G3277" i="6"/>
  <c r="M3277" i="6" s="1"/>
  <c r="G3278" i="6"/>
  <c r="M3278" i="6" s="1"/>
  <c r="G3279" i="6"/>
  <c r="M3279" i="6" s="1"/>
  <c r="G3280" i="6"/>
  <c r="M3280" i="6" s="1"/>
  <c r="G3281" i="6"/>
  <c r="M3281" i="6" s="1"/>
  <c r="G3282" i="6"/>
  <c r="M3282" i="6" s="1"/>
  <c r="G3283" i="6"/>
  <c r="M3283" i="6" s="1"/>
  <c r="G3284" i="6"/>
  <c r="M3284" i="6" s="1"/>
  <c r="G3285" i="6"/>
  <c r="M3285" i="6" s="1"/>
  <c r="G3286" i="6"/>
  <c r="M3286" i="6" s="1"/>
  <c r="G3287" i="6"/>
  <c r="M3287" i="6" s="1"/>
  <c r="G3288" i="6"/>
  <c r="M3288" i="6" s="1"/>
  <c r="G3289" i="6"/>
  <c r="M3289" i="6" s="1"/>
  <c r="G3290" i="6"/>
  <c r="M3290" i="6" s="1"/>
  <c r="G3291" i="6"/>
  <c r="M3291" i="6" s="1"/>
  <c r="G3292" i="6"/>
  <c r="M3292" i="6" s="1"/>
  <c r="G3293" i="6"/>
  <c r="M3293" i="6" s="1"/>
  <c r="G3294" i="6"/>
  <c r="M3294" i="6" s="1"/>
  <c r="G3295" i="6"/>
  <c r="M3295" i="6" s="1"/>
  <c r="G3296" i="6"/>
  <c r="M3296" i="6" s="1"/>
  <c r="G3297" i="6"/>
  <c r="M3297" i="6" s="1"/>
  <c r="G3298" i="6"/>
  <c r="M3298" i="6" s="1"/>
  <c r="G3299" i="6"/>
  <c r="M3299" i="6" s="1"/>
  <c r="G3300" i="6"/>
  <c r="M3300" i="6" s="1"/>
  <c r="G3301" i="6"/>
  <c r="M3301" i="6" s="1"/>
  <c r="G3302" i="6"/>
  <c r="M3302" i="6" s="1"/>
  <c r="G3303" i="6"/>
  <c r="M3303" i="6" s="1"/>
  <c r="G3304" i="6"/>
  <c r="M3304" i="6" s="1"/>
  <c r="G3305" i="6"/>
  <c r="M3305" i="6" s="1"/>
  <c r="G3306" i="6"/>
  <c r="M3306" i="6" s="1"/>
  <c r="G3307" i="6"/>
  <c r="M3307" i="6" s="1"/>
  <c r="G3308" i="6"/>
  <c r="M3308" i="6" s="1"/>
  <c r="G3309" i="6"/>
  <c r="M3309" i="6" s="1"/>
  <c r="G3310" i="6"/>
  <c r="M3310" i="6" s="1"/>
  <c r="G3311" i="6"/>
  <c r="M3311" i="6" s="1"/>
  <c r="G3312" i="6"/>
  <c r="M3312" i="6" s="1"/>
  <c r="G3313" i="6"/>
  <c r="M3313" i="6" s="1"/>
  <c r="G3314" i="6"/>
  <c r="M3314" i="6" s="1"/>
  <c r="G3315" i="6"/>
  <c r="M3315" i="6" s="1"/>
  <c r="G3316" i="6"/>
  <c r="M3316" i="6" s="1"/>
  <c r="G3317" i="6"/>
  <c r="M3317" i="6" s="1"/>
  <c r="G3318" i="6"/>
  <c r="M3318" i="6" s="1"/>
  <c r="G3319" i="6"/>
  <c r="M3319" i="6" s="1"/>
  <c r="G3320" i="6"/>
  <c r="M3320" i="6" s="1"/>
  <c r="G3321" i="6"/>
  <c r="M3321" i="6" s="1"/>
  <c r="G3322" i="6"/>
  <c r="M3322" i="6" s="1"/>
  <c r="G3323" i="6"/>
  <c r="M3323" i="6" s="1"/>
  <c r="G3324" i="6"/>
  <c r="M3324" i="6" s="1"/>
  <c r="G3325" i="6"/>
  <c r="M3325" i="6" s="1"/>
  <c r="G3326" i="6"/>
  <c r="M3326" i="6" s="1"/>
  <c r="G3327" i="6"/>
  <c r="M3327" i="6" s="1"/>
  <c r="G3328" i="6"/>
  <c r="M3328" i="6" s="1"/>
  <c r="G3329" i="6"/>
  <c r="M3329" i="6" s="1"/>
  <c r="G3330" i="6"/>
  <c r="M3330" i="6" s="1"/>
  <c r="G3331" i="6"/>
  <c r="M3331" i="6" s="1"/>
  <c r="G3332" i="6"/>
  <c r="M3332" i="6" s="1"/>
  <c r="G3333" i="6"/>
  <c r="M3333" i="6" s="1"/>
  <c r="G3334" i="6"/>
  <c r="M3334" i="6" s="1"/>
  <c r="G3335" i="6"/>
  <c r="M3335" i="6" s="1"/>
  <c r="G3336" i="6"/>
  <c r="M3336" i="6" s="1"/>
  <c r="G3337" i="6"/>
  <c r="M3337" i="6" s="1"/>
  <c r="G3338" i="6"/>
  <c r="M3338" i="6" s="1"/>
  <c r="G3339" i="6"/>
  <c r="M3339" i="6" s="1"/>
  <c r="G3340" i="6"/>
  <c r="M3340" i="6" s="1"/>
  <c r="G3341" i="6"/>
  <c r="M3341" i="6" s="1"/>
  <c r="G3342" i="6"/>
  <c r="M3342" i="6" s="1"/>
  <c r="G3343" i="6"/>
  <c r="M3343" i="6" s="1"/>
  <c r="G3344" i="6"/>
  <c r="M3344" i="6" s="1"/>
  <c r="G3345" i="6"/>
  <c r="M3345" i="6" s="1"/>
  <c r="G3346" i="6"/>
  <c r="M3346" i="6" s="1"/>
  <c r="G3347" i="6"/>
  <c r="M3347" i="6" s="1"/>
  <c r="G3348" i="6"/>
  <c r="M3348" i="6" s="1"/>
  <c r="G3349" i="6"/>
  <c r="M3349" i="6" s="1"/>
  <c r="G3350" i="6"/>
  <c r="M3350" i="6" s="1"/>
  <c r="G3351" i="6"/>
  <c r="M3351" i="6" s="1"/>
  <c r="G3352" i="6"/>
  <c r="M3352" i="6" s="1"/>
  <c r="G3353" i="6"/>
  <c r="M3353" i="6" s="1"/>
  <c r="G3354" i="6"/>
  <c r="M3354" i="6" s="1"/>
  <c r="G3355" i="6"/>
  <c r="M3355" i="6" s="1"/>
  <c r="G3356" i="6"/>
  <c r="M3356" i="6" s="1"/>
  <c r="G3357" i="6"/>
  <c r="M3357" i="6" s="1"/>
  <c r="G3358" i="6"/>
  <c r="M3358" i="6" s="1"/>
  <c r="G3359" i="6"/>
  <c r="M3359" i="6" s="1"/>
  <c r="G3360" i="6"/>
  <c r="M3360" i="6" s="1"/>
  <c r="G3361" i="6"/>
  <c r="M3361" i="6" s="1"/>
  <c r="G3362" i="6"/>
  <c r="M3362" i="6" s="1"/>
  <c r="G3363" i="6"/>
  <c r="M3363" i="6" s="1"/>
  <c r="G3364" i="6"/>
  <c r="M3364" i="6" s="1"/>
  <c r="G3365" i="6"/>
  <c r="M3365" i="6" s="1"/>
  <c r="G3366" i="6"/>
  <c r="M3366" i="6" s="1"/>
  <c r="G3367" i="6"/>
  <c r="M3367" i="6" s="1"/>
  <c r="G3368" i="6"/>
  <c r="M3368" i="6" s="1"/>
  <c r="G3369" i="6"/>
  <c r="M3369" i="6" s="1"/>
  <c r="G3370" i="6"/>
  <c r="M3370" i="6" s="1"/>
  <c r="G3371" i="6"/>
  <c r="M3371" i="6" s="1"/>
  <c r="G3372" i="6"/>
  <c r="M3372" i="6" s="1"/>
  <c r="G3373" i="6"/>
  <c r="M3373" i="6" s="1"/>
  <c r="G3374" i="6"/>
  <c r="M3374" i="6" s="1"/>
  <c r="G3375" i="6"/>
  <c r="M3375" i="6" s="1"/>
  <c r="G3376" i="6"/>
  <c r="M3376" i="6" s="1"/>
  <c r="G3377" i="6"/>
  <c r="M3377" i="6" s="1"/>
  <c r="G3378" i="6"/>
  <c r="M3378" i="6" s="1"/>
  <c r="G3379" i="6"/>
  <c r="M3379" i="6" s="1"/>
  <c r="G3380" i="6"/>
  <c r="M3380" i="6" s="1"/>
  <c r="G3381" i="6"/>
  <c r="M3381" i="6" s="1"/>
  <c r="G3382" i="6"/>
  <c r="M3382" i="6" s="1"/>
  <c r="G3383" i="6"/>
  <c r="M3383" i="6" s="1"/>
  <c r="G3384" i="6"/>
  <c r="M3384" i="6" s="1"/>
  <c r="G3385" i="6"/>
  <c r="M3385" i="6" s="1"/>
  <c r="G3386" i="6"/>
  <c r="M3386" i="6" s="1"/>
  <c r="G3387" i="6"/>
  <c r="M3387" i="6" s="1"/>
  <c r="G3388" i="6"/>
  <c r="M3388" i="6" s="1"/>
  <c r="G3389" i="6"/>
  <c r="M3389" i="6" s="1"/>
  <c r="G3390" i="6"/>
  <c r="M3390" i="6" s="1"/>
  <c r="G3391" i="6"/>
  <c r="M3391" i="6" s="1"/>
  <c r="G3392" i="6"/>
  <c r="M3392" i="6" s="1"/>
  <c r="G3393" i="6"/>
  <c r="M3393" i="6" s="1"/>
  <c r="G3394" i="6"/>
  <c r="M3394" i="6" s="1"/>
  <c r="G3395" i="6"/>
  <c r="M3395" i="6" s="1"/>
  <c r="G3396" i="6"/>
  <c r="M3396" i="6" s="1"/>
  <c r="G3397" i="6"/>
  <c r="M3397" i="6" s="1"/>
  <c r="G3398" i="6"/>
  <c r="M3398" i="6" s="1"/>
  <c r="G3399" i="6"/>
  <c r="M3399" i="6" s="1"/>
  <c r="G3400" i="6"/>
  <c r="M3400" i="6" s="1"/>
  <c r="G3401" i="6"/>
  <c r="M3401" i="6" s="1"/>
  <c r="G3402" i="6"/>
  <c r="M3402" i="6" s="1"/>
  <c r="G3403" i="6"/>
  <c r="M3403" i="6" s="1"/>
  <c r="G3404" i="6"/>
  <c r="M3404" i="6" s="1"/>
  <c r="G3405" i="6"/>
  <c r="M3405" i="6" s="1"/>
  <c r="G3406" i="6"/>
  <c r="M3406" i="6" s="1"/>
  <c r="G3407" i="6"/>
  <c r="M3407" i="6" s="1"/>
  <c r="G3408" i="6"/>
  <c r="M3408" i="6" s="1"/>
  <c r="G3409" i="6"/>
  <c r="M3409" i="6" s="1"/>
  <c r="G3410" i="6"/>
  <c r="M3410" i="6" s="1"/>
  <c r="G3411" i="6"/>
  <c r="M3411" i="6" s="1"/>
  <c r="G3412" i="6"/>
  <c r="M3412" i="6" s="1"/>
  <c r="G3413" i="6"/>
  <c r="M3413" i="6" s="1"/>
  <c r="G3414" i="6"/>
  <c r="M3414" i="6" s="1"/>
  <c r="G3415" i="6"/>
  <c r="M3415" i="6" s="1"/>
  <c r="G3416" i="6"/>
  <c r="M3416" i="6" s="1"/>
  <c r="G3417" i="6"/>
  <c r="M3417" i="6" s="1"/>
  <c r="G3418" i="6"/>
  <c r="M3418" i="6" s="1"/>
  <c r="G3419" i="6"/>
  <c r="M3419" i="6" s="1"/>
  <c r="G3420" i="6"/>
  <c r="M3420" i="6" s="1"/>
  <c r="G3421" i="6"/>
  <c r="M3421" i="6" s="1"/>
  <c r="G3422" i="6"/>
  <c r="M3422" i="6" s="1"/>
  <c r="G3423" i="6"/>
  <c r="M3423" i="6" s="1"/>
  <c r="G3424" i="6"/>
  <c r="M3424" i="6" s="1"/>
  <c r="G3425" i="6"/>
  <c r="M3425" i="6" s="1"/>
  <c r="G3426" i="6"/>
  <c r="M3426" i="6" s="1"/>
  <c r="G3427" i="6"/>
  <c r="M3427" i="6" s="1"/>
  <c r="G3428" i="6"/>
  <c r="M3428" i="6" s="1"/>
  <c r="G3429" i="6"/>
  <c r="M3429" i="6" s="1"/>
  <c r="G3430" i="6"/>
  <c r="M3430" i="6" s="1"/>
  <c r="G3431" i="6"/>
  <c r="M3431" i="6" s="1"/>
  <c r="G3432" i="6"/>
  <c r="M3432" i="6" s="1"/>
  <c r="G3433" i="6"/>
  <c r="M3433" i="6" s="1"/>
  <c r="G3434" i="6"/>
  <c r="M3434" i="6" s="1"/>
  <c r="G3435" i="6"/>
  <c r="M3435" i="6" s="1"/>
  <c r="G3436" i="6"/>
  <c r="M3436" i="6" s="1"/>
  <c r="G3437" i="6"/>
  <c r="M3437" i="6" s="1"/>
  <c r="G3438" i="6"/>
  <c r="M3438" i="6" s="1"/>
  <c r="G3439" i="6"/>
  <c r="M3439" i="6" s="1"/>
  <c r="G3440" i="6"/>
  <c r="M3440" i="6" s="1"/>
  <c r="G3441" i="6"/>
  <c r="M3441" i="6" s="1"/>
  <c r="G3442" i="6"/>
  <c r="M3442" i="6" s="1"/>
  <c r="G3443" i="6"/>
  <c r="M3443" i="6" s="1"/>
  <c r="G3444" i="6"/>
  <c r="M3444" i="6" s="1"/>
  <c r="G3445" i="6"/>
  <c r="M3445" i="6" s="1"/>
  <c r="G3446" i="6"/>
  <c r="M3446" i="6" s="1"/>
  <c r="G3447" i="6"/>
  <c r="M3447" i="6" s="1"/>
  <c r="G3448" i="6"/>
  <c r="M3448" i="6" s="1"/>
  <c r="G3449" i="6"/>
  <c r="M3449" i="6" s="1"/>
  <c r="G3450" i="6"/>
  <c r="M3450" i="6" s="1"/>
  <c r="G3451" i="6"/>
  <c r="M3451" i="6" s="1"/>
  <c r="G3452" i="6"/>
  <c r="M3452" i="6" s="1"/>
  <c r="G3453" i="6"/>
  <c r="M3453" i="6" s="1"/>
  <c r="G3454" i="6"/>
  <c r="M3454" i="6" s="1"/>
  <c r="G3455" i="6"/>
  <c r="M3455" i="6" s="1"/>
  <c r="G3456" i="6"/>
  <c r="M3456" i="6" s="1"/>
  <c r="G3457" i="6"/>
  <c r="M3457" i="6" s="1"/>
  <c r="G3458" i="6"/>
  <c r="M3458" i="6" s="1"/>
  <c r="G3459" i="6"/>
  <c r="M3459" i="6" s="1"/>
  <c r="G3460" i="6"/>
  <c r="M3460" i="6" s="1"/>
  <c r="G3461" i="6"/>
  <c r="M3461" i="6" s="1"/>
  <c r="G3462" i="6"/>
  <c r="M3462" i="6" s="1"/>
  <c r="G3463" i="6"/>
  <c r="M3463" i="6" s="1"/>
  <c r="G3464" i="6"/>
  <c r="M3464" i="6" s="1"/>
  <c r="G3465" i="6"/>
  <c r="M3465" i="6" s="1"/>
  <c r="G3466" i="6"/>
  <c r="M3466" i="6" s="1"/>
  <c r="G3467" i="6"/>
  <c r="M3467" i="6" s="1"/>
  <c r="G3468" i="6"/>
  <c r="M3468" i="6" s="1"/>
  <c r="G3469" i="6"/>
  <c r="M3469" i="6" s="1"/>
  <c r="G3470" i="6"/>
  <c r="M3470" i="6" s="1"/>
  <c r="G3471" i="6"/>
  <c r="M3471" i="6" s="1"/>
  <c r="G3472" i="6"/>
  <c r="M3472" i="6" s="1"/>
  <c r="G3473" i="6"/>
  <c r="M3473" i="6" s="1"/>
  <c r="G3474" i="6"/>
  <c r="M3474" i="6" s="1"/>
  <c r="G3475" i="6"/>
  <c r="M3475" i="6" s="1"/>
  <c r="G3476" i="6"/>
  <c r="M3476" i="6" s="1"/>
  <c r="G3477" i="6"/>
  <c r="M3477" i="6" s="1"/>
  <c r="G3478" i="6"/>
  <c r="M3478" i="6" s="1"/>
  <c r="G3479" i="6"/>
  <c r="M3479" i="6" s="1"/>
  <c r="G3480" i="6"/>
  <c r="M3480" i="6" s="1"/>
  <c r="G3481" i="6"/>
  <c r="M3481" i="6" s="1"/>
  <c r="G3482" i="6"/>
  <c r="M3482" i="6" s="1"/>
  <c r="G3483" i="6"/>
  <c r="M3483" i="6" s="1"/>
  <c r="G3484" i="6"/>
  <c r="M3484" i="6" s="1"/>
  <c r="G3485" i="6"/>
  <c r="M3485" i="6" s="1"/>
  <c r="G3486" i="6"/>
  <c r="M3486" i="6" s="1"/>
  <c r="G3487" i="6"/>
  <c r="M3487" i="6" s="1"/>
  <c r="G3488" i="6"/>
  <c r="M3488" i="6" s="1"/>
  <c r="G3489" i="6"/>
  <c r="M3489" i="6" s="1"/>
  <c r="G3490" i="6"/>
  <c r="M3490" i="6" s="1"/>
  <c r="G3491" i="6"/>
  <c r="M3491" i="6" s="1"/>
  <c r="G3492" i="6"/>
  <c r="M3492" i="6" s="1"/>
  <c r="G3493" i="6"/>
  <c r="M3493" i="6" s="1"/>
  <c r="G3494" i="6"/>
  <c r="M3494" i="6" s="1"/>
  <c r="G3495" i="6"/>
  <c r="M3495" i="6" s="1"/>
  <c r="G3496" i="6"/>
  <c r="M3496" i="6" s="1"/>
  <c r="G3497" i="6"/>
  <c r="M3497" i="6" s="1"/>
  <c r="G3498" i="6"/>
  <c r="M3498" i="6" s="1"/>
  <c r="G3499" i="6"/>
  <c r="M3499" i="6" s="1"/>
  <c r="G3500" i="6"/>
  <c r="M3500" i="6" s="1"/>
  <c r="G3501" i="6"/>
  <c r="M3501" i="6" s="1"/>
  <c r="G3502" i="6"/>
  <c r="M3502" i="6" s="1"/>
  <c r="G3503" i="6"/>
  <c r="M3503" i="6" s="1"/>
  <c r="G3504" i="6"/>
  <c r="M3504" i="6" s="1"/>
  <c r="G3505" i="6"/>
  <c r="M3505" i="6" s="1"/>
  <c r="G3506" i="6"/>
  <c r="M3506" i="6" s="1"/>
  <c r="G3507" i="6"/>
  <c r="M3507" i="6" s="1"/>
  <c r="G3508" i="6"/>
  <c r="M3508" i="6" s="1"/>
  <c r="G3509" i="6"/>
  <c r="M3509" i="6" s="1"/>
  <c r="G3510" i="6"/>
  <c r="M3510" i="6" s="1"/>
  <c r="G3511" i="6"/>
  <c r="M3511" i="6" s="1"/>
  <c r="G3512" i="6"/>
  <c r="M3512" i="6" s="1"/>
  <c r="G3513" i="6"/>
  <c r="M3513" i="6" s="1"/>
  <c r="G3514" i="6"/>
  <c r="M3514" i="6" s="1"/>
  <c r="G3515" i="6"/>
  <c r="M3515" i="6" s="1"/>
  <c r="G3516" i="6"/>
  <c r="M3516" i="6" s="1"/>
  <c r="G3517" i="6"/>
  <c r="M3517" i="6" s="1"/>
  <c r="G3518" i="6"/>
  <c r="M3518" i="6" s="1"/>
  <c r="G3519" i="6"/>
  <c r="M3519" i="6" s="1"/>
  <c r="G3520" i="6"/>
  <c r="M3520" i="6" s="1"/>
  <c r="G3521" i="6"/>
  <c r="M3521" i="6" s="1"/>
  <c r="G3522" i="6"/>
  <c r="M3522" i="6" s="1"/>
  <c r="G3523" i="6"/>
  <c r="M3523" i="6" s="1"/>
  <c r="G3524" i="6"/>
  <c r="M3524" i="6" s="1"/>
  <c r="G3525" i="6"/>
  <c r="M3525" i="6" s="1"/>
  <c r="G3526" i="6"/>
  <c r="M3526" i="6" s="1"/>
  <c r="G3527" i="6"/>
  <c r="M3527" i="6" s="1"/>
  <c r="G3528" i="6"/>
  <c r="M3528" i="6" s="1"/>
  <c r="G3529" i="6"/>
  <c r="M3529" i="6" s="1"/>
  <c r="G3530" i="6"/>
  <c r="M3530" i="6" s="1"/>
  <c r="G3531" i="6"/>
  <c r="M3531" i="6" s="1"/>
  <c r="G3532" i="6"/>
  <c r="M3532" i="6" s="1"/>
  <c r="G3533" i="6"/>
  <c r="M3533" i="6" s="1"/>
  <c r="G3534" i="6"/>
  <c r="M3534" i="6" s="1"/>
  <c r="G3535" i="6"/>
  <c r="M3535" i="6" s="1"/>
  <c r="G3536" i="6"/>
  <c r="M3536" i="6" s="1"/>
  <c r="G3537" i="6"/>
  <c r="M3537" i="6" s="1"/>
  <c r="G3538" i="6"/>
  <c r="M3538" i="6" s="1"/>
  <c r="G3539" i="6"/>
  <c r="M3539" i="6" s="1"/>
  <c r="G3540" i="6"/>
  <c r="M3540" i="6" s="1"/>
  <c r="G3541" i="6"/>
  <c r="M3541" i="6" s="1"/>
  <c r="G3542" i="6"/>
  <c r="M3542" i="6" s="1"/>
  <c r="G3543" i="6"/>
  <c r="M3543" i="6" s="1"/>
  <c r="G3544" i="6"/>
  <c r="M3544" i="6" s="1"/>
  <c r="G3545" i="6"/>
  <c r="M3545" i="6" s="1"/>
  <c r="G3546" i="6"/>
  <c r="M3546" i="6" s="1"/>
  <c r="G3547" i="6"/>
  <c r="M3547" i="6" s="1"/>
  <c r="G3548" i="6"/>
  <c r="M3548" i="6" s="1"/>
  <c r="G3549" i="6"/>
  <c r="M3549" i="6" s="1"/>
  <c r="G3550" i="6"/>
  <c r="M3550" i="6" s="1"/>
  <c r="G3551" i="6"/>
  <c r="M3551" i="6" s="1"/>
  <c r="G3552" i="6"/>
  <c r="M3552" i="6" s="1"/>
  <c r="G3553" i="6"/>
  <c r="M3553" i="6" s="1"/>
  <c r="G3554" i="6"/>
  <c r="M3554" i="6" s="1"/>
  <c r="G3555" i="6"/>
  <c r="M3555" i="6" s="1"/>
  <c r="G3556" i="6"/>
  <c r="M3556" i="6" s="1"/>
  <c r="G3557" i="6"/>
  <c r="M3557" i="6" s="1"/>
  <c r="G3558" i="6"/>
  <c r="M3558" i="6" s="1"/>
  <c r="G3559" i="6"/>
  <c r="M3559" i="6" s="1"/>
  <c r="G3560" i="6"/>
  <c r="M3560" i="6" s="1"/>
  <c r="G3561" i="6"/>
  <c r="M3561" i="6" s="1"/>
  <c r="G3562" i="6"/>
  <c r="M3562" i="6" s="1"/>
  <c r="G3563" i="6"/>
  <c r="M3563" i="6" s="1"/>
  <c r="G3564" i="6"/>
  <c r="M3564" i="6" s="1"/>
  <c r="G3565" i="6"/>
  <c r="M3565" i="6" s="1"/>
  <c r="G3566" i="6"/>
  <c r="M3566" i="6" s="1"/>
  <c r="G3567" i="6"/>
  <c r="M3567" i="6" s="1"/>
  <c r="G3568" i="6"/>
  <c r="M3568" i="6" s="1"/>
  <c r="G3569" i="6"/>
  <c r="M3569" i="6" s="1"/>
  <c r="G3570" i="6"/>
  <c r="M3570" i="6" s="1"/>
  <c r="G3571" i="6"/>
  <c r="M3571" i="6" s="1"/>
  <c r="G3572" i="6"/>
  <c r="M3572" i="6" s="1"/>
  <c r="G3573" i="6"/>
  <c r="M3573" i="6" s="1"/>
  <c r="G3574" i="6"/>
  <c r="M3574" i="6" s="1"/>
  <c r="G3575" i="6"/>
  <c r="M3575" i="6" s="1"/>
  <c r="G3576" i="6"/>
  <c r="M3576" i="6" s="1"/>
  <c r="G3577" i="6"/>
  <c r="M3577" i="6" s="1"/>
  <c r="G3578" i="6"/>
  <c r="M3578" i="6" s="1"/>
  <c r="G3579" i="6"/>
  <c r="M3579" i="6" s="1"/>
  <c r="G3580" i="6"/>
  <c r="M3580" i="6" s="1"/>
  <c r="G3581" i="6"/>
  <c r="M3581" i="6" s="1"/>
  <c r="G3582" i="6"/>
  <c r="M3582" i="6" s="1"/>
  <c r="G3583" i="6"/>
  <c r="M3583" i="6" s="1"/>
  <c r="G3584" i="6"/>
  <c r="M3584" i="6" s="1"/>
  <c r="G3585" i="6"/>
  <c r="M3585" i="6" s="1"/>
  <c r="G3586" i="6"/>
  <c r="M3586" i="6" s="1"/>
  <c r="G3587" i="6"/>
  <c r="M3587" i="6" s="1"/>
  <c r="G3588" i="6"/>
  <c r="M3588" i="6" s="1"/>
  <c r="G3589" i="6"/>
  <c r="M3589" i="6" s="1"/>
  <c r="G3590" i="6"/>
  <c r="M3590" i="6" s="1"/>
  <c r="G3591" i="6"/>
  <c r="M3591" i="6" s="1"/>
  <c r="G3592" i="6"/>
  <c r="M3592" i="6" s="1"/>
  <c r="G3593" i="6"/>
  <c r="M3593" i="6" s="1"/>
  <c r="G3594" i="6"/>
  <c r="M3594" i="6" s="1"/>
  <c r="G3595" i="6"/>
  <c r="M3595" i="6" s="1"/>
  <c r="G3596" i="6"/>
  <c r="M3596" i="6" s="1"/>
  <c r="G3597" i="6"/>
  <c r="M3597" i="6" s="1"/>
  <c r="G3598" i="6"/>
  <c r="M3598" i="6" s="1"/>
  <c r="G3599" i="6"/>
  <c r="M3599" i="6" s="1"/>
  <c r="G3600" i="6"/>
  <c r="M3600" i="6" s="1"/>
  <c r="G3601" i="6"/>
  <c r="M3601" i="6" s="1"/>
  <c r="G3602" i="6"/>
  <c r="M3602" i="6" s="1"/>
  <c r="G3603" i="6"/>
  <c r="M3603" i="6" s="1"/>
  <c r="G3604" i="6"/>
  <c r="M3604" i="6" s="1"/>
  <c r="G3605" i="6"/>
  <c r="M3605" i="6" s="1"/>
  <c r="G3606" i="6"/>
  <c r="M3606" i="6" s="1"/>
  <c r="G3607" i="6"/>
  <c r="M3607" i="6" s="1"/>
  <c r="G3608" i="6"/>
  <c r="M3608" i="6" s="1"/>
  <c r="G3609" i="6"/>
  <c r="M3609" i="6" s="1"/>
  <c r="G3610" i="6"/>
  <c r="M3610" i="6" s="1"/>
  <c r="G3611" i="6"/>
  <c r="M3611" i="6" s="1"/>
  <c r="G3612" i="6"/>
  <c r="M3612" i="6" s="1"/>
  <c r="G3613" i="6"/>
  <c r="M3613" i="6" s="1"/>
  <c r="G3614" i="6"/>
  <c r="M3614" i="6" s="1"/>
  <c r="G3615" i="6"/>
  <c r="M3615" i="6" s="1"/>
  <c r="G3616" i="6"/>
  <c r="M3616" i="6" s="1"/>
  <c r="G3617" i="6"/>
  <c r="M3617" i="6" s="1"/>
  <c r="G3618" i="6"/>
  <c r="M3618" i="6" s="1"/>
  <c r="G3619" i="6"/>
  <c r="M3619" i="6" s="1"/>
  <c r="G3620" i="6"/>
  <c r="M3620" i="6" s="1"/>
  <c r="G3621" i="6"/>
  <c r="M3621" i="6" s="1"/>
  <c r="G3622" i="6"/>
  <c r="M3622" i="6" s="1"/>
  <c r="G3623" i="6"/>
  <c r="M3623" i="6" s="1"/>
  <c r="G3624" i="6"/>
  <c r="M3624" i="6" s="1"/>
  <c r="G3625" i="6"/>
  <c r="M3625" i="6" s="1"/>
  <c r="G3626" i="6"/>
  <c r="M3626" i="6" s="1"/>
  <c r="G3627" i="6"/>
  <c r="M3627" i="6" s="1"/>
  <c r="G3628" i="6"/>
  <c r="M3628" i="6" s="1"/>
  <c r="G3629" i="6"/>
  <c r="M3629" i="6" s="1"/>
  <c r="G3630" i="6"/>
  <c r="M3630" i="6" s="1"/>
  <c r="G3631" i="6"/>
  <c r="M3631" i="6" s="1"/>
  <c r="G3632" i="6"/>
  <c r="M3632" i="6" s="1"/>
  <c r="G3633" i="6"/>
  <c r="M3633" i="6" s="1"/>
  <c r="G3634" i="6"/>
  <c r="M3634" i="6" s="1"/>
  <c r="G3635" i="6"/>
  <c r="M3635" i="6" s="1"/>
  <c r="G3636" i="6"/>
  <c r="M3636" i="6" s="1"/>
  <c r="G3637" i="6"/>
  <c r="M3637" i="6" s="1"/>
  <c r="G3638" i="6"/>
  <c r="M3638" i="6" s="1"/>
  <c r="G3639" i="6"/>
  <c r="M3639" i="6" s="1"/>
  <c r="G3640" i="6"/>
  <c r="M3640" i="6" s="1"/>
  <c r="G3641" i="6"/>
  <c r="M3641" i="6" s="1"/>
  <c r="G3642" i="6"/>
  <c r="M3642" i="6" s="1"/>
  <c r="G3643" i="6"/>
  <c r="M3643" i="6" s="1"/>
  <c r="G3644" i="6"/>
  <c r="M3644" i="6" s="1"/>
  <c r="G3645" i="6"/>
  <c r="M3645" i="6" s="1"/>
  <c r="G3646" i="6"/>
  <c r="M3646" i="6" s="1"/>
  <c r="G3647" i="6"/>
  <c r="M3647" i="6" s="1"/>
  <c r="G3648" i="6"/>
  <c r="M3648" i="6" s="1"/>
  <c r="G3649" i="6"/>
  <c r="M3649" i="6" s="1"/>
  <c r="G3650" i="6"/>
  <c r="M3650" i="6" s="1"/>
  <c r="G3651" i="6"/>
  <c r="M3651" i="6" s="1"/>
  <c r="G3652" i="6"/>
  <c r="M3652" i="6" s="1"/>
  <c r="G3653" i="6"/>
  <c r="M3653" i="6" s="1"/>
  <c r="G3654" i="6"/>
  <c r="M3654" i="6" s="1"/>
  <c r="G3655" i="6"/>
  <c r="M3655" i="6" s="1"/>
  <c r="G3656" i="6"/>
  <c r="M3656" i="6" s="1"/>
  <c r="G3657" i="6"/>
  <c r="M3657" i="6" s="1"/>
  <c r="G3658" i="6"/>
  <c r="M3658" i="6" s="1"/>
  <c r="G3659" i="6"/>
  <c r="M3659" i="6" s="1"/>
  <c r="G3660" i="6"/>
  <c r="M3660" i="6" s="1"/>
  <c r="G3661" i="6"/>
  <c r="M3661" i="6" s="1"/>
  <c r="G3662" i="6"/>
  <c r="M3662" i="6" s="1"/>
  <c r="G3663" i="6"/>
  <c r="M3663" i="6" s="1"/>
  <c r="G3664" i="6"/>
  <c r="M3664" i="6" s="1"/>
  <c r="G3665" i="6"/>
  <c r="M3665" i="6" s="1"/>
  <c r="G3666" i="6"/>
  <c r="M3666" i="6" s="1"/>
  <c r="G3667" i="6"/>
  <c r="M3667" i="6" s="1"/>
  <c r="G3668" i="6"/>
  <c r="M3668" i="6" s="1"/>
  <c r="G3669" i="6"/>
  <c r="M3669" i="6" s="1"/>
  <c r="G3670" i="6"/>
  <c r="M3670" i="6" s="1"/>
  <c r="G3671" i="6"/>
  <c r="M3671" i="6" s="1"/>
  <c r="G3672" i="6"/>
  <c r="M3672" i="6" s="1"/>
  <c r="G3673" i="6"/>
  <c r="M3673" i="6" s="1"/>
  <c r="G3674" i="6"/>
  <c r="M3674" i="6" s="1"/>
  <c r="G3675" i="6"/>
  <c r="M3675" i="6" s="1"/>
  <c r="G3676" i="6"/>
  <c r="M3676" i="6" s="1"/>
  <c r="G3677" i="6"/>
  <c r="M3677" i="6" s="1"/>
  <c r="G3678" i="6"/>
  <c r="M3678" i="6" s="1"/>
  <c r="G3679" i="6"/>
  <c r="M3679" i="6" s="1"/>
  <c r="G3680" i="6"/>
  <c r="M3680" i="6" s="1"/>
  <c r="G3681" i="6"/>
  <c r="M3681" i="6" s="1"/>
  <c r="G3682" i="6"/>
  <c r="M3682" i="6" s="1"/>
  <c r="G3683" i="6"/>
  <c r="M3683" i="6" s="1"/>
  <c r="G3684" i="6"/>
  <c r="M3684" i="6" s="1"/>
  <c r="G3685" i="6"/>
  <c r="M3685" i="6" s="1"/>
  <c r="G3686" i="6"/>
  <c r="M3686" i="6" s="1"/>
  <c r="G3687" i="6"/>
  <c r="M3687" i="6" s="1"/>
  <c r="G3688" i="6"/>
  <c r="M3688" i="6" s="1"/>
  <c r="G3689" i="6"/>
  <c r="M3689" i="6" s="1"/>
  <c r="G3690" i="6"/>
  <c r="M3690" i="6" s="1"/>
  <c r="G3691" i="6"/>
  <c r="M3691" i="6" s="1"/>
  <c r="G3692" i="6"/>
  <c r="M3692" i="6" s="1"/>
  <c r="G3693" i="6"/>
  <c r="M3693" i="6" s="1"/>
  <c r="G3694" i="6"/>
  <c r="M3694" i="6" s="1"/>
  <c r="G3695" i="6"/>
  <c r="M3695" i="6" s="1"/>
  <c r="G3696" i="6"/>
  <c r="M3696" i="6" s="1"/>
  <c r="G3697" i="6"/>
  <c r="M3697" i="6" s="1"/>
  <c r="G3698" i="6"/>
  <c r="M3698" i="6" s="1"/>
  <c r="G3699" i="6"/>
  <c r="M3699" i="6" s="1"/>
  <c r="G3700" i="6"/>
  <c r="M3700" i="6" s="1"/>
  <c r="G3701" i="6"/>
  <c r="M3701" i="6" s="1"/>
  <c r="G3702" i="6"/>
  <c r="M3702" i="6" s="1"/>
  <c r="G3703" i="6"/>
  <c r="M3703" i="6" s="1"/>
  <c r="G3704" i="6"/>
  <c r="M3704" i="6" s="1"/>
  <c r="G3705" i="6"/>
  <c r="M3705" i="6" s="1"/>
  <c r="G3706" i="6"/>
  <c r="M3706" i="6" s="1"/>
  <c r="G3707" i="6"/>
  <c r="M3707" i="6" s="1"/>
  <c r="G3708" i="6"/>
  <c r="M3708" i="6" s="1"/>
  <c r="G3709" i="6"/>
  <c r="M3709" i="6" s="1"/>
  <c r="G3710" i="6"/>
  <c r="M3710" i="6" s="1"/>
  <c r="G3711" i="6"/>
  <c r="M3711" i="6" s="1"/>
  <c r="G3712" i="6"/>
  <c r="M3712" i="6" s="1"/>
  <c r="G3713" i="6"/>
  <c r="M3713" i="6" s="1"/>
  <c r="G3714" i="6"/>
  <c r="M3714" i="6" s="1"/>
  <c r="G3715" i="6"/>
  <c r="M3715" i="6" s="1"/>
  <c r="G3716" i="6"/>
  <c r="M3716" i="6" s="1"/>
  <c r="G3717" i="6"/>
  <c r="M3717" i="6" s="1"/>
  <c r="G3718" i="6"/>
  <c r="M3718" i="6" s="1"/>
  <c r="G3719" i="6"/>
  <c r="M3719" i="6" s="1"/>
  <c r="G3720" i="6"/>
  <c r="M3720" i="6" s="1"/>
  <c r="G3721" i="6"/>
  <c r="M3721" i="6" s="1"/>
  <c r="G3722" i="6"/>
  <c r="M3722" i="6" s="1"/>
  <c r="G3723" i="6"/>
  <c r="M3723" i="6" s="1"/>
  <c r="G3724" i="6"/>
  <c r="M3724" i="6" s="1"/>
  <c r="G3725" i="6"/>
  <c r="M3725" i="6" s="1"/>
  <c r="G3726" i="6"/>
  <c r="M3726" i="6" s="1"/>
  <c r="G3727" i="6"/>
  <c r="M3727" i="6" s="1"/>
  <c r="G3728" i="6"/>
  <c r="M3728" i="6" s="1"/>
  <c r="G3729" i="6"/>
  <c r="M3729" i="6" s="1"/>
  <c r="G3730" i="6"/>
  <c r="M3730" i="6" s="1"/>
  <c r="G3731" i="6"/>
  <c r="M3731" i="6" s="1"/>
  <c r="G3732" i="6"/>
  <c r="M3732" i="6" s="1"/>
  <c r="G3733" i="6"/>
  <c r="M3733" i="6" s="1"/>
  <c r="G3734" i="6"/>
  <c r="M3734" i="6" s="1"/>
  <c r="G3735" i="6"/>
  <c r="M3735" i="6" s="1"/>
  <c r="G3736" i="6"/>
  <c r="M3736" i="6" s="1"/>
  <c r="G3737" i="6"/>
  <c r="M3737" i="6" s="1"/>
  <c r="G3738" i="6"/>
  <c r="M3738" i="6" s="1"/>
  <c r="G3739" i="6"/>
  <c r="M3739" i="6" s="1"/>
  <c r="G3740" i="6"/>
  <c r="M3740" i="6" s="1"/>
  <c r="G3741" i="6"/>
  <c r="M3741" i="6" s="1"/>
  <c r="G3742" i="6"/>
  <c r="M3742" i="6" s="1"/>
  <c r="G3743" i="6"/>
  <c r="M3743" i="6" s="1"/>
  <c r="G3744" i="6"/>
  <c r="M3744" i="6" s="1"/>
  <c r="G3745" i="6"/>
  <c r="M3745" i="6" s="1"/>
  <c r="G3746" i="6"/>
  <c r="M3746" i="6" s="1"/>
  <c r="G3747" i="6"/>
  <c r="M3747" i="6" s="1"/>
  <c r="G3748" i="6"/>
  <c r="M3748" i="6" s="1"/>
  <c r="G3749" i="6"/>
  <c r="M3749" i="6" s="1"/>
  <c r="G3750" i="6"/>
  <c r="M3750" i="6" s="1"/>
  <c r="G3751" i="6"/>
  <c r="M3751" i="6" s="1"/>
  <c r="G3752" i="6"/>
  <c r="M3752" i="6" s="1"/>
  <c r="G3753" i="6"/>
  <c r="M3753" i="6" s="1"/>
  <c r="G3754" i="6"/>
  <c r="M3754" i="6" s="1"/>
  <c r="G3755" i="6"/>
  <c r="M3755" i="6" s="1"/>
  <c r="G3756" i="6"/>
  <c r="M3756" i="6" s="1"/>
  <c r="G3757" i="6"/>
  <c r="M3757" i="6" s="1"/>
  <c r="G3758" i="6"/>
  <c r="M3758" i="6" s="1"/>
  <c r="G3759" i="6"/>
  <c r="M3759" i="6" s="1"/>
  <c r="G3760" i="6"/>
  <c r="M3760" i="6" s="1"/>
  <c r="G3761" i="6"/>
  <c r="M3761" i="6" s="1"/>
  <c r="G3762" i="6"/>
  <c r="M3762" i="6" s="1"/>
  <c r="G3763" i="6"/>
  <c r="M3763" i="6" s="1"/>
  <c r="G3764" i="6"/>
  <c r="M3764" i="6" s="1"/>
  <c r="G3765" i="6"/>
  <c r="M3765" i="6" s="1"/>
  <c r="G3766" i="6"/>
  <c r="M3766" i="6" s="1"/>
  <c r="G3767" i="6"/>
  <c r="M3767" i="6" s="1"/>
  <c r="G3768" i="6"/>
  <c r="M3768" i="6" s="1"/>
  <c r="G3769" i="6"/>
  <c r="M3769" i="6" s="1"/>
  <c r="G3770" i="6"/>
  <c r="M3770" i="6" s="1"/>
  <c r="G3771" i="6"/>
  <c r="M3771" i="6" s="1"/>
  <c r="G3772" i="6"/>
  <c r="M3772" i="6" s="1"/>
  <c r="G3773" i="6"/>
  <c r="M3773" i="6" s="1"/>
  <c r="G3774" i="6"/>
  <c r="M3774" i="6" s="1"/>
  <c r="G3775" i="6"/>
  <c r="M3775" i="6" s="1"/>
  <c r="G3776" i="6"/>
  <c r="M3776" i="6" s="1"/>
  <c r="G3777" i="6"/>
  <c r="M3777" i="6" s="1"/>
  <c r="G3778" i="6"/>
  <c r="M3778" i="6" s="1"/>
  <c r="G3779" i="6"/>
  <c r="M3779" i="6" s="1"/>
  <c r="G3780" i="6"/>
  <c r="M3780" i="6" s="1"/>
  <c r="G3781" i="6"/>
  <c r="M3781" i="6" s="1"/>
  <c r="G3782" i="6"/>
  <c r="M3782" i="6" s="1"/>
  <c r="G3783" i="6"/>
  <c r="M3783" i="6" s="1"/>
  <c r="G3784" i="6"/>
  <c r="M3784" i="6" s="1"/>
  <c r="G3785" i="6"/>
  <c r="M3785" i="6" s="1"/>
  <c r="G3786" i="6"/>
  <c r="M3786" i="6" s="1"/>
  <c r="G3787" i="6"/>
  <c r="M3787" i="6" s="1"/>
  <c r="G3788" i="6"/>
  <c r="M3788" i="6" s="1"/>
  <c r="G3789" i="6"/>
  <c r="M3789" i="6" s="1"/>
  <c r="G3790" i="6"/>
  <c r="M3790" i="6" s="1"/>
  <c r="G3791" i="6"/>
  <c r="M3791" i="6" s="1"/>
  <c r="G3792" i="6"/>
  <c r="M3792" i="6" s="1"/>
  <c r="G3793" i="6"/>
  <c r="M3793" i="6" s="1"/>
  <c r="G3794" i="6"/>
  <c r="M3794" i="6" s="1"/>
  <c r="G3795" i="6"/>
  <c r="M3795" i="6" s="1"/>
  <c r="G3796" i="6"/>
  <c r="M3796" i="6" s="1"/>
  <c r="G3797" i="6"/>
  <c r="M3797" i="6" s="1"/>
  <c r="G3798" i="6"/>
  <c r="M3798" i="6" s="1"/>
  <c r="G3799" i="6"/>
  <c r="M3799" i="6" s="1"/>
  <c r="G3800" i="6"/>
  <c r="M3800" i="6" s="1"/>
  <c r="G3801" i="6"/>
  <c r="M3801" i="6" s="1"/>
  <c r="G3802" i="6"/>
  <c r="M3802" i="6" s="1"/>
  <c r="G3803" i="6"/>
  <c r="M3803" i="6" s="1"/>
  <c r="G3804" i="6"/>
  <c r="M3804" i="6" s="1"/>
  <c r="G3805" i="6"/>
  <c r="M3805" i="6" s="1"/>
  <c r="G3806" i="6"/>
  <c r="M3806" i="6" s="1"/>
  <c r="G3807" i="6"/>
  <c r="M3807" i="6" s="1"/>
  <c r="G3808" i="6"/>
  <c r="M3808" i="6" s="1"/>
  <c r="G3809" i="6"/>
  <c r="M3809" i="6" s="1"/>
  <c r="G3810" i="6"/>
  <c r="M3810" i="6" s="1"/>
  <c r="G3811" i="6"/>
  <c r="M3811" i="6" s="1"/>
  <c r="G3812" i="6"/>
  <c r="M3812" i="6" s="1"/>
  <c r="G3813" i="6"/>
  <c r="M3813" i="6" s="1"/>
  <c r="G3814" i="6"/>
  <c r="M3814" i="6" s="1"/>
  <c r="G3815" i="6"/>
  <c r="M3815" i="6" s="1"/>
  <c r="G3816" i="6"/>
  <c r="M3816" i="6" s="1"/>
  <c r="G3817" i="6"/>
  <c r="M3817" i="6" s="1"/>
  <c r="G3818" i="6"/>
  <c r="M3818" i="6" s="1"/>
  <c r="G3819" i="6"/>
  <c r="M3819" i="6" s="1"/>
  <c r="G3820" i="6"/>
  <c r="M3820" i="6" s="1"/>
  <c r="G3821" i="6"/>
  <c r="M3821" i="6" s="1"/>
  <c r="G3822" i="6"/>
  <c r="M3822" i="6" s="1"/>
  <c r="G3823" i="6"/>
  <c r="M3823" i="6" s="1"/>
  <c r="G3824" i="6"/>
  <c r="M3824" i="6" s="1"/>
  <c r="G3825" i="6"/>
  <c r="M3825" i="6" s="1"/>
  <c r="G3826" i="6"/>
  <c r="M3826" i="6" s="1"/>
  <c r="G3827" i="6"/>
  <c r="M3827" i="6" s="1"/>
  <c r="G3828" i="6"/>
  <c r="M3828" i="6" s="1"/>
  <c r="G3829" i="6"/>
  <c r="M3829" i="6" s="1"/>
  <c r="G3830" i="6"/>
  <c r="M3830" i="6" s="1"/>
  <c r="G3831" i="6"/>
  <c r="M3831" i="6" s="1"/>
  <c r="G3832" i="6"/>
  <c r="M3832" i="6" s="1"/>
  <c r="G3833" i="6"/>
  <c r="M3833" i="6" s="1"/>
  <c r="G3834" i="6"/>
  <c r="M3834" i="6" s="1"/>
  <c r="G3835" i="6"/>
  <c r="M3835" i="6" s="1"/>
  <c r="G3836" i="6"/>
  <c r="M3836" i="6" s="1"/>
  <c r="G3837" i="6"/>
  <c r="M3837" i="6" s="1"/>
  <c r="G3838" i="6"/>
  <c r="M3838" i="6" s="1"/>
  <c r="G3839" i="6"/>
  <c r="M3839" i="6" s="1"/>
  <c r="G3840" i="6"/>
  <c r="M3840" i="6" s="1"/>
  <c r="G3841" i="6"/>
  <c r="M3841" i="6" s="1"/>
  <c r="G3842" i="6"/>
  <c r="M3842" i="6" s="1"/>
  <c r="G3843" i="6"/>
  <c r="M3843" i="6" s="1"/>
  <c r="G3844" i="6"/>
  <c r="M3844" i="6" s="1"/>
  <c r="G3845" i="6"/>
  <c r="M3845" i="6" s="1"/>
  <c r="G3846" i="6"/>
  <c r="M3846" i="6" s="1"/>
  <c r="G3847" i="6"/>
  <c r="M3847" i="6" s="1"/>
  <c r="G3848" i="6"/>
  <c r="M3848" i="6" s="1"/>
  <c r="G3849" i="6"/>
  <c r="M3849" i="6" s="1"/>
  <c r="G3850" i="6"/>
  <c r="M3850" i="6" s="1"/>
  <c r="G3851" i="6"/>
  <c r="M3851" i="6" s="1"/>
  <c r="G3852" i="6"/>
  <c r="M3852" i="6" s="1"/>
  <c r="G3853" i="6"/>
  <c r="M3853" i="6" s="1"/>
  <c r="G3854" i="6"/>
  <c r="M3854" i="6" s="1"/>
  <c r="G3855" i="6"/>
  <c r="M3855" i="6" s="1"/>
  <c r="G3856" i="6"/>
  <c r="M3856" i="6" s="1"/>
  <c r="G3857" i="6"/>
  <c r="M3857" i="6" s="1"/>
  <c r="G3858" i="6"/>
  <c r="M3858" i="6" s="1"/>
  <c r="G3859" i="6"/>
  <c r="M3859" i="6" s="1"/>
  <c r="G3860" i="6"/>
  <c r="M3860" i="6" s="1"/>
  <c r="G3861" i="6"/>
  <c r="M3861" i="6" s="1"/>
  <c r="G3862" i="6"/>
  <c r="M3862" i="6" s="1"/>
  <c r="G3863" i="6"/>
  <c r="M3863" i="6" s="1"/>
  <c r="G3864" i="6"/>
  <c r="M3864" i="6" s="1"/>
  <c r="G3865" i="6"/>
  <c r="M3865" i="6" s="1"/>
  <c r="G3866" i="6"/>
  <c r="M3866" i="6" s="1"/>
  <c r="G3867" i="6"/>
  <c r="M3867" i="6" s="1"/>
  <c r="G3868" i="6"/>
  <c r="M3868" i="6" s="1"/>
  <c r="G3869" i="6"/>
  <c r="M3869" i="6" s="1"/>
  <c r="G3870" i="6"/>
  <c r="M3870" i="6" s="1"/>
  <c r="G3871" i="6"/>
  <c r="M3871" i="6" s="1"/>
  <c r="G3872" i="6"/>
  <c r="M3872" i="6" s="1"/>
  <c r="G3873" i="6"/>
  <c r="M3873" i="6" s="1"/>
  <c r="G3874" i="6"/>
  <c r="M3874" i="6" s="1"/>
  <c r="G3875" i="6"/>
  <c r="M3875" i="6" s="1"/>
  <c r="G3876" i="6"/>
  <c r="M3876" i="6" s="1"/>
  <c r="G3877" i="6"/>
  <c r="M3877" i="6" s="1"/>
  <c r="G3878" i="6"/>
  <c r="M3878" i="6" s="1"/>
  <c r="G3879" i="6"/>
  <c r="M3879" i="6" s="1"/>
  <c r="G3880" i="6"/>
  <c r="M3880" i="6" s="1"/>
  <c r="G3881" i="6"/>
  <c r="M3881" i="6" s="1"/>
  <c r="G3882" i="6"/>
  <c r="M3882" i="6" s="1"/>
  <c r="G3883" i="6"/>
  <c r="M3883" i="6" s="1"/>
  <c r="G3884" i="6"/>
  <c r="M3884" i="6" s="1"/>
  <c r="G3885" i="6"/>
  <c r="M3885" i="6" s="1"/>
  <c r="G3886" i="6"/>
  <c r="M3886" i="6" s="1"/>
  <c r="G3887" i="6"/>
  <c r="M3887" i="6" s="1"/>
  <c r="G3888" i="6"/>
  <c r="M3888" i="6" s="1"/>
  <c r="G3889" i="6"/>
  <c r="M3889" i="6" s="1"/>
  <c r="G3890" i="6"/>
  <c r="M3890" i="6" s="1"/>
  <c r="G3891" i="6"/>
  <c r="M3891" i="6" s="1"/>
  <c r="G3892" i="6"/>
  <c r="M3892" i="6" s="1"/>
  <c r="G3893" i="6"/>
  <c r="M3893" i="6" s="1"/>
  <c r="G3894" i="6"/>
  <c r="M3894" i="6" s="1"/>
  <c r="G3895" i="6"/>
  <c r="M3895" i="6" s="1"/>
  <c r="G3896" i="6"/>
  <c r="M3896" i="6" s="1"/>
  <c r="G3897" i="6"/>
  <c r="M3897" i="6" s="1"/>
  <c r="G3898" i="6"/>
  <c r="M3898" i="6" s="1"/>
  <c r="G3899" i="6"/>
  <c r="M3899" i="6" s="1"/>
  <c r="G3900" i="6"/>
  <c r="M3900" i="6" s="1"/>
  <c r="G3901" i="6"/>
  <c r="M3901" i="6" s="1"/>
  <c r="G3902" i="6"/>
  <c r="M3902" i="6" s="1"/>
  <c r="G3903" i="6"/>
  <c r="M3903" i="6" s="1"/>
  <c r="G3904" i="6"/>
  <c r="M3904" i="6" s="1"/>
  <c r="G3905" i="6"/>
  <c r="M3905" i="6" s="1"/>
  <c r="G3906" i="6"/>
  <c r="M3906" i="6" s="1"/>
  <c r="G3907" i="6"/>
  <c r="M3907" i="6" s="1"/>
  <c r="G3908" i="6"/>
  <c r="M3908" i="6" s="1"/>
  <c r="G3909" i="6"/>
  <c r="M3909" i="6" s="1"/>
  <c r="G3910" i="6"/>
  <c r="M3910" i="6" s="1"/>
  <c r="G3911" i="6"/>
  <c r="M3911" i="6" s="1"/>
  <c r="G3912" i="6"/>
  <c r="M3912" i="6" s="1"/>
  <c r="G3913" i="6"/>
  <c r="M3913" i="6" s="1"/>
  <c r="G3914" i="6"/>
  <c r="M3914" i="6" s="1"/>
  <c r="G3915" i="6"/>
  <c r="M3915" i="6" s="1"/>
  <c r="G3916" i="6"/>
  <c r="M3916" i="6" s="1"/>
  <c r="G3917" i="6"/>
  <c r="M3917" i="6" s="1"/>
  <c r="G3918" i="6"/>
  <c r="M3918" i="6" s="1"/>
  <c r="G3919" i="6"/>
  <c r="M3919" i="6" s="1"/>
  <c r="G3920" i="6"/>
  <c r="M3920" i="6" s="1"/>
  <c r="G3921" i="6"/>
  <c r="M3921" i="6" s="1"/>
  <c r="G3922" i="6"/>
  <c r="M3922" i="6" s="1"/>
  <c r="G3923" i="6"/>
  <c r="M3923" i="6" s="1"/>
  <c r="G3924" i="6"/>
  <c r="M3924" i="6" s="1"/>
  <c r="G3925" i="6"/>
  <c r="M3925" i="6" s="1"/>
  <c r="G3926" i="6"/>
  <c r="M3926" i="6" s="1"/>
  <c r="G3927" i="6"/>
  <c r="M3927" i="6" s="1"/>
  <c r="G3928" i="6"/>
  <c r="M3928" i="6" s="1"/>
  <c r="G3929" i="6"/>
  <c r="M3929" i="6" s="1"/>
  <c r="G3930" i="6"/>
  <c r="M3930" i="6" s="1"/>
  <c r="G3931" i="6"/>
  <c r="M3931" i="6" s="1"/>
  <c r="G3932" i="6"/>
  <c r="M3932" i="6" s="1"/>
  <c r="G3933" i="6"/>
  <c r="M3933" i="6" s="1"/>
  <c r="G3934" i="6"/>
  <c r="M3934" i="6" s="1"/>
  <c r="G3935" i="6"/>
  <c r="M3935" i="6" s="1"/>
  <c r="G3936" i="6"/>
  <c r="M3936" i="6" s="1"/>
  <c r="G3937" i="6"/>
  <c r="M3937" i="6" s="1"/>
  <c r="G3938" i="6"/>
  <c r="M3938" i="6" s="1"/>
  <c r="G3939" i="6"/>
  <c r="M3939" i="6" s="1"/>
  <c r="G3940" i="6"/>
  <c r="M3940" i="6" s="1"/>
  <c r="G3941" i="6"/>
  <c r="M3941" i="6" s="1"/>
  <c r="G3942" i="6"/>
  <c r="M3942" i="6" s="1"/>
  <c r="G3943" i="6"/>
  <c r="M3943" i="6" s="1"/>
  <c r="G3944" i="6"/>
  <c r="M3944" i="6" s="1"/>
  <c r="G3945" i="6"/>
  <c r="M3945" i="6" s="1"/>
  <c r="G3946" i="6"/>
  <c r="M3946" i="6" s="1"/>
  <c r="G3947" i="6"/>
  <c r="M3947" i="6" s="1"/>
  <c r="G3948" i="6"/>
  <c r="M3948" i="6" s="1"/>
  <c r="G3949" i="6"/>
  <c r="M3949" i="6" s="1"/>
  <c r="G3950" i="6"/>
  <c r="M3950" i="6" s="1"/>
  <c r="G3951" i="6"/>
  <c r="M3951" i="6" s="1"/>
  <c r="G3952" i="6"/>
  <c r="M3952" i="6" s="1"/>
  <c r="G3953" i="6"/>
  <c r="M3953" i="6" s="1"/>
  <c r="G3954" i="6"/>
  <c r="M3954" i="6" s="1"/>
  <c r="G3955" i="6"/>
  <c r="M3955" i="6" s="1"/>
  <c r="G3956" i="6"/>
  <c r="M3956" i="6" s="1"/>
  <c r="G3957" i="6"/>
  <c r="M3957" i="6" s="1"/>
  <c r="G3958" i="6"/>
  <c r="M3958" i="6" s="1"/>
  <c r="G3959" i="6"/>
  <c r="M3959" i="6" s="1"/>
  <c r="G3960" i="6"/>
  <c r="M3960" i="6" s="1"/>
  <c r="G3961" i="6"/>
  <c r="M3961" i="6" s="1"/>
  <c r="G3962" i="6"/>
  <c r="M3962" i="6" s="1"/>
  <c r="G3963" i="6"/>
  <c r="M3963" i="6" s="1"/>
  <c r="G3964" i="6"/>
  <c r="M3964" i="6" s="1"/>
  <c r="G3965" i="6"/>
  <c r="M3965" i="6" s="1"/>
  <c r="G3966" i="6"/>
  <c r="M3966" i="6" s="1"/>
  <c r="G3967" i="6"/>
  <c r="M3967" i="6" s="1"/>
  <c r="G3968" i="6"/>
  <c r="M3968" i="6" s="1"/>
  <c r="G3969" i="6"/>
  <c r="M3969" i="6" s="1"/>
  <c r="G3970" i="6"/>
  <c r="M3970" i="6" s="1"/>
  <c r="G3971" i="6"/>
  <c r="M3971" i="6" s="1"/>
  <c r="G3972" i="6"/>
  <c r="M3972" i="6" s="1"/>
  <c r="G3973" i="6"/>
  <c r="M3973" i="6" s="1"/>
  <c r="G3974" i="6"/>
  <c r="M3974" i="6" s="1"/>
  <c r="G3975" i="6"/>
  <c r="M3975" i="6" s="1"/>
  <c r="G3976" i="6"/>
  <c r="M3976" i="6" s="1"/>
  <c r="G3977" i="6"/>
  <c r="M3977" i="6" s="1"/>
  <c r="G3978" i="6"/>
  <c r="M3978" i="6" s="1"/>
  <c r="G3979" i="6"/>
  <c r="M3979" i="6" s="1"/>
  <c r="G3980" i="6"/>
  <c r="M3980" i="6" s="1"/>
  <c r="G3981" i="6"/>
  <c r="M3981" i="6" s="1"/>
  <c r="G3982" i="6"/>
  <c r="M3982" i="6" s="1"/>
  <c r="G3983" i="6"/>
  <c r="M3983" i="6" s="1"/>
  <c r="G3984" i="6"/>
  <c r="M3984" i="6" s="1"/>
  <c r="G3985" i="6"/>
  <c r="M3985" i="6" s="1"/>
  <c r="G3986" i="6"/>
  <c r="M3986" i="6" s="1"/>
  <c r="G3987" i="6"/>
  <c r="M3987" i="6" s="1"/>
  <c r="G3988" i="6"/>
  <c r="M3988" i="6" s="1"/>
  <c r="G3989" i="6"/>
  <c r="M3989" i="6" s="1"/>
  <c r="G3990" i="6"/>
  <c r="M3990" i="6" s="1"/>
  <c r="G3991" i="6"/>
  <c r="M3991" i="6" s="1"/>
  <c r="G3992" i="6"/>
  <c r="M3992" i="6" s="1"/>
  <c r="G3993" i="6"/>
  <c r="M3993" i="6" s="1"/>
  <c r="G3994" i="6"/>
  <c r="M3994" i="6" s="1"/>
  <c r="G3995" i="6"/>
  <c r="M3995" i="6" s="1"/>
  <c r="G3996" i="6"/>
  <c r="M3996" i="6" s="1"/>
  <c r="G3997" i="6"/>
  <c r="M3997" i="6" s="1"/>
  <c r="G3998" i="6"/>
  <c r="M3998" i="6" s="1"/>
  <c r="G3999" i="6"/>
  <c r="M3999" i="6" s="1"/>
  <c r="G4000" i="6"/>
  <c r="M4000" i="6" s="1"/>
  <c r="G4001" i="6"/>
  <c r="M4001" i="6" s="1"/>
  <c r="G4002" i="6"/>
  <c r="M4002" i="6" s="1"/>
  <c r="G4003" i="6"/>
  <c r="M4003" i="6" s="1"/>
  <c r="G4004" i="6"/>
  <c r="M4004" i="6" s="1"/>
  <c r="G4005" i="6"/>
  <c r="M4005" i="6" s="1"/>
  <c r="G4006" i="6"/>
  <c r="M4006" i="6" s="1"/>
  <c r="G4007" i="6"/>
  <c r="M4007" i="6" s="1"/>
  <c r="G4008" i="6"/>
  <c r="M4008" i="6" s="1"/>
  <c r="G4009" i="6"/>
  <c r="M4009" i="6" s="1"/>
  <c r="G4010" i="6"/>
  <c r="M4010" i="6" s="1"/>
  <c r="G4011" i="6"/>
  <c r="M4011" i="6" s="1"/>
  <c r="G4012" i="6"/>
  <c r="M4012" i="6" s="1"/>
  <c r="G4013" i="6"/>
  <c r="M4013" i="6" s="1"/>
  <c r="G4014" i="6"/>
  <c r="M4014" i="6" s="1"/>
  <c r="G4015" i="6"/>
  <c r="M4015" i="6" s="1"/>
  <c r="G4016" i="6"/>
  <c r="M4016" i="6" s="1"/>
  <c r="G4017" i="6"/>
  <c r="M4017" i="6" s="1"/>
  <c r="G4018" i="6"/>
  <c r="M4018" i="6" s="1"/>
  <c r="G4019" i="6"/>
  <c r="M4019" i="6" s="1"/>
  <c r="G4020" i="6"/>
  <c r="M4020" i="6" s="1"/>
  <c r="G4021" i="6"/>
  <c r="M4021" i="6" s="1"/>
  <c r="G4022" i="6"/>
  <c r="M4022" i="6" s="1"/>
  <c r="G4023" i="6"/>
  <c r="M4023" i="6" s="1"/>
  <c r="G4024" i="6"/>
  <c r="M4024" i="6" s="1"/>
  <c r="G4025" i="6"/>
  <c r="M4025" i="6" s="1"/>
  <c r="G4026" i="6"/>
  <c r="M4026" i="6" s="1"/>
  <c r="G4027" i="6"/>
  <c r="M4027" i="6" s="1"/>
  <c r="G4028" i="6"/>
  <c r="M4028" i="6" s="1"/>
  <c r="G4029" i="6"/>
  <c r="M4029" i="6" s="1"/>
  <c r="G4030" i="6"/>
  <c r="M4030" i="6" s="1"/>
  <c r="G4031" i="6"/>
  <c r="M4031" i="6" s="1"/>
  <c r="G4032" i="6"/>
  <c r="M4032" i="6" s="1"/>
  <c r="G4033" i="6"/>
  <c r="M4033" i="6" s="1"/>
  <c r="G4034" i="6"/>
  <c r="M4034" i="6" s="1"/>
  <c r="G4035" i="6"/>
  <c r="M4035" i="6" s="1"/>
  <c r="G4036" i="6"/>
  <c r="M4036" i="6" s="1"/>
  <c r="G4037" i="6"/>
  <c r="M4037" i="6" s="1"/>
  <c r="G4038" i="6"/>
  <c r="M4038" i="6" s="1"/>
  <c r="G4039" i="6"/>
  <c r="M4039" i="6" s="1"/>
  <c r="G4040" i="6"/>
  <c r="M4040" i="6" s="1"/>
  <c r="G4041" i="6"/>
  <c r="M4041" i="6" s="1"/>
  <c r="G4042" i="6"/>
  <c r="M4042" i="6" s="1"/>
  <c r="G4043" i="6"/>
  <c r="M4043" i="6" s="1"/>
  <c r="G4044" i="6"/>
  <c r="M4044" i="6" s="1"/>
  <c r="G4045" i="6"/>
  <c r="M4045" i="6" s="1"/>
  <c r="G4046" i="6"/>
  <c r="M4046" i="6" s="1"/>
  <c r="G4047" i="6"/>
  <c r="M4047" i="6" s="1"/>
  <c r="G4048" i="6"/>
  <c r="M4048" i="6" s="1"/>
  <c r="G4049" i="6"/>
  <c r="M4049" i="6" s="1"/>
  <c r="G4050" i="6"/>
  <c r="M4050" i="6" s="1"/>
  <c r="G4051" i="6"/>
  <c r="M4051" i="6" s="1"/>
  <c r="G4052" i="6"/>
  <c r="M4052" i="6" s="1"/>
  <c r="G4053" i="6"/>
  <c r="M4053" i="6" s="1"/>
  <c r="G4054" i="6"/>
  <c r="M4054" i="6" s="1"/>
  <c r="G4055" i="6"/>
  <c r="M4055" i="6" s="1"/>
  <c r="G4056" i="6"/>
  <c r="M4056" i="6" s="1"/>
  <c r="G4057" i="6"/>
  <c r="M4057" i="6" s="1"/>
  <c r="G4058" i="6"/>
  <c r="M4058" i="6" s="1"/>
  <c r="G4059" i="6"/>
  <c r="M4059" i="6" s="1"/>
  <c r="G4060" i="6"/>
  <c r="M4060" i="6" s="1"/>
  <c r="G4061" i="6"/>
  <c r="M4061" i="6" s="1"/>
  <c r="G4062" i="6"/>
  <c r="M4062" i="6" s="1"/>
  <c r="G4063" i="6"/>
  <c r="M4063" i="6" s="1"/>
  <c r="G4064" i="6"/>
  <c r="M4064" i="6" s="1"/>
  <c r="G4065" i="6"/>
  <c r="M4065" i="6" s="1"/>
  <c r="G4066" i="6"/>
  <c r="M4066" i="6" s="1"/>
  <c r="G4067" i="6"/>
  <c r="M4067" i="6" s="1"/>
  <c r="G4068" i="6"/>
  <c r="M4068" i="6" s="1"/>
  <c r="G4069" i="6"/>
  <c r="M4069" i="6" s="1"/>
  <c r="G4070" i="6"/>
  <c r="M4070" i="6" s="1"/>
  <c r="G4071" i="6"/>
  <c r="M4071" i="6" s="1"/>
  <c r="G4072" i="6"/>
  <c r="M4072" i="6" s="1"/>
  <c r="G4073" i="6"/>
  <c r="M4073" i="6" s="1"/>
  <c r="G4074" i="6"/>
  <c r="M4074" i="6" s="1"/>
  <c r="G4075" i="6"/>
  <c r="M4075" i="6" s="1"/>
  <c r="G4076" i="6"/>
  <c r="M4076" i="6" s="1"/>
  <c r="G4077" i="6"/>
  <c r="M4077" i="6" s="1"/>
  <c r="G4078" i="6"/>
  <c r="M4078" i="6" s="1"/>
  <c r="G4079" i="6"/>
  <c r="M4079" i="6" s="1"/>
  <c r="G4080" i="6"/>
  <c r="M4080" i="6" s="1"/>
  <c r="G4081" i="6"/>
  <c r="M4081" i="6" s="1"/>
  <c r="G4082" i="6"/>
  <c r="M4082" i="6" s="1"/>
  <c r="G4083" i="6"/>
  <c r="M4083" i="6" s="1"/>
  <c r="G4084" i="6"/>
  <c r="M4084" i="6" s="1"/>
  <c r="G4085" i="6"/>
  <c r="M4085" i="6" s="1"/>
  <c r="G4086" i="6"/>
  <c r="M4086" i="6" s="1"/>
  <c r="G4087" i="6"/>
  <c r="M4087" i="6" s="1"/>
  <c r="G4088" i="6"/>
  <c r="M4088" i="6" s="1"/>
  <c r="G4089" i="6"/>
  <c r="M4089" i="6" s="1"/>
  <c r="G4090" i="6"/>
  <c r="M4090" i="6" s="1"/>
  <c r="G4091" i="6"/>
  <c r="M4091" i="6" s="1"/>
  <c r="G4092" i="6"/>
  <c r="M4092" i="6" s="1"/>
  <c r="G4093" i="6"/>
  <c r="M4093" i="6" s="1"/>
  <c r="G4094" i="6"/>
  <c r="M4094" i="6" s="1"/>
  <c r="G4095" i="6"/>
  <c r="M4095" i="6" s="1"/>
  <c r="G4096" i="6"/>
  <c r="M4096" i="6" s="1"/>
  <c r="G4097" i="6"/>
  <c r="M4097" i="6" s="1"/>
  <c r="G4098" i="6"/>
  <c r="M4098" i="6" s="1"/>
  <c r="G4099" i="6"/>
  <c r="M4099" i="6" s="1"/>
  <c r="G4100" i="6"/>
  <c r="M4100" i="6" s="1"/>
  <c r="G4101" i="6"/>
  <c r="M4101" i="6" s="1"/>
  <c r="G4102" i="6"/>
  <c r="M4102" i="6" s="1"/>
  <c r="G4103" i="6"/>
  <c r="M4103" i="6" s="1"/>
  <c r="G4104" i="6"/>
  <c r="M4104" i="6" s="1"/>
  <c r="G4105" i="6"/>
  <c r="M4105" i="6" s="1"/>
  <c r="G4106" i="6"/>
  <c r="M4106" i="6" s="1"/>
  <c r="G4107" i="6"/>
  <c r="M4107" i="6" s="1"/>
  <c r="G4108" i="6"/>
  <c r="M4108" i="6" s="1"/>
  <c r="G4109" i="6"/>
  <c r="M4109" i="6" s="1"/>
  <c r="G4110" i="6"/>
  <c r="M4110" i="6" s="1"/>
  <c r="G4111" i="6"/>
  <c r="M4111" i="6" s="1"/>
  <c r="G4112" i="6"/>
  <c r="M4112" i="6" s="1"/>
  <c r="G4113" i="6"/>
  <c r="M4113" i="6" s="1"/>
  <c r="G4114" i="6"/>
  <c r="M4114" i="6" s="1"/>
  <c r="G4115" i="6"/>
  <c r="M4115" i="6" s="1"/>
  <c r="G4116" i="6"/>
  <c r="M4116" i="6" s="1"/>
  <c r="G4117" i="6"/>
  <c r="M4117" i="6" s="1"/>
  <c r="G4118" i="6"/>
  <c r="M4118" i="6" s="1"/>
  <c r="G4119" i="6"/>
  <c r="M4119" i="6" s="1"/>
  <c r="G4120" i="6"/>
  <c r="M4120" i="6" s="1"/>
  <c r="G4121" i="6"/>
  <c r="M4121" i="6" s="1"/>
  <c r="G4122" i="6"/>
  <c r="M4122" i="6" s="1"/>
  <c r="G4123" i="6"/>
  <c r="M4123" i="6" s="1"/>
  <c r="G4124" i="6"/>
  <c r="M4124" i="6" s="1"/>
  <c r="G4125" i="6"/>
  <c r="M4125" i="6" s="1"/>
  <c r="G4126" i="6"/>
  <c r="M4126" i="6" s="1"/>
  <c r="G4127" i="6"/>
  <c r="M4127" i="6" s="1"/>
  <c r="G4128" i="6"/>
  <c r="M4128" i="6" s="1"/>
  <c r="G4129" i="6"/>
  <c r="M4129" i="6" s="1"/>
  <c r="G4130" i="6"/>
  <c r="M4130" i="6" s="1"/>
  <c r="G4131" i="6"/>
  <c r="M4131" i="6" s="1"/>
  <c r="G4132" i="6"/>
  <c r="M4132" i="6" s="1"/>
  <c r="G4133" i="6"/>
  <c r="M4133" i="6" s="1"/>
  <c r="G4134" i="6"/>
  <c r="M4134" i="6" s="1"/>
  <c r="G4135" i="6"/>
  <c r="M4135" i="6" s="1"/>
  <c r="G4136" i="6"/>
  <c r="M4136" i="6" s="1"/>
  <c r="G4137" i="6"/>
  <c r="M4137" i="6" s="1"/>
  <c r="G4138" i="6"/>
  <c r="M4138" i="6" s="1"/>
  <c r="G4139" i="6"/>
  <c r="M4139" i="6" s="1"/>
  <c r="G4140" i="6"/>
  <c r="M4140" i="6" s="1"/>
  <c r="G4141" i="6"/>
  <c r="M4141" i="6" s="1"/>
  <c r="G4142" i="6"/>
  <c r="M4142" i="6" s="1"/>
  <c r="G4143" i="6"/>
  <c r="M4143" i="6" s="1"/>
  <c r="G4144" i="6"/>
  <c r="M4144" i="6" s="1"/>
  <c r="G4145" i="6"/>
  <c r="M4145" i="6" s="1"/>
  <c r="G4146" i="6"/>
  <c r="M4146" i="6" s="1"/>
  <c r="G4147" i="6"/>
  <c r="M4147" i="6" s="1"/>
  <c r="G4148" i="6"/>
  <c r="M4148" i="6" s="1"/>
  <c r="G4149" i="6"/>
  <c r="M4149" i="6" s="1"/>
  <c r="G4150" i="6"/>
  <c r="M4150" i="6" s="1"/>
  <c r="G4151" i="6"/>
  <c r="M4151" i="6" s="1"/>
  <c r="G4152" i="6"/>
  <c r="M4152" i="6" s="1"/>
  <c r="G4153" i="6"/>
  <c r="M4153" i="6" s="1"/>
  <c r="G4154" i="6"/>
  <c r="M4154" i="6" s="1"/>
  <c r="G4155" i="6"/>
  <c r="M4155" i="6" s="1"/>
  <c r="G4156" i="6"/>
  <c r="M4156" i="6" s="1"/>
  <c r="G4157" i="6"/>
  <c r="M4157" i="6" s="1"/>
  <c r="G4158" i="6"/>
  <c r="M4158" i="6" s="1"/>
  <c r="G4159" i="6"/>
  <c r="M4159" i="6" s="1"/>
  <c r="G4160" i="6"/>
  <c r="M4160" i="6" s="1"/>
  <c r="G4161" i="6"/>
  <c r="M4161" i="6" s="1"/>
  <c r="G4162" i="6"/>
  <c r="M4162" i="6" s="1"/>
  <c r="G4163" i="6"/>
  <c r="M4163" i="6" s="1"/>
  <c r="G4164" i="6"/>
  <c r="M4164" i="6" s="1"/>
  <c r="G4165" i="6"/>
  <c r="M4165" i="6" s="1"/>
  <c r="G4166" i="6"/>
  <c r="M4166" i="6" s="1"/>
  <c r="G4167" i="6"/>
  <c r="M4167" i="6" s="1"/>
  <c r="G4168" i="6"/>
  <c r="M4168" i="6" s="1"/>
  <c r="G4169" i="6"/>
  <c r="M4169" i="6" s="1"/>
  <c r="G4170" i="6"/>
  <c r="M4170" i="6" s="1"/>
  <c r="G4171" i="6"/>
  <c r="M4171" i="6" s="1"/>
  <c r="G4172" i="6"/>
  <c r="M4172" i="6" s="1"/>
  <c r="G4173" i="6"/>
  <c r="M4173" i="6" s="1"/>
  <c r="G4174" i="6"/>
  <c r="M4174" i="6" s="1"/>
  <c r="G4175" i="6"/>
  <c r="M4175" i="6" s="1"/>
  <c r="G4176" i="6"/>
  <c r="M4176" i="6" s="1"/>
  <c r="G4177" i="6"/>
  <c r="M4177" i="6" s="1"/>
  <c r="G4178" i="6"/>
  <c r="M4178" i="6" s="1"/>
  <c r="G4179" i="6"/>
  <c r="M4179" i="6" s="1"/>
  <c r="G4180" i="6"/>
  <c r="M4180" i="6" s="1"/>
  <c r="G4181" i="6"/>
  <c r="M4181" i="6" s="1"/>
  <c r="G4182" i="6"/>
  <c r="M4182" i="6" s="1"/>
  <c r="G4183" i="6"/>
  <c r="M4183" i="6" s="1"/>
  <c r="G4184" i="6"/>
  <c r="M4184" i="6" s="1"/>
  <c r="G4185" i="6"/>
  <c r="M4185" i="6" s="1"/>
  <c r="G4186" i="6"/>
  <c r="M4186" i="6" s="1"/>
  <c r="G4187" i="6"/>
  <c r="M4187" i="6" s="1"/>
  <c r="G4188" i="6"/>
  <c r="M4188" i="6" s="1"/>
  <c r="G4189" i="6"/>
  <c r="M4189" i="6" s="1"/>
  <c r="G4190" i="6"/>
  <c r="M4190" i="6" s="1"/>
  <c r="G4191" i="6"/>
  <c r="M4191" i="6" s="1"/>
  <c r="G4192" i="6"/>
  <c r="M4192" i="6" s="1"/>
  <c r="G4193" i="6"/>
  <c r="M4193" i="6" s="1"/>
  <c r="G4194" i="6"/>
  <c r="M4194" i="6" s="1"/>
  <c r="G4195" i="6"/>
  <c r="M4195" i="6" s="1"/>
  <c r="G4196" i="6"/>
  <c r="M4196" i="6" s="1"/>
  <c r="G4197" i="6"/>
  <c r="M4197" i="6" s="1"/>
  <c r="G4198" i="6"/>
  <c r="M4198" i="6" s="1"/>
  <c r="G4199" i="6"/>
  <c r="M4199" i="6" s="1"/>
  <c r="G4200" i="6"/>
  <c r="M4200" i="6" s="1"/>
  <c r="G4201" i="6"/>
  <c r="M4201" i="6" s="1"/>
  <c r="G4202" i="6"/>
  <c r="M4202" i="6" s="1"/>
  <c r="G4203" i="6"/>
  <c r="M4203" i="6" s="1"/>
  <c r="G4204" i="6"/>
  <c r="M4204" i="6" s="1"/>
  <c r="G4205" i="6"/>
  <c r="M4205" i="6" s="1"/>
  <c r="G4206" i="6"/>
  <c r="M4206" i="6" s="1"/>
  <c r="G4207" i="6"/>
  <c r="M4207" i="6" s="1"/>
  <c r="G4208" i="6"/>
  <c r="M4208" i="6" s="1"/>
  <c r="G4209" i="6"/>
  <c r="M4209" i="6" s="1"/>
  <c r="G4210" i="6"/>
  <c r="M4210" i="6" s="1"/>
  <c r="G4211" i="6"/>
  <c r="M4211" i="6" s="1"/>
  <c r="G4212" i="6"/>
  <c r="M4212" i="6" s="1"/>
  <c r="G4213" i="6"/>
  <c r="M4213" i="6" s="1"/>
  <c r="G4214" i="6"/>
  <c r="M4214" i="6" s="1"/>
  <c r="G4215" i="6"/>
  <c r="M4215" i="6" s="1"/>
  <c r="G4216" i="6"/>
  <c r="M4216" i="6" s="1"/>
  <c r="G4217" i="6"/>
  <c r="M4217" i="6" s="1"/>
  <c r="G4218" i="6"/>
  <c r="M4218" i="6" s="1"/>
  <c r="G4219" i="6"/>
  <c r="M4219" i="6" s="1"/>
  <c r="G4220" i="6"/>
  <c r="M4220" i="6" s="1"/>
  <c r="G4221" i="6"/>
  <c r="M4221" i="6" s="1"/>
  <c r="G4222" i="6"/>
  <c r="M4222" i="6" s="1"/>
  <c r="G4223" i="6"/>
  <c r="M4223" i="6" s="1"/>
  <c r="G4224" i="6"/>
  <c r="M4224" i="6" s="1"/>
  <c r="G4225" i="6"/>
  <c r="M4225" i="6" s="1"/>
  <c r="G4226" i="6"/>
  <c r="M4226" i="6" s="1"/>
  <c r="G4227" i="6"/>
  <c r="M4227" i="6" s="1"/>
  <c r="G4228" i="6"/>
  <c r="M4228" i="6" s="1"/>
  <c r="G4229" i="6"/>
  <c r="M4229" i="6" s="1"/>
  <c r="G4230" i="6"/>
  <c r="M4230" i="6" s="1"/>
  <c r="G4231" i="6"/>
  <c r="M4231" i="6" s="1"/>
  <c r="G4232" i="6"/>
  <c r="M4232" i="6" s="1"/>
  <c r="G4233" i="6"/>
  <c r="M4233" i="6" s="1"/>
  <c r="G4234" i="6"/>
  <c r="M4234" i="6" s="1"/>
  <c r="G4235" i="6"/>
  <c r="M4235" i="6" s="1"/>
  <c r="G4236" i="6"/>
  <c r="M4236" i="6" s="1"/>
  <c r="G4237" i="6"/>
  <c r="M4237" i="6" s="1"/>
  <c r="G4238" i="6"/>
  <c r="M4238" i="6" s="1"/>
  <c r="G4239" i="6"/>
  <c r="M4239" i="6" s="1"/>
  <c r="G4240" i="6"/>
  <c r="M4240" i="6" s="1"/>
  <c r="G4241" i="6"/>
  <c r="M4241" i="6" s="1"/>
  <c r="G4242" i="6"/>
  <c r="M4242" i="6" s="1"/>
  <c r="G4243" i="6"/>
  <c r="M4243" i="6" s="1"/>
  <c r="G4244" i="6"/>
  <c r="M4244" i="6" s="1"/>
  <c r="G4245" i="6"/>
  <c r="M4245" i="6" s="1"/>
  <c r="G4246" i="6"/>
  <c r="M4246" i="6" s="1"/>
  <c r="G4247" i="6"/>
  <c r="M4247" i="6" s="1"/>
  <c r="G4248" i="6"/>
  <c r="M4248" i="6" s="1"/>
  <c r="G4249" i="6"/>
  <c r="M4249" i="6" s="1"/>
  <c r="G4250" i="6"/>
  <c r="M4250" i="6" s="1"/>
  <c r="G4251" i="6"/>
  <c r="M4251" i="6" s="1"/>
  <c r="G4252" i="6"/>
  <c r="M4252" i="6" s="1"/>
  <c r="G4253" i="6"/>
  <c r="M4253" i="6" s="1"/>
  <c r="G4254" i="6"/>
  <c r="M4254" i="6" s="1"/>
  <c r="G4255" i="6"/>
  <c r="M4255" i="6" s="1"/>
  <c r="G4256" i="6"/>
  <c r="M4256" i="6" s="1"/>
  <c r="G4257" i="6"/>
  <c r="M4257" i="6" s="1"/>
  <c r="G4258" i="6"/>
  <c r="M4258" i="6" s="1"/>
  <c r="G4259" i="6"/>
  <c r="M4259" i="6" s="1"/>
  <c r="G4260" i="6"/>
  <c r="M4260" i="6" s="1"/>
  <c r="G4261" i="6"/>
  <c r="M4261" i="6" s="1"/>
  <c r="G4262" i="6"/>
  <c r="M4262" i="6" s="1"/>
  <c r="G4263" i="6"/>
  <c r="M4263" i="6" s="1"/>
  <c r="G4264" i="6"/>
  <c r="M4264" i="6" s="1"/>
  <c r="G4265" i="6"/>
  <c r="M4265" i="6" s="1"/>
  <c r="G4266" i="6"/>
  <c r="M4266" i="6" s="1"/>
  <c r="G4267" i="6"/>
  <c r="M4267" i="6" s="1"/>
  <c r="G4268" i="6"/>
  <c r="M4268" i="6" s="1"/>
  <c r="G4269" i="6"/>
  <c r="M4269" i="6" s="1"/>
  <c r="G4270" i="6"/>
  <c r="M4270" i="6" s="1"/>
  <c r="G4271" i="6"/>
  <c r="M4271" i="6" s="1"/>
  <c r="G4272" i="6"/>
  <c r="M4272" i="6" s="1"/>
  <c r="G4273" i="6"/>
  <c r="M4273" i="6" s="1"/>
  <c r="G4274" i="6"/>
  <c r="M4274" i="6" s="1"/>
  <c r="G4275" i="6"/>
  <c r="M4275" i="6" s="1"/>
  <c r="G4276" i="6"/>
  <c r="M4276" i="6" s="1"/>
  <c r="G4277" i="6"/>
  <c r="M4277" i="6" s="1"/>
  <c r="G4278" i="6"/>
  <c r="M4278" i="6" s="1"/>
  <c r="G4279" i="6"/>
  <c r="M4279" i="6" s="1"/>
  <c r="G4280" i="6"/>
  <c r="M4280" i="6" s="1"/>
  <c r="G4281" i="6"/>
  <c r="M4281" i="6" s="1"/>
  <c r="G4282" i="6"/>
  <c r="M4282" i="6" s="1"/>
  <c r="G4283" i="6"/>
  <c r="M4283" i="6" s="1"/>
  <c r="G4284" i="6"/>
  <c r="M4284" i="6" s="1"/>
  <c r="G4285" i="6"/>
  <c r="M4285" i="6" s="1"/>
  <c r="G4286" i="6"/>
  <c r="M4286" i="6" s="1"/>
  <c r="G4287" i="6"/>
  <c r="M4287" i="6" s="1"/>
  <c r="G4288" i="6"/>
  <c r="M4288" i="6" s="1"/>
  <c r="G4289" i="6"/>
  <c r="M4289" i="6" s="1"/>
  <c r="G4290" i="6"/>
  <c r="M4290" i="6" s="1"/>
  <c r="G4291" i="6"/>
  <c r="M4291" i="6" s="1"/>
  <c r="G4292" i="6"/>
  <c r="M4292" i="6" s="1"/>
  <c r="G4293" i="6"/>
  <c r="M4293" i="6" s="1"/>
  <c r="G4294" i="6"/>
  <c r="M4294" i="6" s="1"/>
  <c r="G4295" i="6"/>
  <c r="M4295" i="6" s="1"/>
  <c r="G4296" i="6"/>
  <c r="M4296" i="6" s="1"/>
  <c r="G4297" i="6"/>
  <c r="M4297" i="6" s="1"/>
  <c r="G4298" i="6"/>
  <c r="M4298" i="6" s="1"/>
  <c r="G4299" i="6"/>
  <c r="M4299" i="6" s="1"/>
  <c r="G4300" i="6"/>
  <c r="M4300" i="6" s="1"/>
  <c r="G4301" i="6"/>
  <c r="M4301" i="6" s="1"/>
  <c r="G4302" i="6"/>
  <c r="M4302" i="6" s="1"/>
  <c r="G4303" i="6"/>
  <c r="M4303" i="6" s="1"/>
  <c r="G4304" i="6"/>
  <c r="M4304" i="6" s="1"/>
  <c r="G4305" i="6"/>
  <c r="M4305" i="6" s="1"/>
  <c r="G4306" i="6"/>
  <c r="M4306" i="6" s="1"/>
  <c r="G4307" i="6"/>
  <c r="M4307" i="6" s="1"/>
  <c r="G4308" i="6"/>
  <c r="M4308" i="6" s="1"/>
  <c r="G4309" i="6"/>
  <c r="M4309" i="6" s="1"/>
  <c r="G4310" i="6"/>
  <c r="M4310" i="6" s="1"/>
  <c r="G4311" i="6"/>
  <c r="M4311" i="6" s="1"/>
  <c r="G4312" i="6"/>
  <c r="M4312" i="6" s="1"/>
  <c r="G4313" i="6"/>
  <c r="M4313" i="6" s="1"/>
  <c r="G4314" i="6"/>
  <c r="M4314" i="6" s="1"/>
  <c r="G4315" i="6"/>
  <c r="M4315" i="6" s="1"/>
  <c r="G4316" i="6"/>
  <c r="M4316" i="6" s="1"/>
  <c r="G4317" i="6"/>
  <c r="M4317" i="6" s="1"/>
  <c r="G4318" i="6"/>
  <c r="M4318" i="6" s="1"/>
  <c r="G4319" i="6"/>
  <c r="M4319" i="6" s="1"/>
  <c r="G4320" i="6"/>
  <c r="M4320" i="6" s="1"/>
  <c r="G4321" i="6"/>
  <c r="M4321" i="6" s="1"/>
  <c r="G4322" i="6"/>
  <c r="M4322" i="6" s="1"/>
  <c r="G4323" i="6"/>
  <c r="M4323" i="6" s="1"/>
  <c r="G4324" i="6"/>
  <c r="M4324" i="6" s="1"/>
  <c r="G4325" i="6"/>
  <c r="M4325" i="6" s="1"/>
  <c r="G4326" i="6"/>
  <c r="M4326" i="6" s="1"/>
  <c r="G4327" i="6"/>
  <c r="M4327" i="6" s="1"/>
  <c r="G4328" i="6"/>
  <c r="M4328" i="6" s="1"/>
  <c r="G4329" i="6"/>
  <c r="M4329" i="6" s="1"/>
  <c r="G4330" i="6"/>
  <c r="M4330" i="6" s="1"/>
  <c r="G4331" i="6"/>
  <c r="M4331" i="6" s="1"/>
  <c r="G4332" i="6"/>
  <c r="M4332" i="6" s="1"/>
  <c r="G4333" i="6"/>
  <c r="M4333" i="6" s="1"/>
  <c r="G4334" i="6"/>
  <c r="M4334" i="6" s="1"/>
  <c r="G4335" i="6"/>
  <c r="M4335" i="6" s="1"/>
  <c r="G4336" i="6"/>
  <c r="M4336" i="6" s="1"/>
  <c r="G4337" i="6"/>
  <c r="M4337" i="6" s="1"/>
  <c r="G4338" i="6"/>
  <c r="M4338" i="6" s="1"/>
  <c r="G4339" i="6"/>
  <c r="M4339" i="6" s="1"/>
  <c r="G4340" i="6"/>
  <c r="M4340" i="6" s="1"/>
  <c r="G4341" i="6"/>
  <c r="M4341" i="6" s="1"/>
  <c r="G4342" i="6"/>
  <c r="M4342" i="6" s="1"/>
  <c r="G4343" i="6"/>
  <c r="M4343" i="6" s="1"/>
  <c r="G4344" i="6"/>
  <c r="M4344" i="6" s="1"/>
  <c r="G4345" i="6"/>
  <c r="M4345" i="6" s="1"/>
  <c r="G4346" i="6"/>
  <c r="M4346" i="6" s="1"/>
  <c r="G4347" i="6"/>
  <c r="M4347" i="6" s="1"/>
  <c r="G4348" i="6"/>
  <c r="M4348" i="6" s="1"/>
  <c r="G4349" i="6"/>
  <c r="M4349" i="6" s="1"/>
  <c r="G4350" i="6"/>
  <c r="M4350" i="6" s="1"/>
  <c r="G4351" i="6"/>
  <c r="M4351" i="6" s="1"/>
  <c r="G4352" i="6"/>
  <c r="M4352" i="6" s="1"/>
  <c r="G4353" i="6"/>
  <c r="M4353" i="6" s="1"/>
  <c r="G4354" i="6"/>
  <c r="M4354" i="6" s="1"/>
  <c r="G4355" i="6"/>
  <c r="M4355" i="6" s="1"/>
  <c r="G4356" i="6"/>
  <c r="M4356" i="6" s="1"/>
  <c r="G4357" i="6"/>
  <c r="M4357" i="6" s="1"/>
  <c r="G4358" i="6"/>
  <c r="M4358" i="6" s="1"/>
  <c r="G4359" i="6"/>
  <c r="M4359" i="6" s="1"/>
  <c r="G4360" i="6"/>
  <c r="M4360" i="6" s="1"/>
  <c r="G4361" i="6"/>
  <c r="M4361" i="6" s="1"/>
  <c r="G4362" i="6"/>
  <c r="M4362" i="6" s="1"/>
  <c r="G4363" i="6"/>
  <c r="M4363" i="6" s="1"/>
  <c r="G4364" i="6"/>
  <c r="M4364" i="6" s="1"/>
  <c r="G4365" i="6"/>
  <c r="M4365" i="6" s="1"/>
  <c r="G4366" i="6"/>
  <c r="M4366" i="6" s="1"/>
  <c r="G4367" i="6"/>
  <c r="M4367" i="6" s="1"/>
  <c r="G4368" i="6"/>
  <c r="M4368" i="6" s="1"/>
  <c r="G4369" i="6"/>
  <c r="M4369" i="6" s="1"/>
  <c r="G4370" i="6"/>
  <c r="M4370" i="6" s="1"/>
  <c r="G4371" i="6"/>
  <c r="M4371" i="6" s="1"/>
  <c r="G4372" i="6"/>
  <c r="M4372" i="6" s="1"/>
  <c r="G4373" i="6"/>
  <c r="M4373" i="6" s="1"/>
  <c r="G4374" i="6"/>
  <c r="M4374" i="6" s="1"/>
  <c r="G4375" i="6"/>
  <c r="M4375" i="6" s="1"/>
  <c r="G4376" i="6"/>
  <c r="M4376" i="6" s="1"/>
  <c r="G4377" i="6"/>
  <c r="M4377" i="6" s="1"/>
  <c r="G4378" i="6"/>
  <c r="M4378" i="6" s="1"/>
  <c r="G4379" i="6"/>
  <c r="M4379" i="6" s="1"/>
  <c r="G4380" i="6"/>
  <c r="M4380" i="6" s="1"/>
  <c r="G4381" i="6"/>
  <c r="M4381" i="6" s="1"/>
  <c r="G4382" i="6"/>
  <c r="M4382" i="6" s="1"/>
  <c r="G4383" i="6"/>
  <c r="M4383" i="6" s="1"/>
  <c r="G4384" i="6"/>
  <c r="M4384" i="6" s="1"/>
  <c r="G4385" i="6"/>
  <c r="M4385" i="6" s="1"/>
  <c r="G4386" i="6"/>
  <c r="M4386" i="6" s="1"/>
  <c r="G4387" i="6"/>
  <c r="M4387" i="6" s="1"/>
  <c r="G4388" i="6"/>
  <c r="M4388" i="6" s="1"/>
  <c r="G4389" i="6"/>
  <c r="M4389" i="6" s="1"/>
  <c r="G4390" i="6"/>
  <c r="M4390" i="6" s="1"/>
  <c r="G4391" i="6"/>
  <c r="M4391" i="6" s="1"/>
  <c r="G4392" i="6"/>
  <c r="M4392" i="6" s="1"/>
  <c r="G4393" i="6"/>
  <c r="M4393" i="6" s="1"/>
  <c r="G4394" i="6"/>
  <c r="M4394" i="6" s="1"/>
  <c r="G4395" i="6"/>
  <c r="M4395" i="6" s="1"/>
  <c r="G4396" i="6"/>
  <c r="M4396" i="6" s="1"/>
  <c r="G4397" i="6"/>
  <c r="M4397" i="6" s="1"/>
  <c r="G4398" i="6"/>
  <c r="M4398" i="6" s="1"/>
  <c r="G4399" i="6"/>
  <c r="M4399" i="6" s="1"/>
  <c r="G4400" i="6"/>
  <c r="M4400" i="6" s="1"/>
  <c r="G4401" i="6"/>
  <c r="M4401" i="6" s="1"/>
  <c r="G4402" i="6"/>
  <c r="M4402" i="6" s="1"/>
  <c r="G4403" i="6"/>
  <c r="M4403" i="6" s="1"/>
  <c r="G4404" i="6"/>
  <c r="M4404" i="6" s="1"/>
  <c r="G4405" i="6"/>
  <c r="M4405" i="6" s="1"/>
  <c r="G4406" i="6"/>
  <c r="M4406" i="6" s="1"/>
  <c r="G4407" i="6"/>
  <c r="M4407" i="6" s="1"/>
  <c r="G4408" i="6"/>
  <c r="M4408" i="6" s="1"/>
  <c r="G4409" i="6"/>
  <c r="M4409" i="6" s="1"/>
  <c r="G4410" i="6"/>
  <c r="M4410" i="6" s="1"/>
  <c r="G4411" i="6"/>
  <c r="M4411" i="6" s="1"/>
  <c r="G4412" i="6"/>
  <c r="M4412" i="6" s="1"/>
  <c r="G4413" i="6"/>
  <c r="M4413" i="6" s="1"/>
  <c r="G4414" i="6"/>
  <c r="M4414" i="6" s="1"/>
  <c r="G4415" i="6"/>
  <c r="M4415" i="6" s="1"/>
  <c r="G4416" i="6"/>
  <c r="M4416" i="6" s="1"/>
  <c r="G4417" i="6"/>
  <c r="M4417" i="6" s="1"/>
  <c r="G4418" i="6"/>
  <c r="M4418" i="6" s="1"/>
  <c r="G4419" i="6"/>
  <c r="M4419" i="6" s="1"/>
  <c r="G4420" i="6"/>
  <c r="M4420" i="6" s="1"/>
  <c r="G4421" i="6"/>
  <c r="M4421" i="6" s="1"/>
  <c r="G4422" i="6"/>
  <c r="M4422" i="6" s="1"/>
  <c r="G4423" i="6"/>
  <c r="M4423" i="6" s="1"/>
  <c r="G4424" i="6"/>
  <c r="M4424" i="6" s="1"/>
  <c r="G4425" i="6"/>
  <c r="M4425" i="6" s="1"/>
  <c r="G4426" i="6"/>
  <c r="M4426" i="6" s="1"/>
  <c r="G4427" i="6"/>
  <c r="M4427" i="6" s="1"/>
  <c r="G4428" i="6"/>
  <c r="M4428" i="6" s="1"/>
  <c r="G4429" i="6"/>
  <c r="M4429" i="6" s="1"/>
  <c r="G4430" i="6"/>
  <c r="M4430" i="6" s="1"/>
  <c r="G4431" i="6"/>
  <c r="M4431" i="6" s="1"/>
  <c r="G4432" i="6"/>
  <c r="M4432" i="6" s="1"/>
  <c r="G4433" i="6"/>
  <c r="M4433" i="6" s="1"/>
  <c r="G4434" i="6"/>
  <c r="M4434" i="6" s="1"/>
  <c r="G4435" i="6"/>
  <c r="M4435" i="6" s="1"/>
  <c r="G4436" i="6"/>
  <c r="M4436" i="6" s="1"/>
  <c r="G4437" i="6"/>
  <c r="M4437" i="6" s="1"/>
  <c r="G4438" i="6"/>
  <c r="M4438" i="6" s="1"/>
  <c r="G4439" i="6"/>
  <c r="M4439" i="6" s="1"/>
  <c r="G4440" i="6"/>
  <c r="M4440" i="6" s="1"/>
  <c r="G4441" i="6"/>
  <c r="M4441" i="6" s="1"/>
  <c r="G4442" i="6"/>
  <c r="M4442" i="6" s="1"/>
  <c r="G4443" i="6"/>
  <c r="M4443" i="6" s="1"/>
  <c r="G4444" i="6"/>
  <c r="M4444" i="6" s="1"/>
  <c r="G4445" i="6"/>
  <c r="M4445" i="6" s="1"/>
  <c r="G4446" i="6"/>
  <c r="M4446" i="6" s="1"/>
  <c r="G4447" i="6"/>
  <c r="M4447" i="6" s="1"/>
  <c r="G4448" i="6"/>
  <c r="M4448" i="6" s="1"/>
  <c r="G4449" i="6"/>
  <c r="M4449" i="6" s="1"/>
  <c r="G4450" i="6"/>
  <c r="M4450" i="6" s="1"/>
  <c r="G4451" i="6"/>
  <c r="M4451" i="6" s="1"/>
  <c r="G4452" i="6"/>
  <c r="M4452" i="6" s="1"/>
  <c r="G4453" i="6"/>
  <c r="M4453" i="6" s="1"/>
  <c r="G4454" i="6"/>
  <c r="M4454" i="6" s="1"/>
  <c r="G4455" i="6"/>
  <c r="M4455" i="6" s="1"/>
  <c r="G4456" i="6"/>
  <c r="M4456" i="6" s="1"/>
  <c r="G4457" i="6"/>
  <c r="M4457" i="6" s="1"/>
  <c r="G4458" i="6"/>
  <c r="M4458" i="6" s="1"/>
  <c r="G4459" i="6"/>
  <c r="M4459" i="6" s="1"/>
  <c r="G4460" i="6"/>
  <c r="M4460" i="6" s="1"/>
  <c r="G4461" i="6"/>
  <c r="M4461" i="6" s="1"/>
  <c r="G4462" i="6"/>
  <c r="M4462" i="6" s="1"/>
  <c r="G4463" i="6"/>
  <c r="M4463" i="6" s="1"/>
  <c r="G4464" i="6"/>
  <c r="M4464" i="6" s="1"/>
  <c r="G4465" i="6"/>
  <c r="M4465" i="6" s="1"/>
  <c r="G4466" i="6"/>
  <c r="M4466" i="6" s="1"/>
  <c r="G4467" i="6"/>
  <c r="M4467" i="6" s="1"/>
  <c r="G4468" i="6"/>
  <c r="M4468" i="6" s="1"/>
  <c r="G4469" i="6"/>
  <c r="M4469" i="6" s="1"/>
  <c r="G4470" i="6"/>
  <c r="M4470" i="6" s="1"/>
  <c r="G4471" i="6"/>
  <c r="M4471" i="6" s="1"/>
  <c r="G4472" i="6"/>
  <c r="M4472" i="6" s="1"/>
  <c r="G4473" i="6"/>
  <c r="M4473" i="6" s="1"/>
  <c r="G4474" i="6"/>
  <c r="M4474" i="6" s="1"/>
  <c r="G4475" i="6"/>
  <c r="M4475" i="6" s="1"/>
  <c r="G4476" i="6"/>
  <c r="M4476" i="6" s="1"/>
  <c r="G4477" i="6"/>
  <c r="M4477" i="6" s="1"/>
  <c r="G4478" i="6"/>
  <c r="M4478" i="6" s="1"/>
  <c r="G4479" i="6"/>
  <c r="M4479" i="6" s="1"/>
  <c r="G4480" i="6"/>
  <c r="M4480" i="6" s="1"/>
  <c r="G4481" i="6"/>
  <c r="M4481" i="6" s="1"/>
  <c r="G4482" i="6"/>
  <c r="M4482" i="6" s="1"/>
  <c r="G4483" i="6"/>
  <c r="M4483" i="6" s="1"/>
  <c r="G4484" i="6"/>
  <c r="M4484" i="6" s="1"/>
  <c r="G4485" i="6"/>
  <c r="M4485" i="6" s="1"/>
  <c r="G4486" i="6"/>
  <c r="M4486" i="6" s="1"/>
  <c r="G4487" i="6"/>
  <c r="M4487" i="6" s="1"/>
  <c r="G4488" i="6"/>
  <c r="M4488" i="6" s="1"/>
  <c r="G4489" i="6"/>
  <c r="M4489" i="6" s="1"/>
  <c r="G4490" i="6"/>
  <c r="M4490" i="6" s="1"/>
  <c r="G4491" i="6"/>
  <c r="M4491" i="6" s="1"/>
  <c r="G4492" i="6"/>
  <c r="M4492" i="6" s="1"/>
  <c r="G4493" i="6"/>
  <c r="M4493" i="6" s="1"/>
  <c r="G4494" i="6"/>
  <c r="M4494" i="6" s="1"/>
  <c r="G4495" i="6"/>
  <c r="M4495" i="6" s="1"/>
  <c r="G4496" i="6"/>
  <c r="M4496" i="6" s="1"/>
  <c r="G4497" i="6"/>
  <c r="M4497" i="6" s="1"/>
  <c r="G4498" i="6"/>
  <c r="M4498" i="6" s="1"/>
  <c r="G4499" i="6"/>
  <c r="M4499" i="6" s="1"/>
  <c r="G4500" i="6"/>
  <c r="M4500" i="6" s="1"/>
  <c r="G4501" i="6"/>
  <c r="M4501" i="6" s="1"/>
  <c r="G4502" i="6"/>
  <c r="M4502" i="6" s="1"/>
  <c r="G4503" i="6"/>
  <c r="M4503" i="6" s="1"/>
  <c r="G4504" i="6"/>
  <c r="M4504" i="6" s="1"/>
  <c r="G4505" i="6"/>
  <c r="M4505" i="6" s="1"/>
  <c r="G4506" i="6"/>
  <c r="M4506" i="6" s="1"/>
  <c r="G4507" i="6"/>
  <c r="M4507" i="6" s="1"/>
  <c r="G4508" i="6"/>
  <c r="M4508" i="6" s="1"/>
  <c r="G4509" i="6"/>
  <c r="M4509" i="6" s="1"/>
  <c r="G4510" i="6"/>
  <c r="M4510" i="6" s="1"/>
  <c r="G4511" i="6"/>
  <c r="M4511" i="6" s="1"/>
  <c r="G4512" i="6"/>
  <c r="M4512" i="6" s="1"/>
  <c r="G4513" i="6"/>
  <c r="M4513" i="6" s="1"/>
  <c r="G4514" i="6"/>
  <c r="M4514" i="6" s="1"/>
  <c r="G4515" i="6"/>
  <c r="M4515" i="6" s="1"/>
  <c r="G4516" i="6"/>
  <c r="M4516" i="6" s="1"/>
  <c r="G4517" i="6"/>
  <c r="M4517" i="6" s="1"/>
  <c r="G4518" i="6"/>
  <c r="M4518" i="6" s="1"/>
  <c r="G4519" i="6"/>
  <c r="M4519" i="6" s="1"/>
  <c r="G4520" i="6"/>
  <c r="M4520" i="6" s="1"/>
  <c r="G4521" i="6"/>
  <c r="M4521" i="6" s="1"/>
  <c r="G4522" i="6"/>
  <c r="M4522" i="6" s="1"/>
  <c r="G4523" i="6"/>
  <c r="M4523" i="6" s="1"/>
  <c r="G4524" i="6"/>
  <c r="M4524" i="6" s="1"/>
  <c r="G4525" i="6"/>
  <c r="M4525" i="6" s="1"/>
  <c r="G4526" i="6"/>
  <c r="M4526" i="6" s="1"/>
  <c r="G4527" i="6"/>
  <c r="M4527" i="6" s="1"/>
  <c r="G4528" i="6"/>
  <c r="M4528" i="6" s="1"/>
  <c r="G4529" i="6"/>
  <c r="M4529" i="6" s="1"/>
  <c r="G4530" i="6"/>
  <c r="M4530" i="6" s="1"/>
  <c r="G4531" i="6"/>
  <c r="M4531" i="6" s="1"/>
  <c r="G4532" i="6"/>
  <c r="M4532" i="6" s="1"/>
  <c r="G4533" i="6"/>
  <c r="M4533" i="6" s="1"/>
  <c r="G4534" i="6"/>
  <c r="M4534" i="6" s="1"/>
  <c r="G4535" i="6"/>
  <c r="M4535" i="6" s="1"/>
  <c r="G4536" i="6"/>
  <c r="M4536" i="6" s="1"/>
  <c r="G4537" i="6"/>
  <c r="M4537" i="6" s="1"/>
  <c r="G4538" i="6"/>
  <c r="M4538" i="6" s="1"/>
  <c r="G4539" i="6"/>
  <c r="M4539" i="6" s="1"/>
  <c r="G4540" i="6"/>
  <c r="M4540" i="6" s="1"/>
  <c r="G4541" i="6"/>
  <c r="M4541" i="6" s="1"/>
  <c r="G4542" i="6"/>
  <c r="M4542" i="6" s="1"/>
  <c r="G4543" i="6"/>
  <c r="M4543" i="6" s="1"/>
  <c r="G4544" i="6"/>
  <c r="M4544" i="6" s="1"/>
  <c r="G4545" i="6"/>
  <c r="M4545" i="6" s="1"/>
  <c r="G4546" i="6"/>
  <c r="M4546" i="6" s="1"/>
  <c r="G4547" i="6"/>
  <c r="M4547" i="6" s="1"/>
  <c r="G4548" i="6"/>
  <c r="M4548" i="6" s="1"/>
  <c r="G4549" i="6"/>
  <c r="M4549" i="6" s="1"/>
  <c r="G4550" i="6"/>
  <c r="M4550" i="6" s="1"/>
  <c r="G4551" i="6"/>
  <c r="M4551" i="6" s="1"/>
  <c r="G4552" i="6"/>
  <c r="M4552" i="6" s="1"/>
  <c r="G4553" i="6"/>
  <c r="M4553" i="6" s="1"/>
  <c r="G4554" i="6"/>
  <c r="M4554" i="6" s="1"/>
  <c r="G4555" i="6"/>
  <c r="M4555" i="6" s="1"/>
  <c r="G4556" i="6"/>
  <c r="M4556" i="6" s="1"/>
  <c r="G4557" i="6"/>
  <c r="M4557" i="6" s="1"/>
  <c r="G4558" i="6"/>
  <c r="M4558" i="6" s="1"/>
  <c r="G4559" i="6"/>
  <c r="M4559" i="6" s="1"/>
  <c r="G4560" i="6"/>
  <c r="M4560" i="6" s="1"/>
  <c r="G4561" i="6"/>
  <c r="M4561" i="6" s="1"/>
  <c r="G4562" i="6"/>
  <c r="M4562" i="6" s="1"/>
  <c r="G4563" i="6"/>
  <c r="M4563" i="6" s="1"/>
  <c r="G4564" i="6"/>
  <c r="M4564" i="6" s="1"/>
  <c r="G4565" i="6"/>
  <c r="M4565" i="6" s="1"/>
  <c r="G4566" i="6"/>
  <c r="M4566" i="6" s="1"/>
  <c r="G4567" i="6"/>
  <c r="M4567" i="6" s="1"/>
  <c r="G4568" i="6"/>
  <c r="M4568" i="6" s="1"/>
  <c r="G4569" i="6"/>
  <c r="M4569" i="6" s="1"/>
  <c r="G4570" i="6"/>
  <c r="M4570" i="6" s="1"/>
  <c r="G4571" i="6"/>
  <c r="M4571" i="6" s="1"/>
  <c r="G4572" i="6"/>
  <c r="M4572" i="6" s="1"/>
  <c r="G4573" i="6"/>
  <c r="M4573" i="6" s="1"/>
  <c r="G4574" i="6"/>
  <c r="M4574" i="6" s="1"/>
  <c r="G4575" i="6"/>
  <c r="M4575" i="6" s="1"/>
  <c r="G4576" i="6"/>
  <c r="M4576" i="6" s="1"/>
  <c r="G4577" i="6"/>
  <c r="M4577" i="6" s="1"/>
  <c r="G4578" i="6"/>
  <c r="M4578" i="6" s="1"/>
  <c r="G4579" i="6"/>
  <c r="M4579" i="6" s="1"/>
  <c r="G4580" i="6"/>
  <c r="M4580" i="6" s="1"/>
  <c r="G4581" i="6"/>
  <c r="M4581" i="6" s="1"/>
  <c r="G4582" i="6"/>
  <c r="M4582" i="6" s="1"/>
  <c r="G4583" i="6"/>
  <c r="M4583" i="6" s="1"/>
  <c r="G4584" i="6"/>
  <c r="M4584" i="6" s="1"/>
  <c r="G4585" i="6"/>
  <c r="M4585" i="6" s="1"/>
  <c r="G4586" i="6"/>
  <c r="M4586" i="6" s="1"/>
  <c r="G4587" i="6"/>
  <c r="M4587" i="6" s="1"/>
  <c r="G4588" i="6"/>
  <c r="M4588" i="6" s="1"/>
  <c r="G4589" i="6"/>
  <c r="M4589" i="6" s="1"/>
  <c r="G4590" i="6"/>
  <c r="M4590" i="6" s="1"/>
  <c r="G4591" i="6"/>
  <c r="M4591" i="6" s="1"/>
  <c r="G4592" i="6"/>
  <c r="M4592" i="6" s="1"/>
  <c r="G4593" i="6"/>
  <c r="M4593" i="6" s="1"/>
  <c r="G4594" i="6"/>
  <c r="M4594" i="6" s="1"/>
  <c r="G4595" i="6"/>
  <c r="M4595" i="6" s="1"/>
  <c r="G4596" i="6"/>
  <c r="M4596" i="6" s="1"/>
  <c r="G4597" i="6"/>
  <c r="M4597" i="6" s="1"/>
  <c r="G4598" i="6"/>
  <c r="M4598" i="6" s="1"/>
  <c r="G4599" i="6"/>
  <c r="M4599" i="6" s="1"/>
  <c r="G4600" i="6"/>
  <c r="M4600" i="6" s="1"/>
  <c r="G4601" i="6"/>
  <c r="M4601" i="6" s="1"/>
  <c r="G4602" i="6"/>
  <c r="M4602" i="6" s="1"/>
  <c r="G4603" i="6"/>
  <c r="M4603" i="6" s="1"/>
  <c r="G4604" i="6"/>
  <c r="M4604" i="6" s="1"/>
  <c r="G4605" i="6"/>
  <c r="M4605" i="6" s="1"/>
  <c r="G4606" i="6"/>
  <c r="M4606" i="6" s="1"/>
  <c r="G4607" i="6"/>
  <c r="M4607" i="6" s="1"/>
  <c r="G4608" i="6"/>
  <c r="M4608" i="6" s="1"/>
  <c r="G4609" i="6"/>
  <c r="M4609" i="6" s="1"/>
  <c r="G4610" i="6"/>
  <c r="M4610" i="6" s="1"/>
  <c r="G4611" i="6"/>
  <c r="M4611" i="6" s="1"/>
  <c r="G4612" i="6"/>
  <c r="M4612" i="6" s="1"/>
  <c r="G4613" i="6"/>
  <c r="M4613" i="6" s="1"/>
  <c r="G4614" i="6"/>
  <c r="M4614" i="6" s="1"/>
  <c r="G4615" i="6"/>
  <c r="M4615" i="6" s="1"/>
  <c r="G4616" i="6"/>
  <c r="M4616" i="6" s="1"/>
  <c r="G4617" i="6"/>
  <c r="M4617" i="6" s="1"/>
  <c r="G4618" i="6"/>
  <c r="M4618" i="6" s="1"/>
  <c r="G4619" i="6"/>
  <c r="M4619" i="6" s="1"/>
  <c r="G4620" i="6"/>
  <c r="M4620" i="6" s="1"/>
  <c r="G4621" i="6"/>
  <c r="M4621" i="6" s="1"/>
  <c r="G4622" i="6"/>
  <c r="M4622" i="6" s="1"/>
  <c r="G4623" i="6"/>
  <c r="M4623" i="6" s="1"/>
  <c r="G4624" i="6"/>
  <c r="M4624" i="6" s="1"/>
  <c r="G4625" i="6"/>
  <c r="M4625" i="6" s="1"/>
  <c r="G4626" i="6"/>
  <c r="M4626" i="6" s="1"/>
  <c r="G4627" i="6"/>
  <c r="M4627" i="6" s="1"/>
  <c r="G4628" i="6"/>
  <c r="M4628" i="6" s="1"/>
  <c r="G4629" i="6"/>
  <c r="M4629" i="6" s="1"/>
  <c r="G4630" i="6"/>
  <c r="M4630" i="6" s="1"/>
  <c r="G4631" i="6"/>
  <c r="M4631" i="6" s="1"/>
  <c r="G4632" i="6"/>
  <c r="M4632" i="6" s="1"/>
  <c r="G4633" i="6"/>
  <c r="M4633" i="6" s="1"/>
  <c r="G4634" i="6"/>
  <c r="M4634" i="6" s="1"/>
  <c r="G4635" i="6"/>
  <c r="M4635" i="6" s="1"/>
  <c r="G4636" i="6"/>
  <c r="M4636" i="6" s="1"/>
  <c r="G4637" i="6"/>
  <c r="M4637" i="6" s="1"/>
  <c r="G4638" i="6"/>
  <c r="M4638" i="6" s="1"/>
  <c r="G4639" i="6"/>
  <c r="M4639" i="6" s="1"/>
  <c r="G4640" i="6"/>
  <c r="M4640" i="6" s="1"/>
  <c r="G4641" i="6"/>
  <c r="M4641" i="6" s="1"/>
  <c r="G4642" i="6"/>
  <c r="M4642" i="6" s="1"/>
  <c r="G4643" i="6"/>
  <c r="M4643" i="6" s="1"/>
  <c r="G4644" i="6"/>
  <c r="M4644" i="6" s="1"/>
  <c r="G4645" i="6"/>
  <c r="M4645" i="6" s="1"/>
  <c r="G4646" i="6"/>
  <c r="M4646" i="6" s="1"/>
  <c r="G4647" i="6"/>
  <c r="M4647" i="6" s="1"/>
  <c r="G4648" i="6"/>
  <c r="M4648" i="6" s="1"/>
  <c r="G4649" i="6"/>
  <c r="M4649" i="6" s="1"/>
  <c r="G4650" i="6"/>
  <c r="M4650" i="6" s="1"/>
  <c r="G4651" i="6"/>
  <c r="M4651" i="6" s="1"/>
  <c r="G4652" i="6"/>
  <c r="M4652" i="6" s="1"/>
  <c r="G4653" i="6"/>
  <c r="M4653" i="6" s="1"/>
  <c r="G4654" i="6"/>
  <c r="M4654" i="6" s="1"/>
  <c r="G4655" i="6"/>
  <c r="M4655" i="6" s="1"/>
  <c r="G4656" i="6"/>
  <c r="M4656" i="6" s="1"/>
  <c r="G4657" i="6"/>
  <c r="M4657" i="6" s="1"/>
  <c r="G4658" i="6"/>
  <c r="M4658" i="6" s="1"/>
  <c r="G4659" i="6"/>
  <c r="M4659" i="6" s="1"/>
  <c r="G4660" i="6"/>
  <c r="M4660" i="6" s="1"/>
  <c r="G4661" i="6"/>
  <c r="M4661" i="6" s="1"/>
  <c r="G4662" i="6"/>
  <c r="M4662" i="6" s="1"/>
  <c r="G4663" i="6"/>
  <c r="M4663" i="6" s="1"/>
  <c r="G4664" i="6"/>
  <c r="M4664" i="6" s="1"/>
  <c r="G4665" i="6"/>
  <c r="M4665" i="6" s="1"/>
  <c r="G4666" i="6"/>
  <c r="M4666" i="6" s="1"/>
  <c r="G4667" i="6"/>
  <c r="M4667" i="6" s="1"/>
  <c r="G4668" i="6"/>
  <c r="M4668" i="6" s="1"/>
  <c r="G4669" i="6"/>
  <c r="M4669" i="6" s="1"/>
  <c r="G4670" i="6"/>
  <c r="M4670" i="6" s="1"/>
  <c r="G4671" i="6"/>
  <c r="M4671" i="6" s="1"/>
  <c r="G4672" i="6"/>
  <c r="M4672" i="6" s="1"/>
  <c r="G4673" i="6"/>
  <c r="M4673" i="6" s="1"/>
  <c r="G4674" i="6"/>
  <c r="M4674" i="6" s="1"/>
  <c r="G4675" i="6"/>
  <c r="M4675" i="6" s="1"/>
  <c r="G4676" i="6"/>
  <c r="M4676" i="6" s="1"/>
  <c r="G4677" i="6"/>
  <c r="M4677" i="6" s="1"/>
  <c r="G4678" i="6"/>
  <c r="M4678" i="6" s="1"/>
  <c r="G4679" i="6"/>
  <c r="M4679" i="6" s="1"/>
  <c r="G4680" i="6"/>
  <c r="M4680" i="6" s="1"/>
  <c r="G4681" i="6"/>
  <c r="M4681" i="6" s="1"/>
  <c r="G4682" i="6"/>
  <c r="M4682" i="6" s="1"/>
  <c r="G4683" i="6"/>
  <c r="M4683" i="6" s="1"/>
  <c r="G4684" i="6"/>
  <c r="M4684" i="6" s="1"/>
  <c r="G4685" i="6"/>
  <c r="M4685" i="6" s="1"/>
  <c r="G4686" i="6"/>
  <c r="M4686" i="6" s="1"/>
  <c r="G4687" i="6"/>
  <c r="M4687" i="6" s="1"/>
  <c r="G4688" i="6"/>
  <c r="M4688" i="6" s="1"/>
  <c r="G4689" i="6"/>
  <c r="M4689" i="6" s="1"/>
  <c r="G4690" i="6"/>
  <c r="M4690" i="6" s="1"/>
  <c r="G4691" i="6"/>
  <c r="M4691" i="6" s="1"/>
  <c r="G4692" i="6"/>
  <c r="M4692" i="6" s="1"/>
  <c r="G4693" i="6"/>
  <c r="M4693" i="6" s="1"/>
  <c r="G4694" i="6"/>
  <c r="M4694" i="6" s="1"/>
  <c r="G4695" i="6"/>
  <c r="M4695" i="6" s="1"/>
  <c r="G4696" i="6"/>
  <c r="M4696" i="6" s="1"/>
  <c r="G4697" i="6"/>
  <c r="M4697" i="6" s="1"/>
  <c r="G4698" i="6"/>
  <c r="M4698" i="6" s="1"/>
  <c r="G4699" i="6"/>
  <c r="M4699" i="6" s="1"/>
  <c r="G4700" i="6"/>
  <c r="M4700" i="6" s="1"/>
  <c r="G4701" i="6"/>
  <c r="M4701" i="6" s="1"/>
  <c r="G4702" i="6"/>
  <c r="M4702" i="6" s="1"/>
  <c r="G4703" i="6"/>
  <c r="M4703" i="6" s="1"/>
  <c r="G4704" i="6"/>
  <c r="M4704" i="6" s="1"/>
  <c r="G4705" i="6"/>
  <c r="M4705" i="6" s="1"/>
  <c r="G4706" i="6"/>
  <c r="M4706" i="6" s="1"/>
  <c r="G4707" i="6"/>
  <c r="M4707" i="6" s="1"/>
  <c r="G4708" i="6"/>
  <c r="M4708" i="6" s="1"/>
  <c r="G4709" i="6"/>
  <c r="M4709" i="6" s="1"/>
  <c r="G4710" i="6"/>
  <c r="M4710" i="6" s="1"/>
  <c r="G4711" i="6"/>
  <c r="M4711" i="6" s="1"/>
  <c r="G4712" i="6"/>
  <c r="M4712" i="6" s="1"/>
  <c r="G4713" i="6"/>
  <c r="M4713" i="6" s="1"/>
  <c r="G4714" i="6"/>
  <c r="M4714" i="6" s="1"/>
  <c r="G4715" i="6"/>
  <c r="M4715" i="6" s="1"/>
  <c r="G4716" i="6"/>
  <c r="M4716" i="6" s="1"/>
  <c r="G4717" i="6"/>
  <c r="M4717" i="6" s="1"/>
  <c r="G4718" i="6"/>
  <c r="M4718" i="6" s="1"/>
  <c r="G4719" i="6"/>
  <c r="M4719" i="6" s="1"/>
  <c r="G4720" i="6"/>
  <c r="M4720" i="6" s="1"/>
  <c r="G4721" i="6"/>
  <c r="M4721" i="6" s="1"/>
  <c r="G4722" i="6"/>
  <c r="M4722" i="6" s="1"/>
  <c r="G4723" i="6"/>
  <c r="M4723" i="6" s="1"/>
  <c r="G4724" i="6"/>
  <c r="M4724" i="6" s="1"/>
  <c r="G4725" i="6"/>
  <c r="M4725" i="6" s="1"/>
  <c r="G4726" i="6"/>
  <c r="M4726" i="6" s="1"/>
  <c r="G4727" i="6"/>
  <c r="M4727" i="6" s="1"/>
  <c r="G4728" i="6"/>
  <c r="M4728" i="6" s="1"/>
  <c r="G4729" i="6"/>
  <c r="M4729" i="6" s="1"/>
  <c r="G4730" i="6"/>
  <c r="M4730" i="6" s="1"/>
  <c r="G4731" i="6"/>
  <c r="M4731" i="6" s="1"/>
  <c r="G4732" i="6"/>
  <c r="M4732" i="6" s="1"/>
  <c r="G4733" i="6"/>
  <c r="M4733" i="6" s="1"/>
  <c r="G4734" i="6"/>
  <c r="M4734" i="6" s="1"/>
  <c r="G4735" i="6"/>
  <c r="M4735" i="6" s="1"/>
  <c r="G4736" i="6"/>
  <c r="M4736" i="6" s="1"/>
  <c r="G4737" i="6"/>
  <c r="M4737" i="6" s="1"/>
  <c r="G4738" i="6"/>
  <c r="M4738" i="6" s="1"/>
  <c r="G4739" i="6"/>
  <c r="M4739" i="6" s="1"/>
  <c r="G4740" i="6"/>
  <c r="M4740" i="6" s="1"/>
  <c r="G4741" i="6"/>
  <c r="M4741" i="6" s="1"/>
  <c r="G4742" i="6"/>
  <c r="M4742" i="6" s="1"/>
  <c r="G4743" i="6"/>
  <c r="M4743" i="6" s="1"/>
  <c r="G4744" i="6"/>
  <c r="M4744" i="6" s="1"/>
  <c r="G4745" i="6"/>
  <c r="M4745" i="6" s="1"/>
  <c r="G4746" i="6"/>
  <c r="M4746" i="6" s="1"/>
  <c r="G4747" i="6"/>
  <c r="M4747" i="6" s="1"/>
  <c r="G4748" i="6"/>
  <c r="M4748" i="6" s="1"/>
  <c r="G4749" i="6"/>
  <c r="M4749" i="6" s="1"/>
  <c r="G4750" i="6"/>
  <c r="M4750" i="6" s="1"/>
  <c r="G4751" i="6"/>
  <c r="M4751" i="6" s="1"/>
  <c r="G4752" i="6"/>
  <c r="M4752" i="6" s="1"/>
  <c r="G4753" i="6"/>
  <c r="M4753" i="6" s="1"/>
  <c r="G4754" i="6"/>
  <c r="M4754" i="6" s="1"/>
  <c r="G4755" i="6"/>
  <c r="M4755" i="6" s="1"/>
  <c r="G4756" i="6"/>
  <c r="M4756" i="6" s="1"/>
  <c r="G4757" i="6"/>
  <c r="M4757" i="6" s="1"/>
  <c r="G4758" i="6"/>
  <c r="M4758" i="6" s="1"/>
  <c r="G4759" i="6"/>
  <c r="M4759" i="6" s="1"/>
  <c r="G4760" i="6"/>
  <c r="M4760" i="6" s="1"/>
  <c r="G4761" i="6"/>
  <c r="M4761" i="6" s="1"/>
  <c r="G4762" i="6"/>
  <c r="M4762" i="6" s="1"/>
  <c r="G4763" i="6"/>
  <c r="M4763" i="6" s="1"/>
  <c r="G4764" i="6"/>
  <c r="M4764" i="6" s="1"/>
  <c r="G4765" i="6"/>
  <c r="M4765" i="6" s="1"/>
  <c r="G4766" i="6"/>
  <c r="M4766" i="6" s="1"/>
  <c r="G4767" i="6"/>
  <c r="M4767" i="6" s="1"/>
  <c r="G4768" i="6"/>
  <c r="M4768" i="6" s="1"/>
  <c r="G4769" i="6"/>
  <c r="M4769" i="6" s="1"/>
  <c r="G4770" i="6"/>
  <c r="M4770" i="6" s="1"/>
  <c r="G4771" i="6"/>
  <c r="M4771" i="6" s="1"/>
  <c r="G4772" i="6"/>
  <c r="M4772" i="6" s="1"/>
  <c r="G4773" i="6"/>
  <c r="M4773" i="6" s="1"/>
  <c r="G4774" i="6"/>
  <c r="M4774" i="6" s="1"/>
  <c r="G4775" i="6"/>
  <c r="M4775" i="6" s="1"/>
  <c r="G4776" i="6"/>
  <c r="M4776" i="6" s="1"/>
  <c r="G4777" i="6"/>
  <c r="M4777" i="6" s="1"/>
  <c r="G4778" i="6"/>
  <c r="M4778" i="6" s="1"/>
  <c r="G4779" i="6"/>
  <c r="M4779" i="6" s="1"/>
  <c r="G4780" i="6"/>
  <c r="M4780" i="6" s="1"/>
  <c r="G4781" i="6"/>
  <c r="M4781" i="6" s="1"/>
  <c r="G4782" i="6"/>
  <c r="M4782" i="6" s="1"/>
  <c r="G4783" i="6"/>
  <c r="M4783" i="6" s="1"/>
  <c r="G4784" i="6"/>
  <c r="M4784" i="6" s="1"/>
  <c r="G4785" i="6"/>
  <c r="M4785" i="6" s="1"/>
  <c r="G4786" i="6"/>
  <c r="M4786" i="6" s="1"/>
  <c r="G4787" i="6"/>
  <c r="M4787" i="6" s="1"/>
  <c r="G4788" i="6"/>
  <c r="M4788" i="6" s="1"/>
  <c r="G4789" i="6"/>
  <c r="M4789" i="6" s="1"/>
  <c r="G4790" i="6"/>
  <c r="M4790" i="6" s="1"/>
  <c r="G4791" i="6"/>
  <c r="M4791" i="6" s="1"/>
  <c r="G4792" i="6"/>
  <c r="M4792" i="6" s="1"/>
  <c r="G4793" i="6"/>
  <c r="M4793" i="6" s="1"/>
  <c r="G4794" i="6"/>
  <c r="M4794" i="6" s="1"/>
  <c r="G4795" i="6"/>
  <c r="M4795" i="6" s="1"/>
  <c r="G4796" i="6"/>
  <c r="M4796" i="6" s="1"/>
  <c r="G4797" i="6"/>
  <c r="M4797" i="6" s="1"/>
  <c r="G4798" i="6"/>
  <c r="M4798" i="6" s="1"/>
  <c r="G4799" i="6"/>
  <c r="M4799" i="6" s="1"/>
  <c r="G4800" i="6"/>
  <c r="M4800" i="6" s="1"/>
  <c r="G4801" i="6"/>
  <c r="M4801" i="6" s="1"/>
  <c r="G4802" i="6"/>
  <c r="M4802" i="6" s="1"/>
  <c r="G4803" i="6"/>
  <c r="M4803" i="6" s="1"/>
  <c r="G4804" i="6"/>
  <c r="M4804" i="6" s="1"/>
  <c r="G4805" i="6"/>
  <c r="M4805" i="6" s="1"/>
  <c r="G4806" i="6"/>
  <c r="M4806" i="6" s="1"/>
  <c r="G4807" i="6"/>
  <c r="M4807" i="6" s="1"/>
  <c r="G4808" i="6"/>
  <c r="M4808" i="6" s="1"/>
  <c r="G4809" i="6"/>
  <c r="M4809" i="6" s="1"/>
  <c r="G4810" i="6"/>
  <c r="M4810" i="6" s="1"/>
  <c r="G4811" i="6"/>
  <c r="M4811" i="6" s="1"/>
  <c r="G4812" i="6"/>
  <c r="M4812" i="6" s="1"/>
  <c r="G4813" i="6"/>
  <c r="M4813" i="6" s="1"/>
  <c r="G4814" i="6"/>
  <c r="M4814" i="6" s="1"/>
  <c r="G4815" i="6"/>
  <c r="M4815" i="6" s="1"/>
  <c r="G4816" i="6"/>
  <c r="M4816" i="6" s="1"/>
  <c r="G4817" i="6"/>
  <c r="M4817" i="6" s="1"/>
  <c r="G4818" i="6"/>
  <c r="M4818" i="6" s="1"/>
  <c r="G4819" i="6"/>
  <c r="M4819" i="6" s="1"/>
  <c r="G4820" i="6"/>
  <c r="M4820" i="6" s="1"/>
  <c r="G4821" i="6"/>
  <c r="M4821" i="6" s="1"/>
  <c r="G4822" i="6"/>
  <c r="M4822" i="6" s="1"/>
  <c r="G4823" i="6"/>
  <c r="M4823" i="6" s="1"/>
  <c r="G4824" i="6"/>
  <c r="M4824" i="6" s="1"/>
  <c r="G4825" i="6"/>
  <c r="M4825" i="6" s="1"/>
  <c r="G4826" i="6"/>
  <c r="M4826" i="6" s="1"/>
  <c r="G4827" i="6"/>
  <c r="M4827" i="6" s="1"/>
  <c r="G4828" i="6"/>
  <c r="M4828" i="6" s="1"/>
  <c r="G4829" i="6"/>
  <c r="M4829" i="6" s="1"/>
  <c r="G4830" i="6"/>
  <c r="M4830" i="6" s="1"/>
  <c r="G4831" i="6"/>
  <c r="M4831" i="6" s="1"/>
  <c r="G4832" i="6"/>
  <c r="M4832" i="6" s="1"/>
  <c r="G4833" i="6"/>
  <c r="M4833" i="6" s="1"/>
  <c r="G4834" i="6"/>
  <c r="M4834" i="6" s="1"/>
  <c r="G4835" i="6"/>
  <c r="M4835" i="6" s="1"/>
  <c r="G4836" i="6"/>
  <c r="M4836" i="6" s="1"/>
  <c r="G4837" i="6"/>
  <c r="M4837" i="6" s="1"/>
  <c r="G4838" i="6"/>
  <c r="M4838" i="6" s="1"/>
  <c r="G4839" i="6"/>
  <c r="M4839" i="6" s="1"/>
  <c r="G4840" i="6"/>
  <c r="M4840" i="6" s="1"/>
  <c r="G4841" i="6"/>
  <c r="M4841" i="6" s="1"/>
  <c r="G4842" i="6"/>
  <c r="M4842" i="6" s="1"/>
  <c r="G4843" i="6"/>
  <c r="M4843" i="6" s="1"/>
  <c r="G4844" i="6"/>
  <c r="M4844" i="6" s="1"/>
  <c r="G4845" i="6"/>
  <c r="M4845" i="6" s="1"/>
  <c r="G4846" i="6"/>
  <c r="M4846" i="6" s="1"/>
  <c r="G4847" i="6"/>
  <c r="M4847" i="6" s="1"/>
  <c r="G4848" i="6"/>
  <c r="M4848" i="6" s="1"/>
  <c r="G4849" i="6"/>
  <c r="M4849" i="6" s="1"/>
  <c r="G4850" i="6"/>
  <c r="M4850" i="6" s="1"/>
  <c r="G4851" i="6"/>
  <c r="M4851" i="6" s="1"/>
  <c r="G4852" i="6"/>
  <c r="M4852" i="6" s="1"/>
  <c r="G4853" i="6"/>
  <c r="M4853" i="6" s="1"/>
  <c r="G4854" i="6"/>
  <c r="M4854" i="6" s="1"/>
  <c r="G4855" i="6"/>
  <c r="M4855" i="6" s="1"/>
  <c r="G4856" i="6"/>
  <c r="M4856" i="6" s="1"/>
  <c r="G4857" i="6"/>
  <c r="M4857" i="6" s="1"/>
  <c r="G4858" i="6"/>
  <c r="M4858" i="6" s="1"/>
  <c r="G4859" i="6"/>
  <c r="M4859" i="6" s="1"/>
  <c r="G4860" i="6"/>
  <c r="M4860" i="6" s="1"/>
  <c r="G4861" i="6"/>
  <c r="M4861" i="6" s="1"/>
  <c r="G4862" i="6"/>
  <c r="M4862" i="6" s="1"/>
  <c r="G4863" i="6"/>
  <c r="M4863" i="6" s="1"/>
  <c r="G4864" i="6"/>
  <c r="M4864" i="6" s="1"/>
  <c r="G4865" i="6"/>
  <c r="M4865" i="6" s="1"/>
  <c r="G4866" i="6"/>
  <c r="M4866" i="6" s="1"/>
  <c r="G4867" i="6"/>
  <c r="M4867" i="6" s="1"/>
  <c r="G4868" i="6"/>
  <c r="M4868" i="6" s="1"/>
  <c r="G4869" i="6"/>
  <c r="M4869" i="6" s="1"/>
  <c r="G4870" i="6"/>
  <c r="M4870" i="6" s="1"/>
  <c r="G4871" i="6"/>
  <c r="M4871" i="6" s="1"/>
  <c r="G4872" i="6"/>
  <c r="M4872" i="6" s="1"/>
  <c r="G4873" i="6"/>
  <c r="M4873" i="6" s="1"/>
  <c r="G4874" i="6"/>
  <c r="M4874" i="6" s="1"/>
  <c r="G4875" i="6"/>
  <c r="M4875" i="6" s="1"/>
  <c r="G4876" i="6"/>
  <c r="M4876" i="6" s="1"/>
  <c r="G4877" i="6"/>
  <c r="M4877" i="6" s="1"/>
  <c r="G4878" i="6"/>
  <c r="M4878" i="6" s="1"/>
  <c r="G4879" i="6"/>
  <c r="M4879" i="6" s="1"/>
  <c r="G4880" i="6"/>
  <c r="M4880" i="6" s="1"/>
  <c r="G4881" i="6"/>
  <c r="M4881" i="6" s="1"/>
  <c r="G4882" i="6"/>
  <c r="M4882" i="6" s="1"/>
  <c r="G4883" i="6"/>
  <c r="M4883" i="6" s="1"/>
  <c r="G4884" i="6"/>
  <c r="M4884" i="6" s="1"/>
  <c r="G4885" i="6"/>
  <c r="M4885" i="6" s="1"/>
  <c r="G4886" i="6"/>
  <c r="M4886" i="6" s="1"/>
  <c r="G4887" i="6"/>
  <c r="M4887" i="6" s="1"/>
  <c r="G4888" i="6"/>
  <c r="M4888" i="6" s="1"/>
  <c r="G4889" i="6"/>
  <c r="M4889" i="6" s="1"/>
  <c r="G4890" i="6"/>
  <c r="M4890" i="6" s="1"/>
  <c r="G4891" i="6"/>
  <c r="M4891" i="6" s="1"/>
  <c r="G4892" i="6"/>
  <c r="M4892" i="6" s="1"/>
  <c r="G4893" i="6"/>
  <c r="M4893" i="6" s="1"/>
  <c r="G4894" i="6"/>
  <c r="M4894" i="6" s="1"/>
  <c r="G4895" i="6"/>
  <c r="M4895" i="6" s="1"/>
  <c r="G4896" i="6"/>
  <c r="M4896" i="6" s="1"/>
  <c r="G4897" i="6"/>
  <c r="M4897" i="6" s="1"/>
  <c r="G4898" i="6"/>
  <c r="M4898" i="6" s="1"/>
  <c r="G4899" i="6"/>
  <c r="M4899" i="6" s="1"/>
  <c r="G4900" i="6"/>
  <c r="M4900" i="6" s="1"/>
  <c r="G4901" i="6"/>
  <c r="M4901" i="6" s="1"/>
  <c r="G4902" i="6"/>
  <c r="M4902" i="6" s="1"/>
  <c r="G4903" i="6"/>
  <c r="M4903" i="6" s="1"/>
  <c r="G4904" i="6"/>
  <c r="M4904" i="6" s="1"/>
  <c r="G4905" i="6"/>
  <c r="M4905" i="6" s="1"/>
  <c r="G4906" i="6"/>
  <c r="M4906" i="6" s="1"/>
  <c r="G4907" i="6"/>
  <c r="M4907" i="6" s="1"/>
  <c r="G4908" i="6"/>
  <c r="M4908" i="6" s="1"/>
  <c r="G4909" i="6"/>
  <c r="M4909" i="6" s="1"/>
  <c r="G4910" i="6"/>
  <c r="M4910" i="6" s="1"/>
  <c r="G4911" i="6"/>
  <c r="M4911" i="6" s="1"/>
  <c r="G4912" i="6"/>
  <c r="M4912" i="6" s="1"/>
  <c r="G4913" i="6"/>
  <c r="M4913" i="6" s="1"/>
  <c r="G4914" i="6"/>
  <c r="M4914" i="6" s="1"/>
  <c r="G4915" i="6"/>
  <c r="M4915" i="6" s="1"/>
  <c r="G4916" i="6"/>
  <c r="M4916" i="6" s="1"/>
  <c r="G4917" i="6"/>
  <c r="M4917" i="6" s="1"/>
  <c r="G4918" i="6"/>
  <c r="M4918" i="6" s="1"/>
  <c r="G4919" i="6"/>
  <c r="M4919" i="6" s="1"/>
  <c r="G4920" i="6"/>
  <c r="M4920" i="6" s="1"/>
  <c r="G4921" i="6"/>
  <c r="M4921" i="6" s="1"/>
  <c r="G4922" i="6"/>
  <c r="M4922" i="6" s="1"/>
  <c r="G4923" i="6"/>
  <c r="M4923" i="6" s="1"/>
  <c r="G4924" i="6"/>
  <c r="M4924" i="6" s="1"/>
  <c r="G4925" i="6"/>
  <c r="M4925" i="6" s="1"/>
  <c r="G4926" i="6"/>
  <c r="M4926" i="6" s="1"/>
  <c r="G4927" i="6"/>
  <c r="M4927" i="6" s="1"/>
  <c r="G4928" i="6"/>
  <c r="M4928" i="6" s="1"/>
  <c r="G4929" i="6"/>
  <c r="M4929" i="6" s="1"/>
  <c r="G4930" i="6"/>
  <c r="M4930" i="6" s="1"/>
  <c r="G4931" i="6"/>
  <c r="M4931" i="6" s="1"/>
  <c r="G4932" i="6"/>
  <c r="M4932" i="6" s="1"/>
  <c r="G4933" i="6"/>
  <c r="M4933" i="6" s="1"/>
  <c r="G4934" i="6"/>
  <c r="M4934" i="6" s="1"/>
  <c r="G4935" i="6"/>
  <c r="M4935" i="6" s="1"/>
  <c r="G4936" i="6"/>
  <c r="M4936" i="6" s="1"/>
  <c r="G4937" i="6"/>
  <c r="M4937" i="6" s="1"/>
  <c r="G4938" i="6"/>
  <c r="M4938" i="6" s="1"/>
  <c r="G4939" i="6"/>
  <c r="M4939" i="6" s="1"/>
  <c r="G4940" i="6"/>
  <c r="M4940" i="6" s="1"/>
  <c r="G4941" i="6"/>
  <c r="M4941" i="6" s="1"/>
  <c r="G4942" i="6"/>
  <c r="M4942" i="6" s="1"/>
  <c r="G4943" i="6"/>
  <c r="M4943" i="6" s="1"/>
  <c r="G4944" i="6"/>
  <c r="M4944" i="6" s="1"/>
  <c r="G4945" i="6"/>
  <c r="M4945" i="6" s="1"/>
  <c r="G4946" i="6"/>
  <c r="M4946" i="6" s="1"/>
  <c r="G4947" i="6"/>
  <c r="M4947" i="6" s="1"/>
  <c r="G4948" i="6"/>
  <c r="M4948" i="6" s="1"/>
  <c r="G4949" i="6"/>
  <c r="M4949" i="6" s="1"/>
  <c r="G4950" i="6"/>
  <c r="M4950" i="6" s="1"/>
  <c r="G4951" i="6"/>
  <c r="M4951" i="6" s="1"/>
  <c r="G4952" i="6"/>
  <c r="M4952" i="6" s="1"/>
  <c r="G4953" i="6"/>
  <c r="M4953" i="6" s="1"/>
  <c r="G4954" i="6"/>
  <c r="M4954" i="6" s="1"/>
  <c r="G4955" i="6"/>
  <c r="M4955" i="6" s="1"/>
  <c r="G4956" i="6"/>
  <c r="M4956" i="6" s="1"/>
  <c r="G4957" i="6"/>
  <c r="M4957" i="6" s="1"/>
  <c r="G4958" i="6"/>
  <c r="M4958" i="6" s="1"/>
  <c r="G4959" i="6"/>
  <c r="M4959" i="6" s="1"/>
  <c r="G4960" i="6"/>
  <c r="M4960" i="6" s="1"/>
  <c r="G4961" i="6"/>
  <c r="M4961" i="6" s="1"/>
  <c r="G4962" i="6"/>
  <c r="M4962" i="6" s="1"/>
  <c r="G4963" i="6"/>
  <c r="M4963" i="6" s="1"/>
  <c r="G4964" i="6"/>
  <c r="M4964" i="6" s="1"/>
  <c r="G4965" i="6"/>
  <c r="M4965" i="6" s="1"/>
  <c r="G4966" i="6"/>
  <c r="M4966" i="6" s="1"/>
  <c r="G4967" i="6"/>
  <c r="M4967" i="6" s="1"/>
  <c r="G4968" i="6"/>
  <c r="M4968" i="6" s="1"/>
  <c r="G4969" i="6"/>
  <c r="M4969" i="6" s="1"/>
  <c r="G4970" i="6"/>
  <c r="M4970" i="6" s="1"/>
  <c r="G4971" i="6"/>
  <c r="M4971" i="6" s="1"/>
  <c r="G4972" i="6"/>
  <c r="M4972" i="6" s="1"/>
  <c r="G4973" i="6"/>
  <c r="M4973" i="6" s="1"/>
  <c r="G4974" i="6"/>
  <c r="M4974" i="6" s="1"/>
  <c r="G4975" i="6"/>
  <c r="M4975" i="6" s="1"/>
  <c r="G4976" i="6"/>
  <c r="M4976" i="6" s="1"/>
  <c r="G4977" i="6"/>
  <c r="M4977" i="6" s="1"/>
  <c r="G4978" i="6"/>
  <c r="M4978" i="6" s="1"/>
  <c r="G4979" i="6"/>
  <c r="M4979" i="6" s="1"/>
  <c r="G4980" i="6"/>
  <c r="M4980" i="6" s="1"/>
  <c r="G4981" i="6"/>
  <c r="M4981" i="6" s="1"/>
  <c r="G4982" i="6"/>
  <c r="M4982" i="6" s="1"/>
  <c r="G4983" i="6"/>
  <c r="M4983" i="6" s="1"/>
  <c r="G4984" i="6"/>
  <c r="M4984" i="6" s="1"/>
  <c r="G4985" i="6"/>
  <c r="M4985" i="6" s="1"/>
  <c r="G4986" i="6"/>
  <c r="M4986" i="6" s="1"/>
  <c r="G4987" i="6"/>
  <c r="M4987" i="6" s="1"/>
  <c r="G4988" i="6"/>
  <c r="M4988" i="6" s="1"/>
  <c r="G4989" i="6"/>
  <c r="M4989" i="6" s="1"/>
  <c r="G4990" i="6"/>
  <c r="M4990" i="6" s="1"/>
  <c r="G4991" i="6"/>
  <c r="M4991" i="6" s="1"/>
  <c r="G4992" i="6"/>
  <c r="M4992" i="6" s="1"/>
  <c r="G4993" i="6"/>
  <c r="M4993" i="6" s="1"/>
  <c r="G4994" i="6"/>
  <c r="M4994" i="6" s="1"/>
  <c r="G4995" i="6"/>
  <c r="M4995" i="6" s="1"/>
  <c r="G4996" i="6"/>
  <c r="M4996" i="6" s="1"/>
  <c r="G4997" i="6"/>
  <c r="M4997" i="6" s="1"/>
  <c r="G4998" i="6"/>
  <c r="M4998" i="6" s="1"/>
  <c r="G4999" i="6"/>
  <c r="M4999" i="6" s="1"/>
  <c r="G5000" i="6"/>
  <c r="M5000" i="6" s="1"/>
  <c r="G5001" i="6"/>
  <c r="M5001" i="6" s="1"/>
  <c r="G5002" i="6"/>
  <c r="M5002" i="6" s="1"/>
  <c r="G5003" i="6"/>
  <c r="M5003" i="6" s="1"/>
  <c r="G5004" i="6"/>
  <c r="M5004" i="6" s="1"/>
  <c r="G5005" i="6"/>
  <c r="M5005" i="6" s="1"/>
  <c r="G5006" i="6"/>
  <c r="M5006" i="6" s="1"/>
  <c r="G5007" i="6"/>
  <c r="M5007" i="6" s="1"/>
  <c r="G5008" i="6"/>
  <c r="M5008" i="6" s="1"/>
  <c r="G5009" i="6"/>
  <c r="M5009" i="6" s="1"/>
  <c r="G5010" i="6"/>
  <c r="M5010" i="6" s="1"/>
  <c r="G5011" i="6"/>
  <c r="M5011" i="6" s="1"/>
  <c r="G5012" i="6"/>
  <c r="M5012" i="6" s="1"/>
  <c r="G5013" i="6"/>
  <c r="M5013" i="6" s="1"/>
  <c r="G5014" i="6"/>
  <c r="M5014" i="6" s="1"/>
  <c r="G5015" i="6"/>
  <c r="M5015" i="6" s="1"/>
  <c r="G5016" i="6"/>
  <c r="M5016" i="6" s="1"/>
  <c r="G5017" i="6"/>
  <c r="M5017" i="6" s="1"/>
  <c r="G5018" i="6"/>
  <c r="M5018" i="6" s="1"/>
  <c r="G5019" i="6"/>
  <c r="M5019" i="6" s="1"/>
  <c r="G5020" i="6"/>
  <c r="M5020" i="6" s="1"/>
  <c r="G5021" i="6"/>
  <c r="M5021" i="6" s="1"/>
  <c r="G5022" i="6"/>
  <c r="M5022" i="6" s="1"/>
  <c r="G5023" i="6"/>
  <c r="M5023" i="6" s="1"/>
  <c r="G5024" i="6"/>
  <c r="M5024" i="6" s="1"/>
  <c r="G5025" i="6"/>
  <c r="M5025" i="6" s="1"/>
  <c r="G5026" i="6"/>
  <c r="M5026" i="6" s="1"/>
  <c r="G5027" i="6"/>
  <c r="M5027" i="6" s="1"/>
  <c r="G5028" i="6"/>
  <c r="M5028" i="6" s="1"/>
  <c r="G5029" i="6"/>
  <c r="M5029" i="6" s="1"/>
  <c r="G5030" i="6"/>
  <c r="M5030" i="6" s="1"/>
  <c r="G5031" i="6"/>
  <c r="M5031" i="6" s="1"/>
  <c r="G5032" i="6"/>
  <c r="M5032" i="6" s="1"/>
  <c r="G5033" i="6"/>
  <c r="M5033" i="6" s="1"/>
  <c r="G5034" i="6"/>
  <c r="M5034" i="6" s="1"/>
  <c r="G5035" i="6"/>
  <c r="M5035" i="6" s="1"/>
  <c r="G5036" i="6"/>
  <c r="M5036" i="6" s="1"/>
  <c r="G5037" i="6"/>
  <c r="M5037" i="6" s="1"/>
  <c r="G5038" i="6"/>
  <c r="M5038" i="6" s="1"/>
  <c r="G5039" i="6"/>
  <c r="M5039" i="6" s="1"/>
  <c r="G5040" i="6"/>
  <c r="M5040" i="6" s="1"/>
  <c r="G5041" i="6"/>
  <c r="M5041" i="6" s="1"/>
  <c r="G5042" i="6"/>
  <c r="M5042" i="6" s="1"/>
  <c r="G5043" i="6"/>
  <c r="M5043" i="6" s="1"/>
  <c r="G5044" i="6"/>
  <c r="M5044" i="6" s="1"/>
  <c r="G5045" i="6"/>
  <c r="M5045" i="6" s="1"/>
  <c r="G5046" i="6"/>
  <c r="M5046" i="6" s="1"/>
  <c r="G5047" i="6"/>
  <c r="M5047" i="6" s="1"/>
  <c r="G5048" i="6"/>
  <c r="M5048" i="6" s="1"/>
  <c r="G5049" i="6"/>
  <c r="M5049" i="6" s="1"/>
  <c r="G5050" i="6"/>
  <c r="M5050" i="6" s="1"/>
  <c r="G5051" i="6"/>
  <c r="M5051" i="6" s="1"/>
  <c r="G5052" i="6"/>
  <c r="M5052" i="6" s="1"/>
  <c r="G5053" i="6"/>
  <c r="M5053" i="6" s="1"/>
  <c r="G5054" i="6"/>
  <c r="M5054" i="6" s="1"/>
  <c r="G5055" i="6"/>
  <c r="M5055" i="6" s="1"/>
  <c r="G5056" i="6"/>
  <c r="M5056" i="6" s="1"/>
  <c r="G5057" i="6"/>
  <c r="M5057" i="6" s="1"/>
  <c r="G5058" i="6"/>
  <c r="M5058" i="6" s="1"/>
  <c r="G5059" i="6"/>
  <c r="M5059" i="6" s="1"/>
  <c r="G5060" i="6"/>
  <c r="M5060" i="6" s="1"/>
  <c r="G5061" i="6"/>
  <c r="M5061" i="6" s="1"/>
  <c r="G5062" i="6"/>
  <c r="M5062" i="6" s="1"/>
  <c r="G5063" i="6"/>
  <c r="M5063" i="6" s="1"/>
  <c r="G5064" i="6"/>
  <c r="M5064" i="6" s="1"/>
  <c r="G5065" i="6"/>
  <c r="M5065" i="6" s="1"/>
  <c r="G5066" i="6"/>
  <c r="M5066" i="6" s="1"/>
  <c r="G5067" i="6"/>
  <c r="M5067" i="6" s="1"/>
  <c r="G5068" i="6"/>
  <c r="M5068" i="6" s="1"/>
  <c r="G5069" i="6"/>
  <c r="M5069" i="6" s="1"/>
  <c r="G5070" i="6"/>
  <c r="M5070" i="6" s="1"/>
  <c r="G5071" i="6"/>
  <c r="M5071" i="6" s="1"/>
  <c r="G5072" i="6"/>
  <c r="M5072" i="6" s="1"/>
  <c r="G5073" i="6"/>
  <c r="M5073" i="6" s="1"/>
  <c r="G5074" i="6"/>
  <c r="M5074" i="6" s="1"/>
  <c r="G5075" i="6"/>
  <c r="M5075" i="6" s="1"/>
  <c r="G5076" i="6"/>
  <c r="M5076" i="6" s="1"/>
  <c r="G5077" i="6"/>
  <c r="M5077" i="6" s="1"/>
  <c r="G5078" i="6"/>
  <c r="M5078" i="6" s="1"/>
  <c r="G5079" i="6"/>
  <c r="M5079" i="6" s="1"/>
  <c r="G5080" i="6"/>
  <c r="M5080" i="6" s="1"/>
  <c r="G5081" i="6"/>
  <c r="M5081" i="6" s="1"/>
  <c r="G5082" i="6"/>
  <c r="M5082" i="6" s="1"/>
  <c r="G5083" i="6"/>
  <c r="M5083" i="6" s="1"/>
  <c r="G5084" i="6"/>
  <c r="M5084" i="6" s="1"/>
  <c r="G5085" i="6"/>
  <c r="M5085" i="6" s="1"/>
  <c r="G5086" i="6"/>
  <c r="M5086" i="6" s="1"/>
  <c r="G5087" i="6"/>
  <c r="M5087" i="6" s="1"/>
  <c r="G5088" i="6"/>
  <c r="M5088" i="6" s="1"/>
  <c r="G5089" i="6"/>
  <c r="M5089" i="6" s="1"/>
  <c r="G5090" i="6"/>
  <c r="M5090" i="6" s="1"/>
  <c r="G5091" i="6"/>
  <c r="M5091" i="6" s="1"/>
  <c r="G5092" i="6"/>
  <c r="M5092" i="6" s="1"/>
  <c r="G5093" i="6"/>
  <c r="M5093" i="6" s="1"/>
  <c r="G5094" i="6"/>
  <c r="M5094" i="6" s="1"/>
  <c r="G5095" i="6"/>
  <c r="M5095" i="6" s="1"/>
  <c r="G5096" i="6"/>
  <c r="M5096" i="6" s="1"/>
  <c r="G5097" i="6"/>
  <c r="M5097" i="6" s="1"/>
  <c r="G5098" i="6"/>
  <c r="M5098" i="6" s="1"/>
  <c r="G5099" i="6"/>
  <c r="M5099" i="6" s="1"/>
  <c r="G5100" i="6"/>
  <c r="M5100" i="6" s="1"/>
  <c r="G5101" i="6"/>
  <c r="M5101" i="6" s="1"/>
  <c r="G5102" i="6"/>
  <c r="M5102" i="6" s="1"/>
  <c r="G5103" i="6"/>
  <c r="M5103" i="6" s="1"/>
  <c r="G5104" i="6"/>
  <c r="M5104" i="6" s="1"/>
  <c r="G5105" i="6"/>
  <c r="M5105" i="6" s="1"/>
  <c r="G5106" i="6"/>
  <c r="M5106" i="6" s="1"/>
  <c r="G5107" i="6"/>
  <c r="M5107" i="6" s="1"/>
  <c r="G5108" i="6"/>
  <c r="M5108" i="6" s="1"/>
  <c r="G5109" i="6"/>
  <c r="M5109" i="6" s="1"/>
  <c r="G5110" i="6"/>
  <c r="M5110" i="6" s="1"/>
  <c r="G5111" i="6"/>
  <c r="M5111" i="6" s="1"/>
  <c r="G5112" i="6"/>
  <c r="M5112" i="6" s="1"/>
  <c r="G5113" i="6"/>
  <c r="M5113" i="6" s="1"/>
  <c r="G5114" i="6"/>
  <c r="M5114" i="6" s="1"/>
  <c r="G5115" i="6"/>
  <c r="M5115" i="6" s="1"/>
  <c r="G5116" i="6"/>
  <c r="M5116" i="6" s="1"/>
  <c r="G5117" i="6"/>
  <c r="M5117" i="6" s="1"/>
  <c r="G5118" i="6"/>
  <c r="M5118" i="6" s="1"/>
  <c r="G5119" i="6"/>
  <c r="M5119" i="6" s="1"/>
  <c r="G5120" i="6"/>
  <c r="M5120" i="6" s="1"/>
  <c r="G5121" i="6"/>
  <c r="M5121" i="6" s="1"/>
  <c r="G5122" i="6"/>
  <c r="M5122" i="6" s="1"/>
  <c r="G5123" i="6"/>
  <c r="M5123" i="6" s="1"/>
  <c r="G5124" i="6"/>
  <c r="M5124" i="6" s="1"/>
  <c r="G5125" i="6"/>
  <c r="M5125" i="6" s="1"/>
  <c r="G5126" i="6"/>
  <c r="M5126" i="6" s="1"/>
  <c r="G5127" i="6"/>
  <c r="M5127" i="6" s="1"/>
  <c r="G5128" i="6"/>
  <c r="M5128" i="6" s="1"/>
  <c r="G5129" i="6"/>
  <c r="M5129" i="6" s="1"/>
  <c r="G5130" i="6"/>
  <c r="M5130" i="6" s="1"/>
  <c r="G5131" i="6"/>
  <c r="M5131" i="6" s="1"/>
  <c r="G5132" i="6"/>
  <c r="M5132" i="6" s="1"/>
  <c r="G5133" i="6"/>
  <c r="M5133" i="6" s="1"/>
  <c r="G5134" i="6"/>
  <c r="M5134" i="6" s="1"/>
  <c r="G5135" i="6"/>
  <c r="M5135" i="6" s="1"/>
  <c r="G5136" i="6"/>
  <c r="M5136" i="6" s="1"/>
  <c r="G5137" i="6"/>
  <c r="M5137" i="6" s="1"/>
  <c r="G5138" i="6"/>
  <c r="M5138" i="6" s="1"/>
  <c r="G5139" i="6"/>
  <c r="M5139" i="6" s="1"/>
  <c r="G5140" i="6"/>
  <c r="M5140" i="6" s="1"/>
  <c r="G5141" i="6"/>
  <c r="M5141" i="6" s="1"/>
  <c r="G5142" i="6"/>
  <c r="M5142" i="6" s="1"/>
  <c r="G5143" i="6"/>
  <c r="M5143" i="6" s="1"/>
  <c r="G5144" i="6"/>
  <c r="M5144" i="6" s="1"/>
  <c r="G5145" i="6"/>
  <c r="M5145" i="6" s="1"/>
  <c r="G5146" i="6"/>
  <c r="M5146" i="6" s="1"/>
  <c r="G5147" i="6"/>
  <c r="M5147" i="6" s="1"/>
  <c r="G5148" i="6"/>
  <c r="M5148" i="6" s="1"/>
  <c r="G5149" i="6"/>
  <c r="M5149" i="6" s="1"/>
  <c r="G5150" i="6"/>
  <c r="M5150" i="6" s="1"/>
  <c r="G5151" i="6"/>
  <c r="M5151" i="6" s="1"/>
  <c r="G5152" i="6"/>
  <c r="M5152" i="6" s="1"/>
  <c r="G5153" i="6"/>
  <c r="M5153" i="6" s="1"/>
  <c r="G5154" i="6"/>
  <c r="M5154" i="6" s="1"/>
  <c r="G5155" i="6"/>
  <c r="M5155" i="6" s="1"/>
  <c r="G5156" i="6"/>
  <c r="M5156" i="6" s="1"/>
  <c r="G5157" i="6"/>
  <c r="M5157" i="6" s="1"/>
  <c r="G5158" i="6"/>
  <c r="M5158" i="6" s="1"/>
  <c r="G5159" i="6"/>
  <c r="M5159" i="6" s="1"/>
  <c r="G5160" i="6"/>
  <c r="M5160" i="6" s="1"/>
  <c r="G5161" i="6"/>
  <c r="M5161" i="6" s="1"/>
  <c r="G5162" i="6"/>
  <c r="M5162" i="6" s="1"/>
  <c r="G5163" i="6"/>
  <c r="M5163" i="6" s="1"/>
  <c r="G5164" i="6"/>
  <c r="M5164" i="6" s="1"/>
  <c r="G5165" i="6"/>
  <c r="M5165" i="6" s="1"/>
  <c r="G5166" i="6"/>
  <c r="M5166" i="6" s="1"/>
  <c r="G5167" i="6"/>
  <c r="M5167" i="6" s="1"/>
  <c r="G5168" i="6"/>
  <c r="M5168" i="6" s="1"/>
  <c r="G5169" i="6"/>
  <c r="M5169" i="6" s="1"/>
  <c r="G5170" i="6"/>
  <c r="M5170" i="6" s="1"/>
  <c r="G5171" i="6"/>
  <c r="M5171" i="6" s="1"/>
  <c r="G5172" i="6"/>
  <c r="M5172" i="6" s="1"/>
  <c r="G5173" i="6"/>
  <c r="M5173" i="6" s="1"/>
  <c r="G5174" i="6"/>
  <c r="M5174" i="6" s="1"/>
  <c r="G5175" i="6"/>
  <c r="M5175" i="6" s="1"/>
  <c r="G5176" i="6"/>
  <c r="M5176" i="6" s="1"/>
  <c r="G5177" i="6"/>
  <c r="M5177" i="6" s="1"/>
  <c r="G5178" i="6"/>
  <c r="M5178" i="6" s="1"/>
  <c r="G5179" i="6"/>
  <c r="M5179" i="6" s="1"/>
  <c r="G5180" i="6"/>
  <c r="M5180" i="6" s="1"/>
  <c r="G5181" i="6"/>
  <c r="M5181" i="6" s="1"/>
  <c r="G5182" i="6"/>
  <c r="M5182" i="6" s="1"/>
  <c r="G5183" i="6"/>
  <c r="M5183" i="6" s="1"/>
  <c r="G5184" i="6"/>
  <c r="M5184" i="6" s="1"/>
  <c r="G5185" i="6"/>
  <c r="M5185" i="6" s="1"/>
  <c r="G5186" i="6"/>
  <c r="M5186" i="6" s="1"/>
  <c r="G5187" i="6"/>
  <c r="M5187" i="6" s="1"/>
  <c r="G5188" i="6"/>
  <c r="M5188" i="6" s="1"/>
  <c r="G5189" i="6"/>
  <c r="M5189" i="6" s="1"/>
  <c r="G5190" i="6"/>
  <c r="M5190" i="6" s="1"/>
  <c r="G5191" i="6"/>
  <c r="M5191" i="6" s="1"/>
  <c r="G5192" i="6"/>
  <c r="M5192" i="6" s="1"/>
  <c r="G5193" i="6"/>
  <c r="M5193" i="6" s="1"/>
  <c r="G5194" i="6"/>
  <c r="M5194" i="6" s="1"/>
  <c r="G5195" i="6"/>
  <c r="M5195" i="6" s="1"/>
  <c r="G5196" i="6"/>
  <c r="M5196" i="6" s="1"/>
  <c r="G5197" i="6"/>
  <c r="M5197" i="6" s="1"/>
  <c r="G5198" i="6"/>
  <c r="M5198" i="6" s="1"/>
  <c r="G5199" i="6"/>
  <c r="M5199" i="6" s="1"/>
  <c r="G5200" i="6"/>
  <c r="M5200" i="6" s="1"/>
  <c r="G5201" i="6"/>
  <c r="M5201" i="6" s="1"/>
  <c r="G5202" i="6"/>
  <c r="M5202" i="6" s="1"/>
  <c r="G5203" i="6"/>
  <c r="M5203" i="6" s="1"/>
  <c r="G5204" i="6"/>
  <c r="M5204" i="6" s="1"/>
  <c r="G5205" i="6"/>
  <c r="M5205" i="6" s="1"/>
  <c r="G5206" i="6"/>
  <c r="M5206" i="6" s="1"/>
  <c r="G5207" i="6"/>
  <c r="M5207" i="6" s="1"/>
  <c r="G5208" i="6"/>
  <c r="M5208" i="6" s="1"/>
  <c r="G5209" i="6"/>
  <c r="M5209" i="6" s="1"/>
  <c r="G5210" i="6"/>
  <c r="M5210" i="6" s="1"/>
  <c r="G5211" i="6"/>
  <c r="M5211" i="6" s="1"/>
  <c r="G5212" i="6"/>
  <c r="M5212" i="6" s="1"/>
  <c r="G5213" i="6"/>
  <c r="M5213" i="6" s="1"/>
  <c r="G5214" i="6"/>
  <c r="M5214" i="6" s="1"/>
  <c r="G5215" i="6"/>
  <c r="M5215" i="6" s="1"/>
  <c r="G5216" i="6"/>
  <c r="M5216" i="6" s="1"/>
  <c r="G5217" i="6"/>
  <c r="M5217" i="6" s="1"/>
  <c r="G5218" i="6"/>
  <c r="M5218" i="6" s="1"/>
  <c r="G5219" i="6"/>
  <c r="M5219" i="6" s="1"/>
  <c r="G5220" i="6"/>
  <c r="M5220" i="6" s="1"/>
  <c r="G5221" i="6"/>
  <c r="M5221" i="6" s="1"/>
  <c r="G5222" i="6"/>
  <c r="M5222" i="6" s="1"/>
  <c r="G5223" i="6"/>
  <c r="M5223" i="6" s="1"/>
  <c r="G5224" i="6"/>
  <c r="M5224" i="6" s="1"/>
  <c r="G5225" i="6"/>
  <c r="M5225" i="6" s="1"/>
  <c r="G5226" i="6"/>
  <c r="M5226" i="6" s="1"/>
  <c r="G5227" i="6"/>
  <c r="M5227" i="6" s="1"/>
  <c r="G5228" i="6"/>
  <c r="M5228" i="6" s="1"/>
  <c r="G5229" i="6"/>
  <c r="M5229" i="6" s="1"/>
  <c r="G5230" i="6"/>
  <c r="M5230" i="6" s="1"/>
  <c r="G5231" i="6"/>
  <c r="M5231" i="6" s="1"/>
  <c r="G5232" i="6"/>
  <c r="M5232" i="6" s="1"/>
  <c r="G5233" i="6"/>
  <c r="M5233" i="6" s="1"/>
  <c r="G5234" i="6"/>
  <c r="M5234" i="6" s="1"/>
  <c r="G5235" i="6"/>
  <c r="M5235" i="6" s="1"/>
  <c r="G5236" i="6"/>
  <c r="M5236" i="6" s="1"/>
  <c r="G5237" i="6"/>
  <c r="M5237" i="6" s="1"/>
  <c r="G5238" i="6"/>
  <c r="M5238" i="6" s="1"/>
  <c r="G5239" i="6"/>
  <c r="M5239" i="6" s="1"/>
  <c r="G5240" i="6"/>
  <c r="M5240" i="6" s="1"/>
  <c r="G5241" i="6"/>
  <c r="M5241" i="6" s="1"/>
  <c r="G5242" i="6"/>
  <c r="M5242" i="6" s="1"/>
  <c r="G5243" i="6"/>
  <c r="M5243" i="6" s="1"/>
  <c r="G5244" i="6"/>
  <c r="M5244" i="6" s="1"/>
  <c r="G5245" i="6"/>
  <c r="M5245" i="6" s="1"/>
  <c r="G5246" i="6"/>
  <c r="M5246" i="6" s="1"/>
  <c r="G5247" i="6"/>
  <c r="M5247" i="6" s="1"/>
  <c r="G5248" i="6"/>
  <c r="M5248" i="6" s="1"/>
  <c r="G5249" i="6"/>
  <c r="M5249" i="6" s="1"/>
  <c r="G5250" i="6"/>
  <c r="M5250" i="6" s="1"/>
  <c r="G5251" i="6"/>
  <c r="M5251" i="6" s="1"/>
  <c r="G5252" i="6"/>
  <c r="M5252" i="6" s="1"/>
  <c r="G5253" i="6"/>
  <c r="M5253" i="6" s="1"/>
  <c r="G5254" i="6"/>
  <c r="M5254" i="6" s="1"/>
  <c r="G5255" i="6"/>
  <c r="M5255" i="6" s="1"/>
  <c r="G5256" i="6"/>
  <c r="M5256" i="6" s="1"/>
  <c r="G5257" i="6"/>
  <c r="M5257" i="6" s="1"/>
  <c r="G5258" i="6"/>
  <c r="M5258" i="6" s="1"/>
  <c r="G5259" i="6"/>
  <c r="M5259" i="6" s="1"/>
  <c r="G5260" i="6"/>
  <c r="M5260" i="6" s="1"/>
  <c r="G5261" i="6"/>
  <c r="M5261" i="6" s="1"/>
  <c r="G5262" i="6"/>
  <c r="M5262" i="6" s="1"/>
  <c r="G5263" i="6"/>
  <c r="M5263" i="6" s="1"/>
  <c r="G5264" i="6"/>
  <c r="M5264" i="6" s="1"/>
  <c r="G5265" i="6"/>
  <c r="M5265" i="6" s="1"/>
  <c r="G5266" i="6"/>
  <c r="M5266" i="6" s="1"/>
  <c r="G5267" i="6"/>
  <c r="M5267" i="6" s="1"/>
  <c r="G5268" i="6"/>
  <c r="M5268" i="6" s="1"/>
  <c r="G5269" i="6"/>
  <c r="M5269" i="6" s="1"/>
  <c r="G5270" i="6"/>
  <c r="M5270" i="6" s="1"/>
  <c r="G5271" i="6"/>
  <c r="M5271" i="6" s="1"/>
  <c r="G5272" i="6"/>
  <c r="M5272" i="6" s="1"/>
  <c r="G5273" i="6"/>
  <c r="M5273" i="6" s="1"/>
  <c r="G5274" i="6"/>
  <c r="M5274" i="6" s="1"/>
  <c r="G5275" i="6"/>
  <c r="M5275" i="6" s="1"/>
  <c r="G5276" i="6"/>
  <c r="M5276" i="6" s="1"/>
  <c r="G5277" i="6"/>
  <c r="M5277" i="6" s="1"/>
  <c r="G5278" i="6"/>
  <c r="M5278" i="6" s="1"/>
  <c r="G5279" i="6"/>
  <c r="M5279" i="6" s="1"/>
  <c r="G5280" i="6"/>
  <c r="M5280" i="6" s="1"/>
  <c r="G5281" i="6"/>
  <c r="M5281" i="6" s="1"/>
  <c r="G5282" i="6"/>
  <c r="M5282" i="6" s="1"/>
  <c r="G5283" i="6"/>
  <c r="M5283" i="6" s="1"/>
  <c r="G5284" i="6"/>
  <c r="M5284" i="6" s="1"/>
  <c r="G5285" i="6"/>
  <c r="M5285" i="6" s="1"/>
  <c r="G5286" i="6"/>
  <c r="M5286" i="6" s="1"/>
  <c r="G5287" i="6"/>
  <c r="M5287" i="6" s="1"/>
  <c r="G5288" i="6"/>
  <c r="M5288" i="6" s="1"/>
  <c r="G5289" i="6"/>
  <c r="M5289" i="6" s="1"/>
  <c r="G5290" i="6"/>
  <c r="M5290" i="6" s="1"/>
  <c r="G5291" i="6"/>
  <c r="M5291" i="6" s="1"/>
  <c r="G5292" i="6"/>
  <c r="M5292" i="6" s="1"/>
  <c r="G5293" i="6"/>
  <c r="M5293" i="6" s="1"/>
  <c r="G5294" i="6"/>
  <c r="M5294" i="6" s="1"/>
  <c r="G5295" i="6"/>
  <c r="M5295" i="6" s="1"/>
  <c r="G5296" i="6"/>
  <c r="M5296" i="6" s="1"/>
  <c r="G5297" i="6"/>
  <c r="M5297" i="6" s="1"/>
  <c r="G5298" i="6"/>
  <c r="M5298" i="6" s="1"/>
  <c r="G5299" i="6"/>
  <c r="M5299" i="6" s="1"/>
  <c r="G5300" i="6"/>
  <c r="M5300" i="6" s="1"/>
  <c r="G5301" i="6"/>
  <c r="M5301" i="6" s="1"/>
  <c r="G5302" i="6"/>
  <c r="M5302" i="6" s="1"/>
  <c r="G5303" i="6"/>
  <c r="M5303" i="6" s="1"/>
  <c r="G5304" i="6"/>
  <c r="M5304" i="6" s="1"/>
  <c r="G5305" i="6"/>
  <c r="M5305" i="6" s="1"/>
  <c r="G5306" i="6"/>
  <c r="M5306" i="6" s="1"/>
  <c r="G5307" i="6"/>
  <c r="M5307" i="6" s="1"/>
  <c r="G5308" i="6"/>
  <c r="M5308" i="6" s="1"/>
  <c r="G5309" i="6"/>
  <c r="M5309" i="6" s="1"/>
  <c r="G5310" i="6"/>
  <c r="M5310" i="6" s="1"/>
  <c r="G5311" i="6"/>
  <c r="M5311" i="6" s="1"/>
  <c r="G5312" i="6"/>
  <c r="M5312" i="6" s="1"/>
  <c r="G5313" i="6"/>
  <c r="M5313" i="6" s="1"/>
  <c r="G5314" i="6"/>
  <c r="M5314" i="6" s="1"/>
  <c r="G5315" i="6"/>
  <c r="M5315" i="6" s="1"/>
  <c r="G5316" i="6"/>
  <c r="M5316" i="6" s="1"/>
  <c r="G5317" i="6"/>
  <c r="M5317" i="6" s="1"/>
  <c r="G5318" i="6"/>
  <c r="M5318" i="6" s="1"/>
  <c r="G5319" i="6"/>
  <c r="M5319" i="6" s="1"/>
  <c r="G5320" i="6"/>
  <c r="M5320" i="6" s="1"/>
  <c r="G5321" i="6"/>
  <c r="M5321" i="6" s="1"/>
  <c r="G5322" i="6"/>
  <c r="M5322" i="6" s="1"/>
  <c r="G5323" i="6"/>
  <c r="M5323" i="6" s="1"/>
  <c r="G5324" i="6"/>
  <c r="M5324" i="6" s="1"/>
  <c r="G5325" i="6"/>
  <c r="M5325" i="6" s="1"/>
  <c r="G5326" i="6"/>
  <c r="M5326" i="6" s="1"/>
  <c r="G5327" i="6"/>
  <c r="M5327" i="6" s="1"/>
  <c r="G5328" i="6"/>
  <c r="M5328" i="6" s="1"/>
  <c r="G5329" i="6"/>
  <c r="M5329" i="6" s="1"/>
  <c r="G5330" i="6"/>
  <c r="M5330" i="6" s="1"/>
  <c r="G5331" i="6"/>
  <c r="M5331" i="6" s="1"/>
  <c r="G5332" i="6"/>
  <c r="M5332" i="6" s="1"/>
  <c r="G5333" i="6"/>
  <c r="M5333" i="6" s="1"/>
  <c r="G5334" i="6"/>
  <c r="M5334" i="6" s="1"/>
  <c r="G5335" i="6"/>
  <c r="M5335" i="6" s="1"/>
  <c r="G5336" i="6"/>
  <c r="M5336" i="6" s="1"/>
  <c r="G5337" i="6"/>
  <c r="M5337" i="6" s="1"/>
  <c r="G5338" i="6"/>
  <c r="M5338" i="6" s="1"/>
  <c r="G5339" i="6"/>
  <c r="M5339" i="6" s="1"/>
  <c r="G5340" i="6"/>
  <c r="M5340" i="6" s="1"/>
  <c r="G5341" i="6"/>
  <c r="M5341" i="6" s="1"/>
  <c r="G5342" i="6"/>
  <c r="M5342" i="6" s="1"/>
  <c r="G5343" i="6"/>
  <c r="M5343" i="6" s="1"/>
  <c r="G5344" i="6"/>
  <c r="M5344" i="6" s="1"/>
  <c r="G5345" i="6"/>
  <c r="M5345" i="6" s="1"/>
  <c r="G5346" i="6"/>
  <c r="M5346" i="6" s="1"/>
  <c r="G5347" i="6"/>
  <c r="M5347" i="6" s="1"/>
  <c r="G5348" i="6"/>
  <c r="M5348" i="6" s="1"/>
  <c r="G5349" i="6"/>
  <c r="M5349" i="6" s="1"/>
  <c r="G5350" i="6"/>
  <c r="M5350" i="6" s="1"/>
  <c r="G5351" i="6"/>
  <c r="M5351" i="6" s="1"/>
  <c r="G5352" i="6"/>
  <c r="M5352" i="6" s="1"/>
  <c r="G5353" i="6"/>
  <c r="M5353" i="6" s="1"/>
  <c r="G5354" i="6"/>
  <c r="M5354" i="6" s="1"/>
  <c r="G5355" i="6"/>
  <c r="M5355" i="6" s="1"/>
  <c r="G5356" i="6"/>
  <c r="M5356" i="6" s="1"/>
  <c r="G5357" i="6"/>
  <c r="M5357" i="6" s="1"/>
  <c r="G5358" i="6"/>
  <c r="M5358" i="6" s="1"/>
  <c r="G5359" i="6"/>
  <c r="M5359" i="6" s="1"/>
  <c r="G5360" i="6"/>
  <c r="M5360" i="6" s="1"/>
  <c r="G5361" i="6"/>
  <c r="M5361" i="6" s="1"/>
  <c r="G5362" i="6"/>
  <c r="M5362" i="6" s="1"/>
  <c r="G5363" i="6"/>
  <c r="M5363" i="6" s="1"/>
  <c r="G5364" i="6"/>
  <c r="M5364" i="6" s="1"/>
  <c r="G5365" i="6"/>
  <c r="M5365" i="6" s="1"/>
  <c r="G5366" i="6"/>
  <c r="M5366" i="6" s="1"/>
  <c r="G5367" i="6"/>
  <c r="M5367" i="6" s="1"/>
  <c r="G5368" i="6"/>
  <c r="M5368" i="6" s="1"/>
  <c r="G5369" i="6"/>
  <c r="M5369" i="6" s="1"/>
  <c r="G5370" i="6"/>
  <c r="M5370" i="6" s="1"/>
  <c r="G5371" i="6"/>
  <c r="M5371" i="6" s="1"/>
  <c r="G5372" i="6"/>
  <c r="M5372" i="6" s="1"/>
  <c r="G5373" i="6"/>
  <c r="M5373" i="6" s="1"/>
  <c r="G5374" i="6"/>
  <c r="M5374" i="6" s="1"/>
  <c r="G5375" i="6"/>
  <c r="M5375" i="6" s="1"/>
  <c r="G5376" i="6"/>
  <c r="M5376" i="6" s="1"/>
  <c r="G5377" i="6"/>
  <c r="M5377" i="6" s="1"/>
  <c r="G5378" i="6"/>
  <c r="M5378" i="6" s="1"/>
  <c r="G5379" i="6"/>
  <c r="M5379" i="6" s="1"/>
  <c r="G5380" i="6"/>
  <c r="M5380" i="6" s="1"/>
  <c r="G5381" i="6"/>
  <c r="M5381" i="6" s="1"/>
  <c r="G5382" i="6"/>
  <c r="M5382" i="6" s="1"/>
  <c r="G5383" i="6"/>
  <c r="M5383" i="6" s="1"/>
  <c r="G5384" i="6"/>
  <c r="M5384" i="6" s="1"/>
  <c r="G5385" i="6"/>
  <c r="M5385" i="6" s="1"/>
  <c r="G5386" i="6"/>
  <c r="M5386" i="6" s="1"/>
  <c r="G5387" i="6"/>
  <c r="M5387" i="6" s="1"/>
  <c r="G5388" i="6"/>
  <c r="M5388" i="6" s="1"/>
  <c r="G5389" i="6"/>
  <c r="M5389" i="6" s="1"/>
  <c r="G5390" i="6"/>
  <c r="M5390" i="6" s="1"/>
  <c r="G5391" i="6"/>
  <c r="M5391" i="6" s="1"/>
  <c r="G5392" i="6"/>
  <c r="M5392" i="6" s="1"/>
  <c r="G5393" i="6"/>
  <c r="M5393" i="6" s="1"/>
  <c r="G5394" i="6"/>
  <c r="M5394" i="6" s="1"/>
  <c r="G5395" i="6"/>
  <c r="M5395" i="6" s="1"/>
  <c r="G5396" i="6"/>
  <c r="M5396" i="6" s="1"/>
  <c r="G5397" i="6"/>
  <c r="M5397" i="6" s="1"/>
  <c r="G5398" i="6"/>
  <c r="M5398" i="6" s="1"/>
  <c r="G5399" i="6"/>
  <c r="M5399" i="6" s="1"/>
  <c r="G5400" i="6"/>
  <c r="M5400" i="6" s="1"/>
  <c r="G5401" i="6"/>
  <c r="M5401" i="6" s="1"/>
  <c r="G5402" i="6"/>
  <c r="M5402" i="6" s="1"/>
  <c r="G5403" i="6"/>
  <c r="M5403" i="6" s="1"/>
  <c r="G5404" i="6"/>
  <c r="M5404" i="6" s="1"/>
  <c r="G5405" i="6"/>
  <c r="M5405" i="6" s="1"/>
  <c r="G5406" i="6"/>
  <c r="M5406" i="6" s="1"/>
  <c r="G5407" i="6"/>
  <c r="M5407" i="6" s="1"/>
  <c r="G5408" i="6"/>
  <c r="M5408" i="6" s="1"/>
  <c r="G5409" i="6"/>
  <c r="M5409" i="6" s="1"/>
  <c r="G5410" i="6"/>
  <c r="M5410" i="6" s="1"/>
  <c r="G5411" i="6"/>
  <c r="M5411" i="6" s="1"/>
  <c r="G5412" i="6"/>
  <c r="M5412" i="6" s="1"/>
  <c r="G5413" i="6"/>
  <c r="M5413" i="6" s="1"/>
  <c r="G5414" i="6"/>
  <c r="M5414" i="6" s="1"/>
  <c r="G5415" i="6"/>
  <c r="M5415" i="6" s="1"/>
  <c r="G5416" i="6"/>
  <c r="M5416" i="6" s="1"/>
  <c r="G5417" i="6"/>
  <c r="M5417" i="6" s="1"/>
  <c r="G5418" i="6"/>
  <c r="M5418" i="6" s="1"/>
  <c r="G5419" i="6"/>
  <c r="M5419" i="6" s="1"/>
  <c r="G5420" i="6"/>
  <c r="M5420" i="6" s="1"/>
  <c r="G5421" i="6"/>
  <c r="M5421" i="6" s="1"/>
  <c r="G5422" i="6"/>
  <c r="M5422" i="6" s="1"/>
  <c r="G5423" i="6"/>
  <c r="M5423" i="6" s="1"/>
  <c r="G5424" i="6"/>
  <c r="M5424" i="6" s="1"/>
  <c r="G5425" i="6"/>
  <c r="M5425" i="6" s="1"/>
  <c r="G5426" i="6"/>
  <c r="M5426" i="6" s="1"/>
  <c r="G5427" i="6"/>
  <c r="M5427" i="6" s="1"/>
  <c r="G5428" i="6"/>
  <c r="M5428" i="6" s="1"/>
  <c r="G5429" i="6"/>
  <c r="M5429" i="6" s="1"/>
  <c r="G5430" i="6"/>
  <c r="M5430" i="6" s="1"/>
  <c r="G5431" i="6"/>
  <c r="M5431" i="6" s="1"/>
  <c r="G5432" i="6"/>
  <c r="M5432" i="6" s="1"/>
  <c r="G5433" i="6"/>
  <c r="M5433" i="6" s="1"/>
  <c r="G5434" i="6"/>
  <c r="M5434" i="6" s="1"/>
  <c r="G5435" i="6"/>
  <c r="M5435" i="6" s="1"/>
  <c r="G5436" i="6"/>
  <c r="M5436" i="6" s="1"/>
  <c r="G5437" i="6"/>
  <c r="M5437" i="6" s="1"/>
  <c r="G5438" i="6"/>
  <c r="M5438" i="6" s="1"/>
  <c r="G5439" i="6"/>
  <c r="M5439" i="6" s="1"/>
  <c r="G5440" i="6"/>
  <c r="M5440" i="6" s="1"/>
  <c r="G5441" i="6"/>
  <c r="M5441" i="6" s="1"/>
  <c r="G5442" i="6"/>
  <c r="M5442" i="6" s="1"/>
  <c r="G5443" i="6"/>
  <c r="M5443" i="6" s="1"/>
  <c r="G5444" i="6"/>
  <c r="M5444" i="6" s="1"/>
  <c r="G5445" i="6"/>
  <c r="M5445" i="6" s="1"/>
  <c r="G5446" i="6"/>
  <c r="M5446" i="6" s="1"/>
  <c r="G5447" i="6"/>
  <c r="M5447" i="6" s="1"/>
  <c r="G5448" i="6"/>
  <c r="M5448" i="6" s="1"/>
  <c r="G5449" i="6"/>
  <c r="M5449" i="6" s="1"/>
  <c r="G5450" i="6"/>
  <c r="M5450" i="6" s="1"/>
  <c r="G5451" i="6"/>
  <c r="M5451" i="6" s="1"/>
  <c r="G5452" i="6"/>
  <c r="M5452" i="6" s="1"/>
  <c r="G5453" i="6"/>
  <c r="M5453" i="6" s="1"/>
  <c r="G5454" i="6"/>
  <c r="M5454" i="6" s="1"/>
  <c r="G5455" i="6"/>
  <c r="M5455" i="6" s="1"/>
  <c r="G5456" i="6"/>
  <c r="M5456" i="6" s="1"/>
  <c r="G5457" i="6"/>
  <c r="M5457" i="6" s="1"/>
  <c r="G5458" i="6"/>
  <c r="M5458" i="6" s="1"/>
  <c r="G5459" i="6"/>
  <c r="M5459" i="6" s="1"/>
  <c r="G5460" i="6"/>
  <c r="M5460" i="6" s="1"/>
  <c r="G5461" i="6"/>
  <c r="M5461" i="6" s="1"/>
  <c r="G5462" i="6"/>
  <c r="M5462" i="6" s="1"/>
  <c r="G5463" i="6"/>
  <c r="M5463" i="6" s="1"/>
  <c r="G5464" i="6"/>
  <c r="M5464" i="6" s="1"/>
  <c r="G5465" i="6"/>
  <c r="M5465" i="6" s="1"/>
  <c r="G5466" i="6"/>
  <c r="M5466" i="6" s="1"/>
  <c r="G5467" i="6"/>
  <c r="M5467" i="6" s="1"/>
  <c r="G5468" i="6"/>
  <c r="M5468" i="6" s="1"/>
  <c r="G5469" i="6"/>
  <c r="M5469" i="6" s="1"/>
  <c r="G5470" i="6"/>
  <c r="M5470" i="6" s="1"/>
  <c r="G5471" i="6"/>
  <c r="M5471" i="6" s="1"/>
  <c r="G5472" i="6"/>
  <c r="M5472" i="6" s="1"/>
  <c r="G5473" i="6"/>
  <c r="M5473" i="6" s="1"/>
  <c r="G5474" i="6"/>
  <c r="M5474" i="6" s="1"/>
  <c r="G5475" i="6"/>
  <c r="M5475" i="6" s="1"/>
  <c r="G5476" i="6"/>
  <c r="M5476" i="6" s="1"/>
  <c r="G5477" i="6"/>
  <c r="M5477" i="6" s="1"/>
  <c r="G5478" i="6"/>
  <c r="M5478" i="6" s="1"/>
  <c r="G5479" i="6"/>
  <c r="M5479" i="6" s="1"/>
  <c r="G5480" i="6"/>
  <c r="M5480" i="6" s="1"/>
  <c r="G5481" i="6"/>
  <c r="M5481" i="6" s="1"/>
  <c r="G5482" i="6"/>
  <c r="M5482" i="6" s="1"/>
  <c r="G5483" i="6"/>
  <c r="M5483" i="6" s="1"/>
  <c r="G5484" i="6"/>
  <c r="M5484" i="6" s="1"/>
  <c r="G5485" i="6"/>
  <c r="M5485" i="6" s="1"/>
  <c r="G5486" i="6"/>
  <c r="M5486" i="6" s="1"/>
  <c r="G5487" i="6"/>
  <c r="M5487" i="6" s="1"/>
  <c r="G5488" i="6"/>
  <c r="M5488" i="6" s="1"/>
  <c r="G5489" i="6"/>
  <c r="M5489" i="6" s="1"/>
  <c r="G5490" i="6"/>
  <c r="M5490" i="6" s="1"/>
  <c r="G5491" i="6"/>
  <c r="M5491" i="6" s="1"/>
  <c r="G5492" i="6"/>
  <c r="M5492" i="6" s="1"/>
  <c r="G5493" i="6"/>
  <c r="M5493" i="6" s="1"/>
  <c r="G5494" i="6"/>
  <c r="M5494" i="6" s="1"/>
  <c r="G5495" i="6"/>
  <c r="M5495" i="6" s="1"/>
  <c r="G5496" i="6"/>
  <c r="M5496" i="6" s="1"/>
  <c r="G5497" i="6"/>
  <c r="M5497" i="6" s="1"/>
  <c r="G5498" i="6"/>
  <c r="M5498" i="6" s="1"/>
  <c r="G5499" i="6"/>
  <c r="M5499" i="6" s="1"/>
  <c r="G5500" i="6"/>
  <c r="M5500" i="6" s="1"/>
  <c r="G5501" i="6"/>
  <c r="M5501" i="6" s="1"/>
  <c r="G5502" i="6"/>
  <c r="M5502" i="6" s="1"/>
  <c r="G5503" i="6"/>
  <c r="M5503" i="6" s="1"/>
  <c r="G5504" i="6"/>
  <c r="M5504" i="6" s="1"/>
  <c r="G5505" i="6"/>
  <c r="M5505" i="6" s="1"/>
  <c r="G5506" i="6"/>
  <c r="M5506" i="6" s="1"/>
  <c r="G5507" i="6"/>
  <c r="M5507" i="6" s="1"/>
  <c r="G5508" i="6"/>
  <c r="M5508" i="6" s="1"/>
  <c r="G5509" i="6"/>
  <c r="M5509" i="6" s="1"/>
  <c r="G5510" i="6"/>
  <c r="M5510" i="6" s="1"/>
  <c r="G5511" i="6"/>
  <c r="M5511" i="6" s="1"/>
  <c r="G5512" i="6"/>
  <c r="M5512" i="6" s="1"/>
  <c r="G5513" i="6"/>
  <c r="M5513" i="6" s="1"/>
  <c r="G5514" i="6"/>
  <c r="M5514" i="6" s="1"/>
  <c r="G5515" i="6"/>
  <c r="M5515" i="6" s="1"/>
  <c r="G5516" i="6"/>
  <c r="M5516" i="6" s="1"/>
  <c r="G5517" i="6"/>
  <c r="M5517" i="6" s="1"/>
  <c r="G5518" i="6"/>
  <c r="M5518" i="6" s="1"/>
  <c r="G5519" i="6"/>
  <c r="M5519" i="6" s="1"/>
  <c r="G5520" i="6"/>
  <c r="M5520" i="6" s="1"/>
  <c r="G5521" i="6"/>
  <c r="M5521" i="6" s="1"/>
  <c r="G5522" i="6"/>
  <c r="M5522" i="6" s="1"/>
  <c r="G5523" i="6"/>
  <c r="M5523" i="6" s="1"/>
  <c r="G5524" i="6"/>
  <c r="M5524" i="6" s="1"/>
  <c r="G5525" i="6"/>
  <c r="M5525" i="6" s="1"/>
  <c r="G5526" i="6"/>
  <c r="M5526" i="6" s="1"/>
  <c r="G5527" i="6"/>
  <c r="M5527" i="6" s="1"/>
  <c r="G5528" i="6"/>
  <c r="M5528" i="6" s="1"/>
  <c r="G5529" i="6"/>
  <c r="M5529" i="6" s="1"/>
  <c r="G5530" i="6"/>
  <c r="M5530" i="6" s="1"/>
  <c r="G5531" i="6"/>
  <c r="M5531" i="6" s="1"/>
  <c r="G5532" i="6"/>
  <c r="M5532" i="6" s="1"/>
  <c r="G5533" i="6"/>
  <c r="M5533" i="6" s="1"/>
  <c r="G5534" i="6"/>
  <c r="M5534" i="6" s="1"/>
  <c r="G5535" i="6"/>
  <c r="M5535" i="6" s="1"/>
  <c r="G5536" i="6"/>
  <c r="M5536" i="6" s="1"/>
  <c r="G5537" i="6"/>
  <c r="M5537" i="6" s="1"/>
  <c r="G5538" i="6"/>
  <c r="M5538" i="6" s="1"/>
  <c r="G5539" i="6"/>
  <c r="M5539" i="6" s="1"/>
  <c r="G5540" i="6"/>
  <c r="M5540" i="6" s="1"/>
  <c r="G5541" i="6"/>
  <c r="M5541" i="6" s="1"/>
  <c r="G5542" i="6"/>
  <c r="M5542" i="6" s="1"/>
  <c r="E2" i="7"/>
  <c r="C1" i="15"/>
  <c r="E1" i="15"/>
  <c r="D107" i="15" l="1"/>
  <c r="D99" i="15"/>
  <c r="D91" i="15"/>
  <c r="D83" i="15"/>
  <c r="D75" i="15"/>
  <c r="D67" i="15"/>
  <c r="D43" i="15"/>
  <c r="D106" i="15"/>
  <c r="D98" i="15"/>
  <c r="D90" i="15"/>
  <c r="D82" i="15"/>
  <c r="D74" i="15"/>
  <c r="D66" i="15"/>
  <c r="D50" i="15"/>
  <c r="D42" i="15"/>
  <c r="D113" i="15"/>
  <c r="D105" i="15"/>
  <c r="D97" i="15"/>
  <c r="D89" i="15"/>
  <c r="D81" i="15"/>
  <c r="D73" i="15"/>
  <c r="D65" i="15"/>
  <c r="D49" i="15"/>
  <c r="D41" i="15"/>
  <c r="D100" i="15"/>
  <c r="D84" i="15"/>
  <c r="D76" i="15"/>
  <c r="D68" i="15"/>
  <c r="D112" i="15"/>
  <c r="D104" i="15"/>
  <c r="D96" i="15"/>
  <c r="D88" i="15"/>
  <c r="D80" i="15"/>
  <c r="D72" i="15"/>
  <c r="D40" i="15"/>
  <c r="D108" i="15"/>
  <c r="D92" i="15"/>
  <c r="D111" i="15"/>
  <c r="D103" i="15"/>
  <c r="D95" i="15"/>
  <c r="D87" i="15"/>
  <c r="D79" i="15"/>
  <c r="D71" i="15"/>
  <c r="D110" i="15"/>
  <c r="D102" i="15"/>
  <c r="D94" i="15"/>
  <c r="D86" i="15"/>
  <c r="D78" i="15"/>
  <c r="D70" i="15"/>
  <c r="D109" i="15"/>
  <c r="D101" i="15"/>
  <c r="D93" i="15"/>
  <c r="D85" i="15"/>
  <c r="D77" i="15"/>
  <c r="D69" i="15"/>
  <c r="D29" i="15"/>
  <c r="G4" i="14"/>
  <c r="B21" i="15" l="1"/>
  <c r="D21" i="15" s="1"/>
  <c r="B20" i="15"/>
  <c r="D20" i="15" s="1"/>
  <c r="B4" i="15" l="1"/>
  <c r="D4" i="15" s="1"/>
  <c r="P2" i="6" l="1"/>
  <c r="P6" i="6" l="1"/>
  <c r="P11" i="6"/>
  <c r="P9" i="6" l="1"/>
  <c r="P4" i="6"/>
  <c r="P8" i="6"/>
  <c r="P15" i="6" l="1"/>
  <c r="P5" i="6"/>
  <c r="P14" i="6"/>
  <c r="B5" i="7" l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A20" i="12"/>
  <c r="B20" i="12" s="1"/>
  <c r="A21" i="12"/>
  <c r="B21" i="12" s="1"/>
  <c r="A22" i="12"/>
  <c r="B22" i="12" s="1"/>
  <c r="D22" i="12" s="1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19" i="12"/>
  <c r="B19" i="12" s="1"/>
  <c r="D19" i="12" s="1"/>
  <c r="B23" i="12"/>
  <c r="A18" i="12"/>
  <c r="B18" i="12" s="1"/>
  <c r="D18" i="12" s="1"/>
  <c r="Z372" i="15" l="1"/>
  <c r="Z4" i="15"/>
  <c r="Z5" i="15"/>
  <c r="Z6" i="15"/>
  <c r="Z7" i="15"/>
  <c r="Z8" i="15"/>
  <c r="Z9" i="15"/>
  <c r="Z10" i="15"/>
  <c r="Z11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Z65" i="15"/>
  <c r="Z66" i="15"/>
  <c r="Z67" i="15"/>
  <c r="Z68" i="15"/>
  <c r="Z69" i="15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84" i="15"/>
  <c r="Z85" i="15"/>
  <c r="Z86" i="15"/>
  <c r="Z87" i="15"/>
  <c r="Z88" i="15"/>
  <c r="Z89" i="15"/>
  <c r="Z90" i="15"/>
  <c r="Z91" i="15"/>
  <c r="Z92" i="15"/>
  <c r="Z93" i="15"/>
  <c r="Z94" i="15"/>
  <c r="Z95" i="15"/>
  <c r="Z96" i="15"/>
  <c r="Z97" i="15"/>
  <c r="Z98" i="15"/>
  <c r="Z99" i="15"/>
  <c r="Z100" i="15"/>
  <c r="Z101" i="15"/>
  <c r="Z102" i="15"/>
  <c r="Z103" i="15"/>
  <c r="Z104" i="15"/>
  <c r="Z105" i="15"/>
  <c r="Z106" i="15"/>
  <c r="Z107" i="15"/>
  <c r="Z108" i="15"/>
  <c r="Z109" i="15"/>
  <c r="Z110" i="15"/>
  <c r="Z111" i="15"/>
  <c r="Z112" i="15"/>
  <c r="Z113" i="15"/>
  <c r="Z114" i="15"/>
  <c r="Z115" i="15"/>
  <c r="Z116" i="15"/>
  <c r="Z117" i="15"/>
  <c r="Z118" i="15"/>
  <c r="Z119" i="15"/>
  <c r="Z120" i="15"/>
  <c r="Z121" i="15"/>
  <c r="Z122" i="15"/>
  <c r="Z123" i="15"/>
  <c r="Z124" i="15"/>
  <c r="Z125" i="15"/>
  <c r="Z126" i="15"/>
  <c r="Z127" i="15"/>
  <c r="Z128" i="15"/>
  <c r="Z129" i="15"/>
  <c r="Z130" i="15"/>
  <c r="Z131" i="15"/>
  <c r="Z132" i="15"/>
  <c r="Z133" i="15"/>
  <c r="Z134" i="15"/>
  <c r="Z135" i="15"/>
  <c r="Z136" i="15"/>
  <c r="Z137" i="15"/>
  <c r="Z138" i="15"/>
  <c r="Z139" i="15"/>
  <c r="Z140" i="15"/>
  <c r="Z141" i="15"/>
  <c r="Z142" i="15"/>
  <c r="Z143" i="15"/>
  <c r="Z144" i="15"/>
  <c r="Z145" i="15"/>
  <c r="Z146" i="15"/>
  <c r="Z147" i="15"/>
  <c r="Z148" i="15"/>
  <c r="Z149" i="15"/>
  <c r="Z150" i="15"/>
  <c r="Z151" i="15"/>
  <c r="Z152" i="15"/>
  <c r="Z153" i="15"/>
  <c r="Z154" i="15"/>
  <c r="Z155" i="15"/>
  <c r="Z156" i="15"/>
  <c r="Z157" i="15"/>
  <c r="Z158" i="15"/>
  <c r="Z159" i="15"/>
  <c r="Z160" i="15"/>
  <c r="Z161" i="15"/>
  <c r="Z162" i="15"/>
  <c r="Z163" i="15"/>
  <c r="Z164" i="15"/>
  <c r="Z165" i="15"/>
  <c r="Z166" i="15"/>
  <c r="Z167" i="15"/>
  <c r="Z168" i="15"/>
  <c r="Z169" i="15"/>
  <c r="Z170" i="15"/>
  <c r="Z171" i="15"/>
  <c r="Z172" i="15"/>
  <c r="Z173" i="15"/>
  <c r="Z174" i="15"/>
  <c r="Z175" i="15"/>
  <c r="Z176" i="15"/>
  <c r="Z177" i="15"/>
  <c r="Z178" i="15"/>
  <c r="Z179" i="15"/>
  <c r="Z180" i="15"/>
  <c r="Z181" i="15"/>
  <c r="Z182" i="15"/>
  <c r="Z183" i="15"/>
  <c r="Z184" i="15"/>
  <c r="Z185" i="15"/>
  <c r="Z186" i="15"/>
  <c r="Z187" i="15"/>
  <c r="Z188" i="15"/>
  <c r="Z189" i="15"/>
  <c r="Z190" i="15"/>
  <c r="Z191" i="15"/>
  <c r="Z192" i="15"/>
  <c r="Z193" i="15"/>
  <c r="Z194" i="15"/>
  <c r="Z195" i="15"/>
  <c r="Z196" i="15"/>
  <c r="Z197" i="15"/>
  <c r="Z198" i="15"/>
  <c r="Z199" i="15"/>
  <c r="Z200" i="15"/>
  <c r="Z201" i="15"/>
  <c r="Z202" i="15"/>
  <c r="Z203" i="15"/>
  <c r="Z204" i="15"/>
  <c r="Z205" i="15"/>
  <c r="Z206" i="15"/>
  <c r="Z207" i="15"/>
  <c r="Z208" i="15"/>
  <c r="Z209" i="15"/>
  <c r="Z210" i="15"/>
  <c r="Z211" i="15"/>
  <c r="Z212" i="15"/>
  <c r="Z213" i="15"/>
  <c r="Z214" i="15"/>
  <c r="Z215" i="15"/>
  <c r="Z216" i="15"/>
  <c r="Z217" i="15"/>
  <c r="Z218" i="15"/>
  <c r="Z219" i="15"/>
  <c r="Z220" i="15"/>
  <c r="Z221" i="15"/>
  <c r="Z222" i="15"/>
  <c r="Z223" i="15"/>
  <c r="Z224" i="15"/>
  <c r="Z225" i="15"/>
  <c r="Z226" i="15"/>
  <c r="Z227" i="15"/>
  <c r="Z228" i="15"/>
  <c r="Z229" i="15"/>
  <c r="Z230" i="15"/>
  <c r="Z231" i="15"/>
  <c r="Z232" i="15"/>
  <c r="Z233" i="15"/>
  <c r="Z234" i="15"/>
  <c r="Z235" i="15"/>
  <c r="Z236" i="15"/>
  <c r="Z237" i="15"/>
  <c r="Z238" i="15"/>
  <c r="Z239" i="15"/>
  <c r="Z240" i="15"/>
  <c r="Z241" i="15"/>
  <c r="Z242" i="15"/>
  <c r="Z243" i="15"/>
  <c r="Z244" i="15"/>
  <c r="Z245" i="15"/>
  <c r="Z246" i="15"/>
  <c r="Z247" i="15"/>
  <c r="Z248" i="15"/>
  <c r="Z249" i="15"/>
  <c r="Z250" i="15"/>
  <c r="Z251" i="15"/>
  <c r="Z252" i="15"/>
  <c r="Z253" i="15"/>
  <c r="Z254" i="15"/>
  <c r="Z255" i="15"/>
  <c r="Z256" i="15"/>
  <c r="Z257" i="15"/>
  <c r="Z258" i="15"/>
  <c r="Z259" i="15"/>
  <c r="Z260" i="15"/>
  <c r="Z261" i="15"/>
  <c r="Z262" i="15"/>
  <c r="Z263" i="15"/>
  <c r="Z264" i="15"/>
  <c r="Z265" i="15"/>
  <c r="Z266" i="15"/>
  <c r="Z267" i="15"/>
  <c r="Z268" i="15"/>
  <c r="Z269" i="15"/>
  <c r="Z270" i="15"/>
  <c r="Z271" i="15"/>
  <c r="Z272" i="15"/>
  <c r="Z273" i="15"/>
  <c r="Z274" i="15"/>
  <c r="Z275" i="15"/>
  <c r="Z276" i="15"/>
  <c r="Z277" i="15"/>
  <c r="Z278" i="15"/>
  <c r="Z279" i="15"/>
  <c r="Z280" i="15"/>
  <c r="Z281" i="15"/>
  <c r="Z282" i="15"/>
  <c r="Z283" i="15"/>
  <c r="Z284" i="15"/>
  <c r="Z285" i="15"/>
  <c r="Z286" i="15"/>
  <c r="Z287" i="15"/>
  <c r="Z288" i="15"/>
  <c r="Z289" i="15"/>
  <c r="Z290" i="15"/>
  <c r="Z291" i="15"/>
  <c r="Z292" i="15"/>
  <c r="Z293" i="15"/>
  <c r="Z294" i="15"/>
  <c r="Z295" i="15"/>
  <c r="Z296" i="15"/>
  <c r="Z297" i="15"/>
  <c r="Z298" i="15"/>
  <c r="Z299" i="15"/>
  <c r="Z300" i="15"/>
  <c r="Z301" i="15"/>
  <c r="Z302" i="15"/>
  <c r="Z303" i="15"/>
  <c r="Z304" i="15"/>
  <c r="Z305" i="15"/>
  <c r="Z306" i="15"/>
  <c r="Z307" i="15"/>
  <c r="Z308" i="15"/>
  <c r="Z309" i="15"/>
  <c r="Z310" i="15"/>
  <c r="Z311" i="15"/>
  <c r="Z312" i="15"/>
  <c r="Z313" i="15"/>
  <c r="Z314" i="15"/>
  <c r="Z315" i="15"/>
  <c r="Z316" i="15"/>
  <c r="Z317" i="15"/>
  <c r="Z318" i="15"/>
  <c r="Z319" i="15"/>
  <c r="Z320" i="15"/>
  <c r="Z321" i="15"/>
  <c r="Z322" i="15"/>
  <c r="Z323" i="15"/>
  <c r="Z324" i="15"/>
  <c r="Z325" i="15"/>
  <c r="Z326" i="15"/>
  <c r="Z327" i="15"/>
  <c r="Z328" i="15"/>
  <c r="Z329" i="15"/>
  <c r="Z330" i="15"/>
  <c r="Z331" i="15"/>
  <c r="Z332" i="15"/>
  <c r="Z333" i="15"/>
  <c r="Z334" i="15"/>
  <c r="Z335" i="15"/>
  <c r="Z336" i="15"/>
  <c r="Z337" i="15"/>
  <c r="Z338" i="15"/>
  <c r="Z339" i="15"/>
  <c r="Z340" i="15"/>
  <c r="Z341" i="15"/>
  <c r="Z342" i="15"/>
  <c r="Z343" i="15"/>
  <c r="Z344" i="15"/>
  <c r="Z345" i="15"/>
  <c r="Z346" i="15"/>
  <c r="Z347" i="15"/>
  <c r="Z348" i="15"/>
  <c r="Z349" i="15"/>
  <c r="Z350" i="15"/>
  <c r="Z351" i="15"/>
  <c r="Z352" i="15"/>
  <c r="Z353" i="15"/>
  <c r="Z354" i="15"/>
  <c r="Z355" i="15"/>
  <c r="Z356" i="15"/>
  <c r="Z357" i="15"/>
  <c r="Z358" i="15"/>
  <c r="Z359" i="15"/>
  <c r="Z360" i="15"/>
  <c r="Z361" i="15"/>
  <c r="Z362" i="15"/>
  <c r="Z363" i="15"/>
  <c r="Z364" i="15"/>
  <c r="Z365" i="15"/>
  <c r="Z366" i="15"/>
  <c r="Z367" i="15"/>
  <c r="Z368" i="15"/>
  <c r="Z369" i="15"/>
  <c r="Z370" i="15"/>
  <c r="Z371" i="15"/>
  <c r="Z373" i="15"/>
  <c r="Z3" i="15"/>
  <c r="Z2" i="15"/>
  <c r="D1" i="15" l="1"/>
  <c r="F1" i="15" l="1"/>
  <c r="W1" i="15" s="1"/>
  <c r="Y343" i="15"/>
  <c r="Y281" i="15"/>
  <c r="Y312" i="15"/>
  <c r="Y219" i="15"/>
  <c r="Y250" i="15"/>
  <c r="Y157" i="15"/>
  <c r="Y188" i="15"/>
  <c r="Y95" i="15"/>
  <c r="Y126" i="15"/>
  <c r="Y33" i="15"/>
  <c r="Y64" i="15"/>
  <c r="Y2" i="15"/>
  <c r="W2" i="15" l="1"/>
  <c r="W34" i="15" l="1"/>
  <c r="B64" i="15"/>
  <c r="D64" i="15" s="1"/>
  <c r="B63" i="15"/>
  <c r="D63" i="15" s="1"/>
  <c r="B62" i="15"/>
  <c r="D62" i="15" s="1"/>
  <c r="B61" i="15"/>
  <c r="D61" i="15" s="1"/>
  <c r="B60" i="15"/>
  <c r="D60" i="15" s="1"/>
  <c r="B59" i="15"/>
  <c r="D59" i="15" s="1"/>
  <c r="B58" i="15"/>
  <c r="D58" i="15" s="1"/>
  <c r="B57" i="15"/>
  <c r="D57" i="15" s="1"/>
  <c r="B56" i="15"/>
  <c r="D56" i="15" s="1"/>
  <c r="B55" i="15"/>
  <c r="D55" i="15" s="1"/>
  <c r="B54" i="15"/>
  <c r="D54" i="15" s="1"/>
  <c r="B53" i="15"/>
  <c r="D53" i="15" s="1"/>
  <c r="B52" i="15"/>
  <c r="D52" i="15" s="1"/>
  <c r="B51" i="15"/>
  <c r="D51" i="15" s="1"/>
  <c r="B48" i="15"/>
  <c r="D48" i="15" s="1"/>
  <c r="B47" i="15"/>
  <c r="D47" i="15" s="1"/>
  <c r="B46" i="15"/>
  <c r="D46" i="15" s="1"/>
  <c r="B45" i="15"/>
  <c r="D45" i="15" s="1"/>
  <c r="B44" i="15"/>
  <c r="D44" i="15" s="1"/>
  <c r="B39" i="15"/>
  <c r="D39" i="15" s="1"/>
  <c r="B38" i="15"/>
  <c r="D38" i="15" s="1"/>
  <c r="B37" i="15"/>
  <c r="D37" i="15" s="1"/>
  <c r="B36" i="15"/>
  <c r="D36" i="15" s="1"/>
  <c r="B35" i="15"/>
  <c r="D35" i="15" s="1"/>
  <c r="B34" i="15"/>
  <c r="D34" i="15" s="1"/>
  <c r="B33" i="15"/>
  <c r="D33" i="15" s="1"/>
  <c r="B32" i="15"/>
  <c r="D32" i="15" s="1"/>
  <c r="B31" i="15"/>
  <c r="D31" i="15" s="1"/>
  <c r="B30" i="15"/>
  <c r="D30" i="15" s="1"/>
  <c r="B28" i="15"/>
  <c r="D28" i="15" s="1"/>
  <c r="B27" i="15"/>
  <c r="D27" i="15" s="1"/>
  <c r="B26" i="15"/>
  <c r="D26" i="15" s="1"/>
  <c r="B25" i="15"/>
  <c r="D25" i="15" s="1"/>
  <c r="B24" i="15"/>
  <c r="D24" i="15" s="1"/>
  <c r="B23" i="15"/>
  <c r="D23" i="15" s="1"/>
  <c r="B22" i="15"/>
  <c r="D22" i="15" s="1"/>
  <c r="B19" i="15"/>
  <c r="D19" i="15" s="1"/>
  <c r="B18" i="15"/>
  <c r="D18" i="15" s="1"/>
  <c r="B17" i="15"/>
  <c r="D17" i="15" s="1"/>
  <c r="B16" i="15"/>
  <c r="D16" i="15" s="1"/>
  <c r="B15" i="15"/>
  <c r="D15" i="15" s="1"/>
  <c r="B14" i="15"/>
  <c r="D14" i="15" s="1"/>
  <c r="B13" i="15"/>
  <c r="D13" i="15" s="1"/>
  <c r="B12" i="15"/>
  <c r="D12" i="15" s="1"/>
  <c r="B11" i="15"/>
  <c r="D11" i="15" s="1"/>
  <c r="B10" i="15"/>
  <c r="D10" i="15" s="1"/>
  <c r="B9" i="15"/>
  <c r="D9" i="15" s="1"/>
  <c r="B8" i="15"/>
  <c r="D8" i="15" s="1"/>
  <c r="B7" i="15"/>
  <c r="D7" i="15" s="1"/>
  <c r="B6" i="15"/>
  <c r="D6" i="15" s="1"/>
  <c r="B5" i="15"/>
  <c r="D5" i="15" s="1"/>
  <c r="E4" i="15" l="1"/>
  <c r="E113" i="15"/>
  <c r="E108" i="15"/>
  <c r="E112" i="15"/>
  <c r="E107" i="15"/>
  <c r="E111" i="15"/>
  <c r="E110" i="15"/>
  <c r="E109" i="15"/>
  <c r="E8" i="15"/>
  <c r="E24" i="15"/>
  <c r="E40" i="15"/>
  <c r="E17" i="15"/>
  <c r="E33" i="15"/>
  <c r="E49" i="15"/>
  <c r="E65" i="15"/>
  <c r="E81" i="15"/>
  <c r="E97" i="15"/>
  <c r="E15" i="15"/>
  <c r="E31" i="15"/>
  <c r="E47" i="15"/>
  <c r="E63" i="15"/>
  <c r="E79" i="15"/>
  <c r="E95" i="15"/>
  <c r="E18" i="15"/>
  <c r="E64" i="15"/>
  <c r="E96" i="15"/>
  <c r="E68" i="15"/>
  <c r="E30" i="15"/>
  <c r="E94" i="15"/>
  <c r="E74" i="15"/>
  <c r="E60" i="15"/>
  <c r="E86" i="15"/>
  <c r="E12" i="15"/>
  <c r="E28" i="15"/>
  <c r="E44" i="15"/>
  <c r="E21" i="15"/>
  <c r="E37" i="15"/>
  <c r="E53" i="15"/>
  <c r="E69" i="15"/>
  <c r="E85" i="15"/>
  <c r="E101" i="15"/>
  <c r="E19" i="15"/>
  <c r="E35" i="15"/>
  <c r="E51" i="15"/>
  <c r="E67" i="15"/>
  <c r="E83" i="15"/>
  <c r="E99" i="15"/>
  <c r="E34" i="15"/>
  <c r="E72" i="15"/>
  <c r="E104" i="15"/>
  <c r="E26" i="15"/>
  <c r="E78" i="15"/>
  <c r="E52" i="15"/>
  <c r="E92" i="15"/>
  <c r="E76" i="15"/>
  <c r="E106" i="15"/>
  <c r="E84" i="15"/>
  <c r="E62" i="15"/>
  <c r="E20" i="15"/>
  <c r="E36" i="15"/>
  <c r="E13" i="15"/>
  <c r="E29" i="15"/>
  <c r="E45" i="15"/>
  <c r="E61" i="15"/>
  <c r="E77" i="15"/>
  <c r="E93" i="15"/>
  <c r="E11" i="15"/>
  <c r="E27" i="15"/>
  <c r="E43" i="15"/>
  <c r="E59" i="15"/>
  <c r="E75" i="15"/>
  <c r="E91" i="15"/>
  <c r="E56" i="15"/>
  <c r="E88" i="15"/>
  <c r="E58" i="15"/>
  <c r="E100" i="15"/>
  <c r="E38" i="15"/>
  <c r="E82" i="15"/>
  <c r="E54" i="15"/>
  <c r="E22" i="15"/>
  <c r="E70" i="15"/>
  <c r="E16" i="15"/>
  <c r="E41" i="15"/>
  <c r="E105" i="15"/>
  <c r="E23" i="15"/>
  <c r="E87" i="15"/>
  <c r="E66" i="15"/>
  <c r="E98" i="15"/>
  <c r="E42" i="15"/>
  <c r="E32" i="15"/>
  <c r="E57" i="15"/>
  <c r="E39" i="15"/>
  <c r="E103" i="15"/>
  <c r="E48" i="15"/>
  <c r="E102" i="15"/>
  <c r="E25" i="15"/>
  <c r="E89" i="15"/>
  <c r="E71" i="15"/>
  <c r="E90" i="15"/>
  <c r="E10" i="15"/>
  <c r="E50" i="15"/>
  <c r="E55" i="15"/>
  <c r="E80" i="15"/>
  <c r="E73" i="15"/>
  <c r="E14" i="15"/>
  <c r="E46" i="15"/>
  <c r="E9" i="15"/>
  <c r="E7" i="15"/>
  <c r="E6" i="15"/>
  <c r="E5" i="15"/>
  <c r="B4" i="7" l="1"/>
  <c r="D4" i="7" s="1"/>
  <c r="A11" i="12" l="1"/>
  <c r="B11" i="12" s="1"/>
  <c r="D11" i="12" s="1"/>
  <c r="A6" i="12"/>
  <c r="B6" i="12" s="1"/>
  <c r="D6" i="12" s="1"/>
  <c r="A7" i="12"/>
  <c r="B7" i="12" s="1"/>
  <c r="D7" i="12" s="1"/>
  <c r="A4" i="12" l="1"/>
  <c r="A2" i="12"/>
  <c r="A3" i="12" l="1"/>
  <c r="B3" i="12" s="1"/>
  <c r="D3" i="12" s="1"/>
  <c r="B4" i="12"/>
  <c r="D4" i="12" s="1"/>
  <c r="B2" i="12"/>
  <c r="D2" i="12" s="1"/>
  <c r="A105" i="12" l="1"/>
  <c r="D1" i="10" l="1"/>
  <c r="A109" i="12" l="1"/>
  <c r="A108" i="12"/>
  <c r="A107" i="12"/>
  <c r="A106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B62" i="12"/>
  <c r="D62" i="12" s="1"/>
  <c r="B61" i="12"/>
  <c r="D61" i="12" s="1"/>
  <c r="B60" i="12"/>
  <c r="D60" i="12" s="1"/>
  <c r="B59" i="12"/>
  <c r="D59" i="12" s="1"/>
  <c r="B58" i="12"/>
  <c r="D58" i="12" s="1"/>
  <c r="B57" i="12"/>
  <c r="D57" i="12" s="1"/>
  <c r="B56" i="12"/>
  <c r="D56" i="12" s="1"/>
  <c r="B55" i="12"/>
  <c r="D55" i="12" s="1"/>
  <c r="B54" i="12"/>
  <c r="D54" i="12" s="1"/>
  <c r="B53" i="12"/>
  <c r="D53" i="12" s="1"/>
  <c r="B52" i="12"/>
  <c r="D52" i="12" s="1"/>
  <c r="B51" i="12"/>
  <c r="D51" i="12" s="1"/>
  <c r="B50" i="12"/>
  <c r="D50" i="12" s="1"/>
  <c r="B49" i="12"/>
  <c r="D49" i="12" s="1"/>
  <c r="B48" i="12"/>
  <c r="D48" i="12" s="1"/>
  <c r="B47" i="12"/>
  <c r="D47" i="12" s="1"/>
  <c r="B46" i="12"/>
  <c r="D46" i="12" s="1"/>
  <c r="B45" i="12"/>
  <c r="D45" i="12" s="1"/>
  <c r="B44" i="12"/>
  <c r="D44" i="12" s="1"/>
  <c r="B43" i="12"/>
  <c r="D43" i="12" s="1"/>
  <c r="B42" i="12"/>
  <c r="D42" i="12" s="1"/>
  <c r="B41" i="12"/>
  <c r="D41" i="12" s="1"/>
  <c r="B40" i="12"/>
  <c r="D40" i="12" s="1"/>
  <c r="B39" i="12"/>
  <c r="D39" i="12" s="1"/>
  <c r="B38" i="12"/>
  <c r="D38" i="12" s="1"/>
  <c r="B37" i="12"/>
  <c r="D37" i="12" s="1"/>
  <c r="B36" i="12"/>
  <c r="D36" i="12" s="1"/>
  <c r="B35" i="12"/>
  <c r="D35" i="12" s="1"/>
  <c r="B34" i="12"/>
  <c r="D34" i="12" s="1"/>
  <c r="B33" i="12"/>
  <c r="D33" i="12" s="1"/>
  <c r="B32" i="12"/>
  <c r="D32" i="12" s="1"/>
  <c r="B31" i="12"/>
  <c r="D31" i="12" s="1"/>
  <c r="B30" i="12"/>
  <c r="D30" i="12" s="1"/>
  <c r="B29" i="12"/>
  <c r="D29" i="12" s="1"/>
  <c r="B28" i="12"/>
  <c r="D28" i="12" s="1"/>
  <c r="B27" i="12"/>
  <c r="D27" i="12" s="1"/>
  <c r="B26" i="12"/>
  <c r="D26" i="12" s="1"/>
  <c r="B25" i="12"/>
  <c r="D25" i="12" s="1"/>
  <c r="B24" i="12"/>
  <c r="D24" i="12" s="1"/>
  <c r="D23" i="12"/>
  <c r="D21" i="12"/>
  <c r="D20" i="12"/>
  <c r="A17" i="12"/>
  <c r="A16" i="12"/>
  <c r="B16" i="12" s="1"/>
  <c r="D16" i="12" s="1"/>
  <c r="A15" i="12"/>
  <c r="B15" i="12" s="1"/>
  <c r="D15" i="12" s="1"/>
  <c r="A14" i="12"/>
  <c r="B14" i="12" s="1"/>
  <c r="D14" i="12" s="1"/>
  <c r="A13" i="12"/>
  <c r="B13" i="12" s="1"/>
  <c r="D13" i="12" s="1"/>
  <c r="A12" i="12"/>
  <c r="B12" i="12" s="1"/>
  <c r="D12" i="12" s="1"/>
  <c r="A10" i="12"/>
  <c r="A9" i="12"/>
  <c r="A8" i="12"/>
  <c r="A5" i="12"/>
  <c r="B5" i="12" s="1"/>
  <c r="D5" i="12" s="1"/>
  <c r="B10" i="12" l="1"/>
  <c r="D10" i="12" s="1"/>
  <c r="B17" i="12"/>
  <c r="D17" i="12" s="1"/>
  <c r="B8" i="12"/>
  <c r="D8" i="12" s="1"/>
  <c r="B9" i="12"/>
  <c r="D9" i="12" s="1"/>
  <c r="O15" i="6" l="1"/>
  <c r="H1" i="6"/>
  <c r="O1" i="6"/>
  <c r="G17" i="9"/>
  <c r="G19" i="9" l="1"/>
  <c r="G18" i="9"/>
  <c r="F17" i="9"/>
  <c r="F18" i="9"/>
  <c r="B17" i="9"/>
  <c r="B18" i="9"/>
  <c r="E2" i="2"/>
  <c r="E17" i="9" s="1"/>
  <c r="B21" i="9"/>
  <c r="B22" i="9"/>
  <c r="O12" i="6" l="1"/>
  <c r="O5" i="6"/>
  <c r="O9" i="6"/>
  <c r="E3" i="2"/>
  <c r="E18" i="9" s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G35" i="9"/>
  <c r="E43" i="9" l="1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6" i="9"/>
  <c r="G37" i="9"/>
  <c r="G38" i="9"/>
  <c r="G39" i="9"/>
  <c r="G40" i="9"/>
  <c r="G41" i="9"/>
  <c r="G42" i="9"/>
  <c r="G43" i="9"/>
  <c r="G46" i="9" l="1"/>
  <c r="G10" i="9" l="1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B19" i="9"/>
  <c r="B20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E4" i="7" l="1"/>
  <c r="D25" i="7"/>
  <c r="E17" i="7"/>
  <c r="E69" i="7"/>
  <c r="E85" i="7"/>
  <c r="E97" i="7"/>
  <c r="E109" i="7"/>
  <c r="E14" i="7"/>
  <c r="E18" i="7"/>
  <c r="E22" i="7"/>
  <c r="E26" i="7"/>
  <c r="E30" i="7"/>
  <c r="E34" i="7"/>
  <c r="E38" i="7"/>
  <c r="E42" i="7"/>
  <c r="E46" i="7"/>
  <c r="E50" i="7"/>
  <c r="E54" i="7"/>
  <c r="E58" i="7"/>
  <c r="E62" i="7"/>
  <c r="E66" i="7"/>
  <c r="E70" i="7"/>
  <c r="E74" i="7"/>
  <c r="E78" i="7"/>
  <c r="E82" i="7"/>
  <c r="E86" i="7"/>
  <c r="E90" i="7"/>
  <c r="E94" i="7"/>
  <c r="E98" i="7"/>
  <c r="E102" i="7"/>
  <c r="E106" i="7"/>
  <c r="E110" i="7"/>
  <c r="E15" i="7"/>
  <c r="E19" i="7"/>
  <c r="E23" i="7"/>
  <c r="E27" i="7"/>
  <c r="E31" i="7"/>
  <c r="E35" i="7"/>
  <c r="E39" i="7"/>
  <c r="E43" i="7"/>
  <c r="E47" i="7"/>
  <c r="E51" i="7"/>
  <c r="E55" i="7"/>
  <c r="E59" i="7"/>
  <c r="E63" i="7"/>
  <c r="E67" i="7"/>
  <c r="E71" i="7"/>
  <c r="E75" i="7"/>
  <c r="E79" i="7"/>
  <c r="E83" i="7"/>
  <c r="E87" i="7"/>
  <c r="E91" i="7"/>
  <c r="E95" i="7"/>
  <c r="E99" i="7"/>
  <c r="E103" i="7"/>
  <c r="E107" i="7"/>
  <c r="E111" i="7"/>
  <c r="E16" i="7"/>
  <c r="E20" i="7"/>
  <c r="E24" i="7"/>
  <c r="E28" i="7"/>
  <c r="E32" i="7"/>
  <c r="E36" i="7"/>
  <c r="E40" i="7"/>
  <c r="E44" i="7"/>
  <c r="E48" i="7"/>
  <c r="E52" i="7"/>
  <c r="E56" i="7"/>
  <c r="E60" i="7"/>
  <c r="E64" i="7"/>
  <c r="E68" i="7"/>
  <c r="E72" i="7"/>
  <c r="E76" i="7"/>
  <c r="E80" i="7"/>
  <c r="E84" i="7"/>
  <c r="E88" i="7"/>
  <c r="E92" i="7"/>
  <c r="E96" i="7"/>
  <c r="E100" i="7"/>
  <c r="E104" i="7"/>
  <c r="E108" i="7"/>
  <c r="E112" i="7"/>
  <c r="E13" i="7"/>
  <c r="E21" i="7"/>
  <c r="E25" i="7"/>
  <c r="E29" i="7"/>
  <c r="E33" i="7"/>
  <c r="E37" i="7"/>
  <c r="E41" i="7"/>
  <c r="E45" i="7"/>
  <c r="E49" i="7"/>
  <c r="E53" i="7"/>
  <c r="E57" i="7"/>
  <c r="E61" i="7"/>
  <c r="E65" i="7"/>
  <c r="E73" i="7"/>
  <c r="E77" i="7"/>
  <c r="E81" i="7"/>
  <c r="E89" i="7"/>
  <c r="E93" i="7"/>
  <c r="E101" i="7"/>
  <c r="E105" i="7"/>
  <c r="E113" i="7"/>
  <c r="E7" i="7"/>
  <c r="D69" i="7"/>
  <c r="D62" i="7"/>
  <c r="D82" i="7"/>
  <c r="D90" i="7"/>
  <c r="D106" i="7"/>
  <c r="D15" i="7"/>
  <c r="D23" i="7"/>
  <c r="D27" i="7"/>
  <c r="D35" i="7"/>
  <c r="D47" i="7"/>
  <c r="D55" i="7"/>
  <c r="D67" i="7"/>
  <c r="D75" i="7"/>
  <c r="D87" i="7"/>
  <c r="D99" i="7"/>
  <c r="D107" i="7"/>
  <c r="D70" i="7"/>
  <c r="D63" i="7"/>
  <c r="D79" i="7"/>
  <c r="D95" i="7"/>
  <c r="D111" i="7"/>
  <c r="D16" i="7"/>
  <c r="D20" i="7"/>
  <c r="D24" i="7"/>
  <c r="D28" i="7"/>
  <c r="D32" i="7"/>
  <c r="D36" i="7"/>
  <c r="D40" i="7"/>
  <c r="D44" i="7"/>
  <c r="D48" i="7"/>
  <c r="D52" i="7"/>
  <c r="D56" i="7"/>
  <c r="D60" i="7"/>
  <c r="D64" i="7"/>
  <c r="D68" i="7"/>
  <c r="D72" i="7"/>
  <c r="D76" i="7"/>
  <c r="D80" i="7"/>
  <c r="D84" i="7"/>
  <c r="D88" i="7"/>
  <c r="D92" i="7"/>
  <c r="D96" i="7"/>
  <c r="D100" i="7"/>
  <c r="D104" i="7"/>
  <c r="D108" i="7"/>
  <c r="D112" i="7"/>
  <c r="D13" i="7"/>
  <c r="D17" i="7"/>
  <c r="D21" i="7"/>
  <c r="D29" i="7"/>
  <c r="D33" i="7"/>
  <c r="D37" i="7"/>
  <c r="D41" i="7"/>
  <c r="D45" i="7"/>
  <c r="D49" i="7"/>
  <c r="D53" i="7"/>
  <c r="D57" i="7"/>
  <c r="D61" i="7"/>
  <c r="D65" i="7"/>
  <c r="D73" i="7"/>
  <c r="D77" i="7"/>
  <c r="D81" i="7"/>
  <c r="D85" i="7"/>
  <c r="D89" i="7"/>
  <c r="D93" i="7"/>
  <c r="D97" i="7"/>
  <c r="D101" i="7"/>
  <c r="D105" i="7"/>
  <c r="D109" i="7"/>
  <c r="D113" i="7"/>
  <c r="D14" i="7"/>
  <c r="D18" i="7"/>
  <c r="D22" i="7"/>
  <c r="D26" i="7"/>
  <c r="D30" i="7"/>
  <c r="D34" i="7"/>
  <c r="D38" i="7"/>
  <c r="D42" i="7"/>
  <c r="D46" i="7"/>
  <c r="D50" i="7"/>
  <c r="D54" i="7"/>
  <c r="D58" i="7"/>
  <c r="D66" i="7"/>
  <c r="D74" i="7"/>
  <c r="D78" i="7"/>
  <c r="D86" i="7"/>
  <c r="D94" i="7"/>
  <c r="D98" i="7"/>
  <c r="D102" i="7"/>
  <c r="D110" i="7"/>
  <c r="D19" i="7"/>
  <c r="D31" i="7"/>
  <c r="D39" i="7"/>
  <c r="D43" i="7"/>
  <c r="D51" i="7"/>
  <c r="D59" i="7"/>
  <c r="D71" i="7"/>
  <c r="D83" i="7"/>
  <c r="D91" i="7"/>
  <c r="D103" i="7"/>
  <c r="D12" i="7"/>
  <c r="E11" i="7"/>
  <c r="E12" i="7"/>
  <c r="D11" i="7"/>
  <c r="E5" i="7"/>
  <c r="E6" i="7" l="1"/>
  <c r="E8" i="7"/>
  <c r="E9" i="7"/>
  <c r="E10" i="7"/>
  <c r="D10" i="7"/>
  <c r="D9" i="7"/>
  <c r="D8" i="7"/>
  <c r="D7" i="7"/>
  <c r="D6" i="7"/>
  <c r="D5" i="7"/>
  <c r="N1" i="7" l="1"/>
  <c r="M1" i="7"/>
  <c r="Y127" i="15" l="1"/>
  <c r="Y128" i="15" s="1"/>
  <c r="Y129" i="15" s="1"/>
  <c r="Y130" i="15" s="1"/>
  <c r="Y131" i="15" s="1"/>
  <c r="Y132" i="15" s="1"/>
  <c r="Y133" i="15" s="1"/>
  <c r="Y134" i="15" s="1"/>
  <c r="Y135" i="15" s="1"/>
  <c r="Y136" i="15" s="1"/>
  <c r="Y137" i="15" s="1"/>
  <c r="Y138" i="15" s="1"/>
  <c r="Y139" i="15" s="1"/>
  <c r="Y140" i="15" s="1"/>
  <c r="Y141" i="15" s="1"/>
  <c r="Y142" i="15" s="1"/>
  <c r="Y143" i="15" s="1"/>
  <c r="Y144" i="15" s="1"/>
  <c r="Y145" i="15" s="1"/>
  <c r="Y146" i="15" s="1"/>
  <c r="Y147" i="15" s="1"/>
  <c r="Y148" i="15" s="1"/>
  <c r="Y149" i="15" s="1"/>
  <c r="Y150" i="15" s="1"/>
  <c r="Y151" i="15" s="1"/>
  <c r="Y152" i="15" s="1"/>
  <c r="Y153" i="15" s="1"/>
  <c r="Y154" i="15" s="1"/>
  <c r="Y155" i="15" s="1"/>
  <c r="Y156" i="15" s="1"/>
  <c r="Y251" i="15"/>
  <c r="Y252" i="15" s="1"/>
  <c r="Y253" i="15" s="1"/>
  <c r="Y254" i="15" s="1"/>
  <c r="Y255" i="15" s="1"/>
  <c r="Y256" i="15" s="1"/>
  <c r="Y257" i="15" s="1"/>
  <c r="Y258" i="15" s="1"/>
  <c r="Y259" i="15" s="1"/>
  <c r="Y260" i="15" s="1"/>
  <c r="Y261" i="15" s="1"/>
  <c r="Y262" i="15" s="1"/>
  <c r="Y263" i="15" s="1"/>
  <c r="Y264" i="15" s="1"/>
  <c r="Y265" i="15" s="1"/>
  <c r="Y266" i="15" s="1"/>
  <c r="Y267" i="15" s="1"/>
  <c r="Y268" i="15" s="1"/>
  <c r="Y269" i="15" s="1"/>
  <c r="Y270" i="15" s="1"/>
  <c r="Y271" i="15" s="1"/>
  <c r="Y272" i="15" s="1"/>
  <c r="Y273" i="15" s="1"/>
  <c r="Y274" i="15" s="1"/>
  <c r="Y275" i="15" s="1"/>
  <c r="Y276" i="15" s="1"/>
  <c r="Y277" i="15" s="1"/>
  <c r="Y278" i="15" s="1"/>
  <c r="Y279" i="15" s="1"/>
  <c r="Y344" i="15"/>
  <c r="Y345" i="15" s="1"/>
  <c r="Y346" i="15" s="1"/>
  <c r="Y347" i="15" s="1"/>
  <c r="Y348" i="15" s="1"/>
  <c r="Y349" i="15" s="1"/>
  <c r="Y350" i="15" s="1"/>
  <c r="Y351" i="15" s="1"/>
  <c r="Y352" i="15" s="1"/>
  <c r="Y353" i="15" s="1"/>
  <c r="Y354" i="15" s="1"/>
  <c r="Y355" i="15" s="1"/>
  <c r="Y356" i="15" s="1"/>
  <c r="Y357" i="15" s="1"/>
  <c r="Y358" i="15" s="1"/>
  <c r="Y359" i="15" s="1"/>
  <c r="Y360" i="15" s="1"/>
  <c r="Y361" i="15" s="1"/>
  <c r="Y362" i="15" s="1"/>
  <c r="Y363" i="15" s="1"/>
  <c r="Y364" i="15" s="1"/>
  <c r="Y365" i="15" s="1"/>
  <c r="Y366" i="15" s="1"/>
  <c r="Y367" i="15" s="1"/>
  <c r="Y368" i="15" s="1"/>
  <c r="Y369" i="15" s="1"/>
  <c r="Y370" i="15" s="1"/>
  <c r="Y371" i="15" s="1"/>
  <c r="Y372" i="15" s="1"/>
  <c r="Y373" i="15" s="1"/>
  <c r="Y313" i="15"/>
  <c r="Y314" i="15" s="1"/>
  <c r="Y315" i="15" s="1"/>
  <c r="Y316" i="15" s="1"/>
  <c r="Y317" i="15" s="1"/>
  <c r="Y318" i="15" s="1"/>
  <c r="Y319" i="15" s="1"/>
  <c r="Y320" i="15" s="1"/>
  <c r="Y321" i="15" s="1"/>
  <c r="Y322" i="15" s="1"/>
  <c r="Y323" i="15" s="1"/>
  <c r="Y324" i="15" s="1"/>
  <c r="Y325" i="15" s="1"/>
  <c r="Y326" i="15" s="1"/>
  <c r="Y327" i="15" s="1"/>
  <c r="Y328" i="15" s="1"/>
  <c r="Y329" i="15" s="1"/>
  <c r="Y330" i="15" s="1"/>
  <c r="Y331" i="15" s="1"/>
  <c r="Y332" i="15" s="1"/>
  <c r="Y333" i="15" s="1"/>
  <c r="Y334" i="15" s="1"/>
  <c r="Y335" i="15" s="1"/>
  <c r="Y336" i="15" s="1"/>
  <c r="Y337" i="15" s="1"/>
  <c r="Y338" i="15" s="1"/>
  <c r="Y339" i="15" s="1"/>
  <c r="Y340" i="15" s="1"/>
  <c r="Y341" i="15" s="1"/>
  <c r="Y34" i="15"/>
  <c r="Y35" i="15" s="1"/>
  <c r="Y36" i="15" s="1"/>
  <c r="Y37" i="15" s="1"/>
  <c r="Y38" i="15" s="1"/>
  <c r="Y39" i="15" s="1"/>
  <c r="Y40" i="15" s="1"/>
  <c r="Y41" i="15" s="1"/>
  <c r="Y42" i="15" s="1"/>
  <c r="Y43" i="15" s="1"/>
  <c r="Y44" i="15" s="1"/>
  <c r="Y45" i="15" s="1"/>
  <c r="Y46" i="15" s="1"/>
  <c r="Y47" i="15" s="1"/>
  <c r="Y48" i="15" s="1"/>
  <c r="Y49" i="15" s="1"/>
  <c r="Y50" i="15" s="1"/>
  <c r="Y51" i="15" s="1"/>
  <c r="Y52" i="15" s="1"/>
  <c r="Y53" i="15" s="1"/>
  <c r="Y54" i="15" s="1"/>
  <c r="Y55" i="15" s="1"/>
  <c r="Y56" i="15" s="1"/>
  <c r="Y57" i="15" s="1"/>
  <c r="Y58" i="15" s="1"/>
  <c r="Y59" i="15" s="1"/>
  <c r="Y60" i="15" s="1"/>
  <c r="Y61" i="15" s="1"/>
  <c r="Y65" i="15"/>
  <c r="Y66" i="15" s="1"/>
  <c r="Y67" i="15" s="1"/>
  <c r="Y68" i="15" s="1"/>
  <c r="Y69" i="15" s="1"/>
  <c r="Y70" i="15" s="1"/>
  <c r="Y71" i="15" s="1"/>
  <c r="Y72" i="15" s="1"/>
  <c r="Y73" i="15" s="1"/>
  <c r="Y74" i="15" s="1"/>
  <c r="Y75" i="15" s="1"/>
  <c r="Y76" i="15" s="1"/>
  <c r="Y77" i="15" s="1"/>
  <c r="Y78" i="15" s="1"/>
  <c r="Y79" i="15" s="1"/>
  <c r="Y80" i="15" s="1"/>
  <c r="Y81" i="15" s="1"/>
  <c r="Y82" i="15" s="1"/>
  <c r="Y83" i="15" s="1"/>
  <c r="Y84" i="15" s="1"/>
  <c r="Y85" i="15" s="1"/>
  <c r="Y86" i="15" s="1"/>
  <c r="Y87" i="15" s="1"/>
  <c r="Y88" i="15" s="1"/>
  <c r="Y89" i="15" s="1"/>
  <c r="Y90" i="15" s="1"/>
  <c r="Y91" i="15" s="1"/>
  <c r="Y92" i="15" s="1"/>
  <c r="Y93" i="15" s="1"/>
  <c r="Y94" i="15" s="1"/>
  <c r="Y189" i="15"/>
  <c r="Y190" i="15" s="1"/>
  <c r="Y191" i="15" s="1"/>
  <c r="Y192" i="15" s="1"/>
  <c r="Y193" i="15" s="1"/>
  <c r="Y194" i="15" s="1"/>
  <c r="Y195" i="15" s="1"/>
  <c r="Y196" i="15" s="1"/>
  <c r="Y197" i="15" s="1"/>
  <c r="Y198" i="15" s="1"/>
  <c r="Y199" i="15" s="1"/>
  <c r="Y200" i="15" s="1"/>
  <c r="Y201" i="15" s="1"/>
  <c r="Y202" i="15" s="1"/>
  <c r="Y203" i="15" s="1"/>
  <c r="Y204" i="15" s="1"/>
  <c r="Y205" i="15" s="1"/>
  <c r="Y206" i="15" s="1"/>
  <c r="Y207" i="15" s="1"/>
  <c r="Y208" i="15" s="1"/>
  <c r="Y209" i="15" s="1"/>
  <c r="Y210" i="15" s="1"/>
  <c r="Y211" i="15" s="1"/>
  <c r="Y212" i="15" s="1"/>
  <c r="Y213" i="15" s="1"/>
  <c r="Y214" i="15" s="1"/>
  <c r="Y215" i="15" s="1"/>
  <c r="Y216" i="15" s="1"/>
  <c r="Y217" i="15" s="1"/>
  <c r="Y218" i="15" s="1"/>
  <c r="Y282" i="15"/>
  <c r="Y96" i="15"/>
  <c r="Y97" i="15" s="1"/>
  <c r="Y98" i="15" s="1"/>
  <c r="Y99" i="15" s="1"/>
  <c r="Y100" i="15" s="1"/>
  <c r="Y101" i="15" s="1"/>
  <c r="Y102" i="15" s="1"/>
  <c r="Y103" i="15" s="1"/>
  <c r="Y104" i="15" s="1"/>
  <c r="Y105" i="15" s="1"/>
  <c r="Y106" i="15" s="1"/>
  <c r="Y107" i="15" s="1"/>
  <c r="Y108" i="15" s="1"/>
  <c r="Y109" i="15" s="1"/>
  <c r="Y110" i="15" s="1"/>
  <c r="Y111" i="15" s="1"/>
  <c r="Y112" i="15" s="1"/>
  <c r="Y113" i="15" s="1"/>
  <c r="Y114" i="15" s="1"/>
  <c r="Y115" i="15" s="1"/>
  <c r="Y116" i="15" s="1"/>
  <c r="Y117" i="15" s="1"/>
  <c r="Y118" i="15" s="1"/>
  <c r="Y119" i="15" s="1"/>
  <c r="Y120" i="15" s="1"/>
  <c r="Y121" i="15" s="1"/>
  <c r="Y122" i="15" s="1"/>
  <c r="Y123" i="15" s="1"/>
  <c r="Y124" i="15" s="1"/>
  <c r="Y158" i="15"/>
  <c r="Y159" i="15" s="1"/>
  <c r="Y160" i="15" s="1"/>
  <c r="Y161" i="15" s="1"/>
  <c r="Y162" i="15" s="1"/>
  <c r="Y163" i="15" s="1"/>
  <c r="Y164" i="15" s="1"/>
  <c r="Y165" i="15" s="1"/>
  <c r="Y166" i="15" s="1"/>
  <c r="Y167" i="15" s="1"/>
  <c r="Y168" i="15" s="1"/>
  <c r="Y169" i="15" s="1"/>
  <c r="Y170" i="15" s="1"/>
  <c r="Y171" i="15" s="1"/>
  <c r="Y172" i="15" s="1"/>
  <c r="Y173" i="15" s="1"/>
  <c r="Y174" i="15" s="1"/>
  <c r="Y175" i="15" s="1"/>
  <c r="Y176" i="15" s="1"/>
  <c r="Y177" i="15" s="1"/>
  <c r="Y178" i="15" s="1"/>
  <c r="Y179" i="15" s="1"/>
  <c r="Y180" i="15" s="1"/>
  <c r="Y181" i="15" s="1"/>
  <c r="Y182" i="15" s="1"/>
  <c r="Y183" i="15" s="1"/>
  <c r="Y184" i="15" s="1"/>
  <c r="Y185" i="15" s="1"/>
  <c r="Y186" i="15" s="1"/>
  <c r="Y3" i="15"/>
  <c r="Y220" i="15"/>
  <c r="Y221" i="15" s="1"/>
  <c r="Y222" i="15" s="1"/>
  <c r="Y223" i="15" s="1"/>
  <c r="Y224" i="15" s="1"/>
  <c r="Y225" i="15" s="1"/>
  <c r="Y226" i="15" s="1"/>
  <c r="Y227" i="15" s="1"/>
  <c r="Y228" i="15" s="1"/>
  <c r="Y229" i="15" s="1"/>
  <c r="Y230" i="15" s="1"/>
  <c r="Y231" i="15" s="1"/>
  <c r="Y232" i="15" s="1"/>
  <c r="Y233" i="15" s="1"/>
  <c r="Y234" i="15" s="1"/>
  <c r="Y235" i="15" s="1"/>
  <c r="Y236" i="15" s="1"/>
  <c r="Y237" i="15" s="1"/>
  <c r="Y238" i="15" s="1"/>
  <c r="Y239" i="15" s="1"/>
  <c r="Y240" i="15" s="1"/>
  <c r="Y241" i="15" s="1"/>
  <c r="Y242" i="15" s="1"/>
  <c r="Y243" i="15" s="1"/>
  <c r="Y244" i="15" s="1"/>
  <c r="Y245" i="15" s="1"/>
  <c r="Y246" i="15" s="1"/>
  <c r="Y247" i="15" s="1"/>
  <c r="Y248" i="15" s="1"/>
  <c r="Y249" i="15" s="1"/>
  <c r="W3" i="15" l="1"/>
  <c r="Y283" i="15"/>
  <c r="W4" i="15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Y17" i="15" s="1"/>
  <c r="Y18" i="15" s="1"/>
  <c r="Y19" i="15" s="1"/>
  <c r="Y20" i="15" s="1"/>
  <c r="Y21" i="15" s="1"/>
  <c r="Y22" i="15" s="1"/>
  <c r="Y23" i="15" s="1"/>
  <c r="Y24" i="15" s="1"/>
  <c r="Y25" i="15" s="1"/>
  <c r="Y26" i="15" s="1"/>
  <c r="Y27" i="15" s="1"/>
  <c r="Y28" i="15" s="1"/>
  <c r="Y29" i="15" s="1"/>
  <c r="Y30" i="15" s="1"/>
  <c r="Y31" i="15" s="1"/>
  <c r="Y32" i="15" s="1"/>
  <c r="Y284" i="15" l="1"/>
  <c r="Y285" i="15" l="1"/>
  <c r="W5" i="15"/>
  <c r="Y286" i="15" l="1"/>
  <c r="W6" i="15"/>
  <c r="Y287" i="15" l="1"/>
  <c r="W7" i="15"/>
  <c r="Y288" i="15" l="1"/>
  <c r="W8" i="15"/>
  <c r="Y289" i="15" l="1"/>
  <c r="W9" i="15"/>
  <c r="Y290" i="15" l="1"/>
  <c r="W10" i="15"/>
  <c r="Y291" i="15" l="1"/>
  <c r="W11" i="15"/>
  <c r="Y292" i="15" l="1"/>
  <c r="W12" i="15"/>
  <c r="M1" i="15" l="1"/>
  <c r="Y293" i="15"/>
  <c r="W13" i="15"/>
  <c r="Y294" i="15" l="1"/>
  <c r="W14" i="15"/>
  <c r="Y295" i="15" l="1"/>
  <c r="W15" i="15"/>
  <c r="Y296" i="15" l="1"/>
  <c r="W16" i="15"/>
  <c r="Y297" i="15" l="1"/>
  <c r="W17" i="15"/>
  <c r="Y298" i="15" l="1"/>
  <c r="W18" i="15"/>
  <c r="Y299" i="15" l="1"/>
  <c r="W19" i="15"/>
  <c r="Y300" i="15" l="1"/>
  <c r="W20" i="15"/>
  <c r="Y301" i="15" l="1"/>
  <c r="W21" i="15"/>
  <c r="Y302" i="15" l="1"/>
  <c r="W22" i="15"/>
  <c r="Y303" i="15" l="1"/>
  <c r="W23" i="15"/>
  <c r="Y304" i="15" l="1"/>
  <c r="W24" i="15"/>
  <c r="Y305" i="15" l="1"/>
  <c r="W25" i="15"/>
  <c r="Y306" i="15" l="1"/>
  <c r="W26" i="15"/>
  <c r="Y307" i="15" l="1"/>
  <c r="W27" i="15"/>
  <c r="Y308" i="15" l="1"/>
  <c r="W28" i="15"/>
  <c r="Y309" i="15" l="1"/>
  <c r="W29" i="15"/>
  <c r="Y310" i="15" l="1"/>
  <c r="W30" i="15"/>
  <c r="Y311" i="15" l="1"/>
  <c r="W32" i="15" s="1"/>
  <c r="N1" i="15" s="1"/>
  <c r="W3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CSE_MECACHROME</author>
  </authors>
  <commentList>
    <comment ref="Q1" authorId="0" shapeId="0" xr:uid="{A573010E-A301-4008-8ECD-FFB904C5FB37}">
      <text>
        <r>
          <rPr>
            <b/>
            <sz val="9"/>
            <color indexed="81"/>
            <rFont val="Tahoma"/>
            <family val="2"/>
          </rPr>
          <t>30/12/2021</t>
        </r>
      </text>
    </comment>
  </commentList>
</comments>
</file>

<file path=xl/sharedStrings.xml><?xml version="1.0" encoding="utf-8"?>
<sst xmlns="http://schemas.openxmlformats.org/spreadsheetml/2006/main" count="606" uniqueCount="162">
  <si>
    <t>Articles</t>
  </si>
  <si>
    <t>Quantitée</t>
  </si>
  <si>
    <t>Num_Article</t>
  </si>
  <si>
    <t>Désignation</t>
  </si>
  <si>
    <t>Prix</t>
  </si>
  <si>
    <t>Date</t>
  </si>
  <si>
    <t>Du</t>
  </si>
  <si>
    <t>Au</t>
  </si>
  <si>
    <t>DATE</t>
  </si>
  <si>
    <t>Quantité</t>
  </si>
  <si>
    <t>Recette</t>
  </si>
  <si>
    <t>Total</t>
  </si>
  <si>
    <t>Ticket  en  attente</t>
  </si>
  <si>
    <t>En Stock</t>
  </si>
  <si>
    <t>Vendus</t>
  </si>
  <si>
    <t>Reste</t>
  </si>
  <si>
    <t>CSE  MECACHROME</t>
  </si>
  <si>
    <t>18700  AUBIGNY-SUR-NERE</t>
  </si>
  <si>
    <t>TOTAL</t>
  </si>
  <si>
    <t>27-49 Avenue Eugène CASELLA</t>
  </si>
  <si>
    <t>Facture à numéro unique</t>
  </si>
  <si>
    <t>Bordeaux Peneture</t>
  </si>
  <si>
    <t>Quincy</t>
  </si>
  <si>
    <t>Tariquet</t>
  </si>
  <si>
    <t>Champagne Beaufort</t>
  </si>
  <si>
    <t>Parc Le PAL</t>
  </si>
  <si>
    <t>Futuroscope adulte</t>
  </si>
  <si>
    <t>Futuroscope enfant</t>
  </si>
  <si>
    <t>ZooParc de Beauval adulte</t>
  </si>
  <si>
    <t>ZooParc de Beauval enfant</t>
  </si>
  <si>
    <t>Parc ASTÉRIX</t>
  </si>
  <si>
    <t>Cinéma CGR</t>
  </si>
  <si>
    <t>Cinéma L'Argentis</t>
  </si>
  <si>
    <t>Atomic Cinéma</t>
  </si>
  <si>
    <t>AUBIGNY Piscine adulte</t>
  </si>
  <si>
    <t>AUBIGNY Piscine enfant</t>
  </si>
  <si>
    <t>AUBIGNY CTA gallet</t>
  </si>
  <si>
    <t>Remboursement</t>
  </si>
  <si>
    <t xml:space="preserve">TOTAL  à  payer  </t>
  </si>
  <si>
    <t>Vins</t>
  </si>
  <si>
    <t>Tickets  &amp;  Cartes</t>
  </si>
  <si>
    <t>P.U.</t>
  </si>
  <si>
    <t>QTÉ</t>
  </si>
  <si>
    <t>DÉSIGNATION</t>
  </si>
  <si>
    <t>Billetterie extérieur</t>
  </si>
  <si>
    <t>Billetterie par CSE MECACHROME</t>
  </si>
  <si>
    <t>Billetterie</t>
  </si>
  <si>
    <t>Parcs &amp; Séjours</t>
  </si>
  <si>
    <t>Produits divers</t>
  </si>
  <si>
    <t>Batteries</t>
  </si>
  <si>
    <t>Balais essuie-glaces</t>
  </si>
  <si>
    <t>Liquide de refroidissement</t>
  </si>
  <si>
    <t>Liquide lave-glace</t>
  </si>
  <si>
    <t>Dégivrant</t>
  </si>
  <si>
    <t>Batterie N°1 45Ah-400A</t>
  </si>
  <si>
    <t>Batterie N°2 50Ah-420A</t>
  </si>
  <si>
    <t>Batterie N°3 60Ah-500A</t>
  </si>
  <si>
    <t>Batterie N°4 70Ah-640A</t>
  </si>
  <si>
    <t>Batterie N°5 95Ah-800A</t>
  </si>
  <si>
    <t>Essuie-glace 350 mm</t>
  </si>
  <si>
    <t>Essuie-glace 400 mm</t>
  </si>
  <si>
    <t>Essuie-glace 430 mm</t>
  </si>
  <si>
    <t>Essuie-glace 450 mm</t>
  </si>
  <si>
    <t>Essuie-glace 480 mm</t>
  </si>
  <si>
    <t>Essuie-glace 500 mm</t>
  </si>
  <si>
    <t>Essuie-glace 530 mm</t>
  </si>
  <si>
    <t>Essuie-glace 550 mm</t>
  </si>
  <si>
    <t>Essuie-glace 600 mm</t>
  </si>
  <si>
    <t>Essuie-glace 700 mm</t>
  </si>
  <si>
    <t>Essuie-glace 730 mm</t>
  </si>
  <si>
    <t>Essuie-glace 750 mm</t>
  </si>
  <si>
    <t>Essuie-glace 800 mm</t>
  </si>
  <si>
    <t>Activités scolaire=&gt;140€</t>
  </si>
  <si>
    <t>Activités scolaire &lt;140€</t>
  </si>
  <si>
    <t>Don naissance</t>
  </si>
  <si>
    <t>Don Mariage/Pacs</t>
  </si>
  <si>
    <t>Don retraite</t>
  </si>
  <si>
    <t>Garantie batterie : 12 mois à partir de la date d'achat.</t>
  </si>
  <si>
    <t>DÉPENSES</t>
  </si>
  <si>
    <t>RECETTES</t>
  </si>
  <si>
    <t>Aujourd'hui</t>
  </si>
  <si>
    <t>Achat</t>
  </si>
  <si>
    <t>MONTANT</t>
  </si>
  <si>
    <t>DÉPENSE</t>
  </si>
  <si>
    <t>ESPÈCES +</t>
  </si>
  <si>
    <t>ESPÈCES -</t>
  </si>
  <si>
    <t>Compte B +</t>
  </si>
  <si>
    <t>Compte B -</t>
  </si>
  <si>
    <t>CHÈQUES</t>
  </si>
  <si>
    <t>Retrait d'Espèces Banque</t>
  </si>
  <si>
    <t>Créditer la Caisse</t>
  </si>
  <si>
    <t>MdP</t>
  </si>
  <si>
    <t>Nom</t>
  </si>
  <si>
    <t>fifi</t>
  </si>
  <si>
    <t>admin</t>
  </si>
  <si>
    <t>Login</t>
  </si>
  <si>
    <t>id en cours</t>
  </si>
  <si>
    <t>toto</t>
  </si>
  <si>
    <t>Session en cours</t>
  </si>
  <si>
    <t>Type Produits</t>
  </si>
  <si>
    <t>Vente par CSE MECACHROME</t>
  </si>
  <si>
    <t>Créditer le Compte bancaire</t>
  </si>
  <si>
    <t>Mouvement d'Espèces Caisse</t>
  </si>
  <si>
    <t>Retrait CB pour Monnayeur</t>
  </si>
  <si>
    <t>Retrait Monnayeur pour CB</t>
  </si>
  <si>
    <t>GENRE</t>
  </si>
  <si>
    <t>titi</t>
  </si>
  <si>
    <t>tata</t>
  </si>
  <si>
    <t xml:space="preserve">Transaction réalisée par : </t>
  </si>
  <si>
    <t>NE PAS JETER SUR LA VOIE PUBLIC.</t>
  </si>
  <si>
    <t>Sancerre Sardelles ROUGE</t>
  </si>
  <si>
    <t>Sancerre Sardelles ROSÉ</t>
  </si>
  <si>
    <t>Sancerre Sardelles BLANC</t>
  </si>
  <si>
    <t>00010378</t>
  </si>
  <si>
    <t>RECEPTION</t>
  </si>
  <si>
    <t>Menetou Assadet BLANC</t>
  </si>
  <si>
    <t>Vouvray Pétillant BLANC</t>
  </si>
  <si>
    <t>Menetou Assadet ROUGE</t>
  </si>
  <si>
    <t>Vouvray Pétillant ROSÉ</t>
  </si>
  <si>
    <t>Impression</t>
  </si>
  <si>
    <t xml:space="preserve">AUJOURD'HUI : </t>
  </si>
  <si>
    <t>janvier</t>
  </si>
  <si>
    <t>février</t>
  </si>
  <si>
    <t>/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</si>
  <si>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</si>
  <si>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</si>
  <si>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</si>
  <si>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</si>
  <si>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</si>
  <si>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</si>
  <si>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</si>
  <si>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</si>
  <si>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</si>
  <si>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</si>
  <si>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TOM</t>
  </si>
  <si>
    <t>Prélèvement Compte Bancaire</t>
  </si>
  <si>
    <t>Versement Compte Bancaire</t>
  </si>
  <si>
    <t>Jeton(s) de lavage INTERMARCHÉ</t>
  </si>
  <si>
    <t>Jeton(s) de lavage ROUTE DE BOURGES</t>
  </si>
  <si>
    <t>ACTION COMPTÉ</t>
  </si>
  <si>
    <t>00102141</t>
  </si>
  <si>
    <t>INFORMATIQUE</t>
  </si>
  <si>
    <t>00015621</t>
  </si>
  <si>
    <t>00010171</t>
  </si>
  <si>
    <t>Essuie-glace 650 mm</t>
  </si>
  <si>
    <t>24/02/2003</t>
  </si>
  <si>
    <t>18 Ans</t>
  </si>
  <si>
    <t>SF325UZ157</t>
  </si>
  <si>
    <t>TATA</t>
  </si>
  <si>
    <t>TITI</t>
  </si>
  <si>
    <t>TOTO</t>
  </si>
  <si>
    <t>TUTU</t>
  </si>
  <si>
    <t>TETE</t>
  </si>
  <si>
    <t>TIM</t>
  </si>
  <si>
    <t>PROJET</t>
  </si>
  <si>
    <t>CONTRÔLE</t>
  </si>
  <si>
    <t>USINAGE</t>
  </si>
  <si>
    <t>Mr BABA</t>
  </si>
  <si>
    <t>Mme BIBI</t>
  </si>
  <si>
    <t>Mr BOBO</t>
  </si>
  <si>
    <t>Mr BUBU</t>
  </si>
  <si>
    <t>Mme BEBE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</si>
</sst>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0;\-0;;@"/>
    <numFmt numFmtId="166" formatCode="_-* #,##0.00\ [$€-40C]_-;\-* #,##0.00\ [$€-40C]_-;_-* &quot;-&quot;??\ [$€-40C]_-;_-@_-"/>
    <numFmt numFmtId="167" formatCode="mmm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0" tint="-0.14999847407452621"/>
      <name val="Arial"/>
      <family val="2"/>
    </font>
    <font>
      <sz val="12"/>
      <color theme="0" tint="-4.9989318521683403E-2"/>
      <name val="Arial"/>
      <family val="2"/>
    </font>
    <font>
      <sz val="9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theme="0" tint="-4.9989318521683403E-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8" fillId="0" borderId="0"/>
  </cellStyleXfs>
  <cellXfs count="189">
    <xf numFmtId="0" fontId="0" fillId="0" borderId="0" xfId="0"/>
    <xf numFmtId="0" fontId="0" fillId="0" borderId="0" xfId="0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2" borderId="11" xfId="0" applyFill="1" applyBorder="1" applyAlignment="1">
      <alignment horizontal="centerContinuous"/>
    </xf>
    <xf numFmtId="0" fontId="0" fillId="2" borderId="12" xfId="0" applyFill="1" applyBorder="1" applyAlignment="1">
      <alignment horizontal="centerContinuous"/>
    </xf>
    <xf numFmtId="0" fontId="0" fillId="2" borderId="10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23" xfId="0" applyBorder="1"/>
    <xf numFmtId="164" fontId="0" fillId="3" borderId="10" xfId="1" applyFont="1" applyFill="1" applyBorder="1"/>
    <xf numFmtId="0" fontId="0" fillId="3" borderId="11" xfId="0" applyFill="1" applyBorder="1" applyAlignment="1">
      <alignment horizontal="centerContinuous" vertical="center"/>
    </xf>
    <xf numFmtId="0" fontId="0" fillId="3" borderId="12" xfId="0" applyFill="1" applyBorder="1" applyAlignment="1">
      <alignment horizontal="centerContinuous" vertical="center"/>
    </xf>
    <xf numFmtId="0" fontId="0" fillId="2" borderId="13" xfId="0" applyFill="1" applyBorder="1" applyAlignment="1">
      <alignment horizontal="centerContinuous"/>
    </xf>
    <xf numFmtId="164" fontId="0" fillId="0" borderId="23" xfId="1" applyFont="1" applyFill="1" applyBorder="1" applyAlignment="1">
      <alignment horizontal="center"/>
    </xf>
    <xf numFmtId="0" fontId="0" fillId="7" borderId="0" xfId="0" applyFill="1"/>
    <xf numFmtId="0" fontId="0" fillId="4" borderId="17" xfId="0" applyFill="1" applyBorder="1"/>
    <xf numFmtId="0" fontId="0" fillId="4" borderId="0" xfId="0" applyFill="1"/>
    <xf numFmtId="0" fontId="0" fillId="4" borderId="18" xfId="0" applyFill="1" applyBorder="1"/>
    <xf numFmtId="0" fontId="7" fillId="4" borderId="0" xfId="0" applyFont="1" applyFill="1"/>
    <xf numFmtId="0" fontId="0" fillId="3" borderId="11" xfId="0" applyFill="1" applyBorder="1" applyAlignment="1">
      <alignment horizontal="center"/>
    </xf>
    <xf numFmtId="0" fontId="0" fillId="11" borderId="11" xfId="0" applyFill="1" applyBorder="1"/>
    <xf numFmtId="14" fontId="0" fillId="8" borderId="10" xfId="0" applyNumberFormat="1" applyFill="1" applyBorder="1"/>
    <xf numFmtId="0" fontId="0" fillId="6" borderId="12" xfId="0" applyFill="1" applyBorder="1"/>
    <xf numFmtId="0" fontId="0" fillId="7" borderId="10" xfId="0" applyFill="1" applyBorder="1"/>
    <xf numFmtId="164" fontId="4" fillId="12" borderId="10" xfId="1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6" fillId="13" borderId="12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166" fontId="6" fillId="14" borderId="10" xfId="0" applyNumberFormat="1" applyFont="1" applyFill="1" applyBorder="1" applyAlignment="1">
      <alignment horizontal="center" vertical="center"/>
    </xf>
    <xf numFmtId="2" fontId="0" fillId="2" borderId="10" xfId="0" applyNumberFormat="1" applyFill="1" applyBorder="1" applyAlignment="1">
      <alignment horizontal="center"/>
    </xf>
    <xf numFmtId="0" fontId="0" fillId="0" borderId="23" xfId="0" applyBorder="1" applyAlignment="1">
      <alignment horizontal="center"/>
    </xf>
    <xf numFmtId="2" fontId="0" fillId="4" borderId="23" xfId="0" applyNumberFormat="1" applyFill="1" applyBorder="1"/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10" borderId="0" xfId="0" applyFill="1"/>
    <xf numFmtId="0" fontId="0" fillId="10" borderId="0" xfId="0" applyFill="1" applyAlignment="1">
      <alignment horizontal="center"/>
    </xf>
    <xf numFmtId="0" fontId="6" fillId="12" borderId="11" xfId="0" applyFont="1" applyFill="1" applyBorder="1" applyAlignment="1">
      <alignment horizontal="center" vertical="center"/>
    </xf>
    <xf numFmtId="164" fontId="4" fillId="13" borderId="10" xfId="1" applyFont="1" applyFill="1" applyBorder="1" applyAlignment="1">
      <alignment horizontal="center" vertical="center"/>
    </xf>
    <xf numFmtId="0" fontId="0" fillId="14" borderId="0" xfId="0" applyFill="1"/>
    <xf numFmtId="0" fontId="0" fillId="6" borderId="10" xfId="0" applyFill="1" applyBorder="1"/>
    <xf numFmtId="0" fontId="0" fillId="15" borderId="10" xfId="0" applyFill="1" applyBorder="1" applyAlignment="1">
      <alignment horizontal="center" vertical="center"/>
    </xf>
    <xf numFmtId="0" fontId="0" fillId="11" borderId="10" xfId="0" applyFill="1" applyBorder="1"/>
    <xf numFmtId="0" fontId="8" fillId="16" borderId="12" xfId="2" applyFill="1" applyBorder="1" applyAlignment="1">
      <alignment horizontal="center" vertical="center"/>
    </xf>
    <xf numFmtId="0" fontId="8" fillId="6" borderId="10" xfId="2" applyFill="1" applyBorder="1" applyAlignment="1">
      <alignment horizontal="center" vertical="center"/>
    </xf>
    <xf numFmtId="0" fontId="8" fillId="10" borderId="10" xfId="2" applyFill="1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14" fontId="0" fillId="0" borderId="0" xfId="0" applyNumberFormat="1"/>
    <xf numFmtId="0" fontId="5" fillId="0" borderId="12" xfId="0" applyFont="1" applyBorder="1" applyAlignment="1">
      <alignment horizontal="centerContinuous"/>
    </xf>
    <xf numFmtId="164" fontId="0" fillId="0" borderId="22" xfId="1" applyFont="1" applyFill="1" applyBorder="1" applyAlignment="1">
      <alignment horizontal="center"/>
    </xf>
    <xf numFmtId="0" fontId="0" fillId="0" borderId="22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64" fontId="0" fillId="0" borderId="24" xfId="1" applyFont="1" applyFill="1" applyBorder="1" applyAlignment="1">
      <alignment horizontal="center"/>
    </xf>
    <xf numFmtId="0" fontId="0" fillId="0" borderId="24" xfId="0" applyBorder="1"/>
    <xf numFmtId="0" fontId="0" fillId="0" borderId="0" xfId="0" applyAlignment="1">
      <alignment horizontal="right"/>
    </xf>
    <xf numFmtId="0" fontId="0" fillId="7" borderId="11" xfId="0" applyFill="1" applyBorder="1" applyAlignment="1">
      <alignment horizontal="centerContinuous"/>
    </xf>
    <xf numFmtId="0" fontId="0" fillId="7" borderId="12" xfId="0" applyFill="1" applyBorder="1" applyAlignment="1">
      <alignment horizontal="centerContinuous"/>
    </xf>
    <xf numFmtId="0" fontId="0" fillId="7" borderId="0" xfId="0" applyFill="1" applyAlignment="1">
      <alignment horizontal="center"/>
    </xf>
    <xf numFmtId="164" fontId="0" fillId="7" borderId="0" xfId="1" applyFont="1" applyFill="1"/>
    <xf numFmtId="164" fontId="0" fillId="3" borderId="10" xfId="1" applyFont="1" applyFill="1" applyBorder="1" applyAlignment="1">
      <alignment horizontal="center"/>
    </xf>
    <xf numFmtId="14" fontId="0" fillId="4" borderId="14" xfId="0" applyNumberFormat="1" applyFill="1" applyBorder="1"/>
    <xf numFmtId="0" fontId="0" fillId="4" borderId="15" xfId="0" applyFill="1" applyBorder="1" applyAlignment="1">
      <alignment horizontal="center"/>
    </xf>
    <xf numFmtId="0" fontId="0" fillId="4" borderId="15" xfId="0" applyFill="1" applyBorder="1"/>
    <xf numFmtId="164" fontId="0" fillId="4" borderId="15" xfId="1" applyFont="1" applyFill="1" applyBorder="1"/>
    <xf numFmtId="14" fontId="0" fillId="4" borderId="17" xfId="0" applyNumberFormat="1" applyFill="1" applyBorder="1"/>
    <xf numFmtId="0" fontId="0" fillId="4" borderId="0" xfId="0" applyFill="1" applyAlignment="1">
      <alignment horizontal="center"/>
    </xf>
    <xf numFmtId="164" fontId="0" fillId="4" borderId="0" xfId="1" applyFont="1" applyFill="1" applyBorder="1"/>
    <xf numFmtId="14" fontId="0" fillId="4" borderId="0" xfId="0" quotePrefix="1" applyNumberFormat="1" applyFill="1"/>
    <xf numFmtId="0" fontId="0" fillId="4" borderId="19" xfId="0" applyFill="1" applyBorder="1"/>
    <xf numFmtId="0" fontId="0" fillId="4" borderId="20" xfId="0" applyFill="1" applyBorder="1" applyAlignment="1">
      <alignment horizontal="center"/>
    </xf>
    <xf numFmtId="0" fontId="0" fillId="4" borderId="20" xfId="0" applyFill="1" applyBorder="1"/>
    <xf numFmtId="164" fontId="0" fillId="4" borderId="20" xfId="1" applyFont="1" applyFill="1" applyBorder="1"/>
    <xf numFmtId="164" fontId="0" fillId="7" borderId="0" xfId="1" applyFont="1" applyFill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3" xfId="0" applyFill="1" applyBorder="1"/>
    <xf numFmtId="0" fontId="0" fillId="7" borderId="24" xfId="0" applyFill="1" applyBorder="1" applyAlignment="1">
      <alignment horizontal="center"/>
    </xf>
    <xf numFmtId="0" fontId="0" fillId="7" borderId="24" xfId="0" applyFill="1" applyBorder="1"/>
    <xf numFmtId="0" fontId="0" fillId="4" borderId="23" xfId="0" applyFill="1" applyBorder="1" applyAlignment="1">
      <alignment horizontal="center"/>
    </xf>
    <xf numFmtId="0" fontId="0" fillId="4" borderId="23" xfId="0" applyFill="1" applyBorder="1"/>
    <xf numFmtId="0" fontId="6" fillId="5" borderId="10" xfId="0" applyFont="1" applyFill="1" applyBorder="1" applyAlignment="1">
      <alignment horizontal="center" vertical="center"/>
    </xf>
    <xf numFmtId="164" fontId="0" fillId="2" borderId="22" xfId="1" applyFont="1" applyFill="1" applyBorder="1" applyAlignment="1">
      <alignment horizontal="center"/>
    </xf>
    <xf numFmtId="164" fontId="0" fillId="2" borderId="23" xfId="1" applyFont="1" applyFill="1" applyBorder="1" applyAlignment="1">
      <alignment horizontal="center"/>
    </xf>
    <xf numFmtId="164" fontId="0" fillId="2" borderId="24" xfId="1" applyFont="1" applyFill="1" applyBorder="1" applyAlignment="1">
      <alignment horizontal="center"/>
    </xf>
    <xf numFmtId="0" fontId="2" fillId="0" borderId="11" xfId="0" applyFont="1" applyBorder="1" applyAlignment="1">
      <alignment horizontal="centerContinuous"/>
    </xf>
    <xf numFmtId="0" fontId="8" fillId="7" borderId="0" xfId="2" applyFill="1"/>
    <xf numFmtId="0" fontId="8" fillId="3" borderId="10" xfId="2" applyFill="1" applyBorder="1" applyAlignment="1">
      <alignment horizontal="center" vertical="center"/>
    </xf>
    <xf numFmtId="0" fontId="8" fillId="2" borderId="10" xfId="2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2" borderId="10" xfId="2" applyFont="1" applyFill="1" applyBorder="1" applyAlignment="1">
      <alignment horizontal="center" vertical="center"/>
    </xf>
    <xf numFmtId="0" fontId="8" fillId="4" borderId="24" xfId="2" applyFill="1" applyBorder="1" applyAlignment="1">
      <alignment horizontal="center" vertical="center"/>
    </xf>
    <xf numFmtId="0" fontId="0" fillId="4" borderId="24" xfId="0" applyFill="1" applyBorder="1" applyAlignment="1">
      <alignment horizontal="center"/>
    </xf>
    <xf numFmtId="0" fontId="0" fillId="4" borderId="24" xfId="0" applyFill="1" applyBorder="1"/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19" xfId="0" applyFill="1" applyBorder="1" applyAlignment="1">
      <alignment horizontal="left"/>
    </xf>
    <xf numFmtId="0" fontId="0" fillId="4" borderId="21" xfId="0" applyFill="1" applyBorder="1"/>
    <xf numFmtId="0" fontId="4" fillId="17" borderId="10" xfId="0" applyFont="1" applyFill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165" fontId="0" fillId="7" borderId="1" xfId="0" applyNumberForma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7" xfId="0" applyFill="1" applyBorder="1" applyAlignment="1">
      <alignment vertical="center"/>
    </xf>
    <xf numFmtId="0" fontId="2" fillId="7" borderId="25" xfId="0" applyFont="1" applyFill="1" applyBorder="1" applyAlignment="1">
      <alignment vertical="center"/>
    </xf>
    <xf numFmtId="165" fontId="0" fillId="7" borderId="5" xfId="0" applyNumberFormat="1" applyFill="1" applyBorder="1" applyAlignment="1">
      <alignment horizontal="center" vertical="center"/>
    </xf>
    <xf numFmtId="164" fontId="0" fillId="7" borderId="25" xfId="1" applyFont="1" applyFill="1" applyBorder="1" applyAlignment="1">
      <alignment vertical="center"/>
    </xf>
    <xf numFmtId="0" fontId="0" fillId="7" borderId="28" xfId="0" applyFill="1" applyBorder="1" applyAlignment="1">
      <alignment vertical="center"/>
    </xf>
    <xf numFmtId="0" fontId="2" fillId="7" borderId="6" xfId="0" applyFont="1" applyFill="1" applyBorder="1" applyAlignment="1">
      <alignment vertical="center"/>
    </xf>
    <xf numFmtId="165" fontId="0" fillId="7" borderId="8" xfId="0" applyNumberFormat="1" applyFill="1" applyBorder="1" applyAlignment="1">
      <alignment horizontal="center" vertical="center"/>
    </xf>
    <xf numFmtId="164" fontId="0" fillId="7" borderId="6" xfId="1" applyFont="1" applyFill="1" applyBorder="1" applyAlignment="1">
      <alignment vertical="center"/>
    </xf>
    <xf numFmtId="0" fontId="0" fillId="7" borderId="26" xfId="0" applyFill="1" applyBorder="1" applyAlignment="1">
      <alignment vertical="center"/>
    </xf>
    <xf numFmtId="0" fontId="0" fillId="7" borderId="28" xfId="0" applyFill="1" applyBorder="1" applyAlignment="1">
      <alignment horizontal="center" vertical="center"/>
    </xf>
    <xf numFmtId="0" fontId="0" fillId="7" borderId="29" xfId="0" applyFill="1" applyBorder="1" applyAlignment="1">
      <alignment vertical="center"/>
    </xf>
    <xf numFmtId="0" fontId="0" fillId="7" borderId="30" xfId="0" applyFill="1" applyBorder="1" applyAlignment="1">
      <alignment vertical="center"/>
    </xf>
    <xf numFmtId="165" fontId="0" fillId="7" borderId="9" xfId="0" applyNumberFormat="1" applyFill="1" applyBorder="1" applyAlignment="1">
      <alignment horizontal="center" vertical="center"/>
    </xf>
    <xf numFmtId="164" fontId="0" fillId="7" borderId="7" xfId="1" applyFont="1" applyFill="1" applyBorder="1" applyAlignment="1">
      <alignment vertical="center"/>
    </xf>
    <xf numFmtId="0" fontId="10" fillId="7" borderId="22" xfId="2" applyFont="1" applyFill="1" applyBorder="1" applyAlignment="1">
      <alignment horizontal="center" vertical="center"/>
    </xf>
    <xf numFmtId="0" fontId="10" fillId="7" borderId="23" xfId="2" applyFont="1" applyFill="1" applyBorder="1" applyAlignment="1">
      <alignment horizontal="center" vertical="center"/>
    </xf>
    <xf numFmtId="0" fontId="11" fillId="4" borderId="23" xfId="2" applyFont="1" applyFill="1" applyBorder="1" applyAlignment="1">
      <alignment horizontal="center" vertical="center"/>
    </xf>
    <xf numFmtId="0" fontId="11" fillId="4" borderId="24" xfId="2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2" fillId="4" borderId="0" xfId="0" applyFont="1" applyFill="1"/>
    <xf numFmtId="0" fontId="8" fillId="4" borderId="0" xfId="2" applyFill="1"/>
    <xf numFmtId="0" fontId="0" fillId="4" borderId="0" xfId="0" applyFill="1" applyAlignment="1">
      <alignment horizontal="left"/>
    </xf>
    <xf numFmtId="164" fontId="0" fillId="5" borderId="10" xfId="1" applyFont="1" applyFill="1" applyBorder="1" applyAlignment="1">
      <alignment horizontal="center"/>
    </xf>
    <xf numFmtId="0" fontId="0" fillId="7" borderId="10" xfId="0" applyFill="1" applyBorder="1" applyAlignment="1">
      <alignment horizontal="center" vertical="center"/>
    </xf>
    <xf numFmtId="14" fontId="0" fillId="7" borderId="3" xfId="0" applyNumberFormat="1" applyFill="1" applyBorder="1" applyAlignment="1">
      <alignment vertical="center"/>
    </xf>
    <xf numFmtId="167" fontId="6" fillId="18" borderId="31" xfId="0" applyNumberFormat="1" applyFont="1" applyFill="1" applyBorder="1" applyAlignment="1">
      <alignment horizontal="center" vertical="center"/>
    </xf>
    <xf numFmtId="167" fontId="6" fillId="19" borderId="31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0" fillId="7" borderId="2" xfId="0" applyFill="1" applyBorder="1" applyAlignment="1">
      <alignment horizontal="center" vertical="center"/>
    </xf>
    <xf numFmtId="14" fontId="13" fillId="8" borderId="31" xfId="0" applyNumberFormat="1" applyFont="1" applyFill="1" applyBorder="1" applyAlignment="1">
      <alignment horizontal="center" vertical="center"/>
    </xf>
    <xf numFmtId="14" fontId="0" fillId="8" borderId="31" xfId="0" applyNumberFormat="1" applyFill="1" applyBorder="1" applyAlignment="1">
      <alignment horizontal="center" vertical="center"/>
    </xf>
    <xf numFmtId="14" fontId="14" fillId="8" borderId="31" xfId="0" applyNumberFormat="1" applyFont="1" applyFill="1" applyBorder="1" applyAlignment="1">
      <alignment horizontal="center" vertical="center"/>
    </xf>
    <xf numFmtId="167" fontId="6" fillId="18" borderId="32" xfId="0" applyNumberFormat="1" applyFont="1" applyFill="1" applyBorder="1" applyAlignment="1">
      <alignment horizontal="center" vertical="center"/>
    </xf>
    <xf numFmtId="14" fontId="0" fillId="7" borderId="33" xfId="0" applyNumberFormat="1" applyFill="1" applyBorder="1" applyAlignment="1">
      <alignment horizontal="center" vertical="center"/>
    </xf>
    <xf numFmtId="14" fontId="0" fillId="7" borderId="34" xfId="0" applyNumberFormat="1" applyFill="1" applyBorder="1" applyAlignment="1">
      <alignment horizontal="center" vertical="center"/>
    </xf>
    <xf numFmtId="14" fontId="0" fillId="7" borderId="35" xfId="0" applyNumberForma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6" fillId="8" borderId="31" xfId="0" applyFont="1" applyFill="1" applyBorder="1"/>
    <xf numFmtId="167" fontId="6" fillId="19" borderId="32" xfId="0" applyNumberFormat="1" applyFont="1" applyFill="1" applyBorder="1" applyAlignment="1">
      <alignment horizontal="center" vertical="center"/>
    </xf>
    <xf numFmtId="14" fontId="0" fillId="7" borderId="1" xfId="0" applyNumberFormat="1" applyFill="1" applyBorder="1"/>
    <xf numFmtId="164" fontId="0" fillId="7" borderId="36" xfId="1" applyFont="1" applyFill="1" applyBorder="1" applyAlignment="1">
      <alignment vertical="center"/>
    </xf>
    <xf numFmtId="164" fontId="0" fillId="7" borderId="8" xfId="1" applyFont="1" applyFill="1" applyBorder="1" applyAlignment="1">
      <alignment vertical="center"/>
    </xf>
    <xf numFmtId="164" fontId="0" fillId="7" borderId="9" xfId="1" applyFont="1" applyFill="1" applyBorder="1" applyAlignment="1">
      <alignment vertical="center"/>
    </xf>
    <xf numFmtId="14" fontId="0" fillId="7" borderId="4" xfId="0" applyNumberFormat="1" applyFill="1" applyBorder="1" applyAlignment="1">
      <alignment horizontal="center" vertical="center"/>
    </xf>
    <xf numFmtId="165" fontId="0" fillId="7" borderId="36" xfId="0" applyNumberFormat="1" applyFill="1" applyBorder="1" applyAlignment="1">
      <alignment horizontal="center" vertical="center"/>
    </xf>
    <xf numFmtId="14" fontId="6" fillId="20" borderId="1" xfId="0" applyNumberFormat="1" applyFont="1" applyFill="1" applyBorder="1" applyAlignment="1">
      <alignment horizontal="center" vertical="center"/>
    </xf>
    <xf numFmtId="0" fontId="0" fillId="7" borderId="28" xfId="0" applyFill="1" applyBorder="1" applyAlignment="1">
      <alignment horizontal="left" vertical="center"/>
    </xf>
    <xf numFmtId="0" fontId="0" fillId="0" borderId="37" xfId="0" applyBorder="1"/>
    <xf numFmtId="2" fontId="0" fillId="4" borderId="38" xfId="0" applyNumberFormat="1" applyFill="1" applyBorder="1"/>
    <xf numFmtId="49" fontId="0" fillId="0" borderId="0" xfId="0" applyNumberFormat="1"/>
    <xf numFmtId="0" fontId="18" fillId="4" borderId="23" xfId="0" applyFont="1" applyFill="1" applyBorder="1"/>
    <xf numFmtId="0" fontId="18" fillId="4" borderId="23" xfId="0" applyFont="1" applyFill="1" applyBorder="1" applyAlignment="1">
      <alignment horizontal="center" vertical="center"/>
    </xf>
    <xf numFmtId="0" fontId="18" fillId="4" borderId="23" xfId="0" applyFont="1" applyFill="1" applyBorder="1" applyAlignment="1">
      <alignment horizontal="center"/>
    </xf>
    <xf numFmtId="0" fontId="18" fillId="4" borderId="17" xfId="0" applyFont="1" applyFill="1" applyBorder="1" applyAlignment="1">
      <alignment horizontal="left"/>
    </xf>
    <xf numFmtId="0" fontId="18" fillId="4" borderId="18" xfId="0" applyFont="1" applyFill="1" applyBorder="1"/>
    <xf numFmtId="0" fontId="0" fillId="4" borderId="14" xfId="0" applyFill="1" applyBorder="1" applyAlignment="1">
      <alignment horizontal="left"/>
    </xf>
    <xf numFmtId="0" fontId="0" fillId="4" borderId="16" xfId="0" applyFill="1" applyBorder="1"/>
    <xf numFmtId="0" fontId="0" fillId="14" borderId="23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8" fillId="14" borderId="23" xfId="0" applyFont="1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7" borderId="17" xfId="0" applyFill="1" applyBorder="1"/>
    <xf numFmtId="0" fontId="0" fillId="7" borderId="23" xfId="0" applyFill="1" applyBorder="1" applyAlignment="1">
      <alignment horizontal="left"/>
    </xf>
    <xf numFmtId="164" fontId="0" fillId="14" borderId="22" xfId="1" applyFont="1" applyFill="1" applyBorder="1" applyAlignment="1">
      <alignment horizontal="center"/>
    </xf>
    <xf numFmtId="164" fontId="0" fillId="14" borderId="23" xfId="1" applyFont="1" applyFill="1" applyBorder="1" applyAlignment="1">
      <alignment horizontal="center"/>
    </xf>
    <xf numFmtId="164" fontId="0" fillId="14" borderId="24" xfId="1" applyFont="1" applyFill="1" applyBorder="1" applyAlignment="1">
      <alignment horizontal="center"/>
    </xf>
    <xf numFmtId="0" fontId="0" fillId="7" borderId="39" xfId="0" applyFill="1" applyBorder="1" applyAlignment="1">
      <alignment vertical="center"/>
    </xf>
    <xf numFmtId="0" fontId="0" fillId="5" borderId="11" xfId="0" applyFill="1" applyBorder="1" applyAlignment="1">
      <alignment horizontal="center" vertical="center"/>
    </xf>
    <xf numFmtId="0" fontId="8" fillId="4" borderId="0" xfId="2" applyFill="1" applyAlignment="1">
      <alignment horizontal="center"/>
    </xf>
    <xf numFmtId="0" fontId="8" fillId="7" borderId="0" xfId="2" applyFill="1" applyAlignment="1">
      <alignment horizontal="center"/>
    </xf>
    <xf numFmtId="0" fontId="8" fillId="21" borderId="0" xfId="2" applyFill="1"/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</cellXfs>
  <cellStyles count="3">
    <cellStyle name="Monétaire" xfId="1" builtinId="4"/>
    <cellStyle name="Normal" xfId="0" builtinId="0"/>
    <cellStyle name="Normal 2" xfId="2" xr:uid="{36FA5162-5754-4E67-B6E6-01190AF4E6E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  <c:spPr>
        <a:noFill/>
        <a:ln w="9525" cap="flat" cmpd="sng" algn="ctr">
          <a:solidFill>
            <a:schemeClr val="tx1">
              <a:tint val="75000"/>
              <a:shade val="95000"/>
              <a:satMod val="105000"/>
            </a:schemeClr>
          </a:solidFill>
          <a:prstDash val="solid"/>
          <a:round/>
        </a:ln>
        <a:effectLst/>
        <a:sp3d contourW="9525">
          <a:contourClr>
            <a:schemeClr val="tx1">
              <a:tint val="75000"/>
              <a:shade val="95000"/>
              <a:satMod val="10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109-42A8-81E1-CC913D679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109-42A8-81E1-CC913D679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4109-42A8-81E1-CC913D679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4109-42A8-81E1-CC913D679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4109-42A8-81E1-CC913D679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4109-42A8-81E1-CC913D679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4109-42A8-81E1-CC913D679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4109-42A8-81E1-CC913D679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4109-42A8-81E1-CC913D679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4109-42A8-81E1-CC913D679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4109-42A8-81E1-CC913D6790E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7-4109-42A8-81E1-CC913D6790E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9-4109-42A8-81E1-CC913D6790E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B-4109-42A8-81E1-CC913D6790E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D-4109-42A8-81E1-CC913D6790E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F-4109-42A8-81E1-CC913D6790E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1-4109-42A8-81E1-CC913D6790E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3-4109-42A8-81E1-CC913D6790EF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5-4109-42A8-81E1-CC913D6790EF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7-4109-42A8-81E1-CC913D6790EF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9-4109-42A8-81E1-CC913D6790EF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B-4109-42A8-81E1-CC913D6790EF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D-4109-42A8-81E1-CC913D6790EF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F-4109-42A8-81E1-CC913D6790EF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1-4109-42A8-81E1-CC913D6790EF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3-4109-42A8-81E1-CC913D6790EF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5-4109-42A8-81E1-CC913D6790EF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7-4109-42A8-81E1-CC913D6790EF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9-4109-42A8-81E1-CC913D6790EF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B-4109-42A8-81E1-CC913D6790EF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D-4109-42A8-81E1-CC913D6790EF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F-4109-42A8-81E1-CC913D6790EF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1-4109-42A8-81E1-CC913D6790EF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3-4109-42A8-81E1-CC913D6790EF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5-4109-42A8-81E1-CC913D6790EF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7-4109-42A8-81E1-CC913D6790EF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9-4109-42A8-81E1-CC913D6790EF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B-4109-42A8-81E1-CC913D6790EF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D-4109-42A8-81E1-CC913D6790EF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F-4109-42A8-81E1-CC913D6790EF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1-4109-42A8-81E1-CC913D6790EF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3-4109-42A8-81E1-CC913D6790EF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5-4109-42A8-81E1-CC913D6790EF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7-4109-42A8-81E1-CC913D6790EF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9-4109-42A8-81E1-CC913D6790EF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B-4109-42A8-81E1-CC913D6790EF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D-4109-42A8-81E1-CC913D6790EF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F-4109-42A8-81E1-CC913D6790EF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1-4109-42A8-81E1-CC913D6790EF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3-4109-42A8-81E1-CC913D6790EF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5-4109-42A8-81E1-CC913D6790EF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7-4109-42A8-81E1-CC913D6790EF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9-4109-42A8-81E1-CC913D6790EF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B-4109-42A8-81E1-CC913D6790EF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D-4109-42A8-81E1-CC913D6790EF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F-4109-42A8-81E1-CC913D6790EF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71-4109-42A8-81E1-CC913D6790EF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73-4109-42A8-81E1-CC913D6790EF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75-4109-42A8-81E1-CC913D6790EF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77-4109-42A8-81E1-CC913D6790EF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79-4109-42A8-81E1-CC913D6790EF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7B-4109-42A8-81E1-CC913D6790EF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7D-4109-42A8-81E1-CC913D6790EF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7F-4109-42A8-81E1-CC913D6790EF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81-4109-42A8-81E1-CC913D6790EF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83-4109-42A8-81E1-CC913D6790EF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85-4109-42A8-81E1-CC913D6790EF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87-4109-42A8-81E1-CC913D6790EF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89-4109-42A8-81E1-CC913D6790EF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8B-4109-42A8-81E1-CC913D6790EF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8D-4109-42A8-81E1-CC913D6790EF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8F-4109-42A8-81E1-CC913D6790EF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91-4109-42A8-81E1-CC913D6790EF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93-4109-42A8-81E1-CC913D6790EF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95-4109-42A8-81E1-CC913D6790EF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97-4109-42A8-81E1-CC913D6790EF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99-4109-42A8-81E1-CC913D6790EF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9B-4109-42A8-81E1-CC913D6790EF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9D-4109-42A8-81E1-CC913D6790EF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9F-4109-42A8-81E1-CC913D6790EF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A1-4109-42A8-81E1-CC913D6790EF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A3-4109-42A8-81E1-CC913D6790EF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A5-4109-42A8-81E1-CC913D6790EF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A7-4109-42A8-81E1-CC913D6790EF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A9-4109-42A8-81E1-CC913D6790EF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AB-4109-42A8-81E1-CC913D6790EF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AD-4109-42A8-81E1-CC913D6790EF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AF-4109-42A8-81E1-CC913D6790EF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B1-4109-42A8-81E1-CC913D6790EF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B3-4109-42A8-81E1-CC913D6790EF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B5-4109-42A8-81E1-CC913D6790EF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B7-4109-42A8-81E1-CC913D6790EF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B9-4109-42A8-81E1-CC913D6790EF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BB-4109-42A8-81E1-CC913D6790EF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BD-4109-42A8-81E1-CC913D6790EF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BF-4109-42A8-81E1-CC913D6790EF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C1-4109-42A8-81E1-CC913D6790EF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C3-4109-42A8-81E1-CC913D6790EF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C5-4109-42A8-81E1-CC913D6790EF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C7-4109-42A8-81E1-CC913D6790EF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C9-4109-42A8-81E1-CC913D6790EF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CB-4109-42A8-81E1-CC913D6790EF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CD-4109-42A8-81E1-CC913D6790EF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CF-4109-42A8-81E1-CC913D6790EF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D1-4109-42A8-81E1-CC913D6790EF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D3-4109-42A8-81E1-CC913D6790EF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D5-4109-42A8-81E1-CC913D6790EF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D7-BFF9-4C71-9FE7-27BDCEFDFDE5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D9-BFF9-4C71-9FE7-27BDCEFDFDE5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DB-BFF9-4C71-9FE7-27BDCEFDFD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shade val="95000"/>
                      <a:satMod val="105000"/>
                    </a:schemeClr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Recap!$B$4:$B$100</c:f>
              <c:strCache>
                <c:ptCount val="97"/>
                <c:pt idx="0">
                  <c:v>Sancerre Sardelles BLANC</c:v>
                </c:pt>
                <c:pt idx="1">
                  <c:v>Sancerre Sardelles ROSÉ</c:v>
                </c:pt>
                <c:pt idx="2">
                  <c:v>Sancerre Sardelles ROUGE</c:v>
                </c:pt>
                <c:pt idx="3">
                  <c:v>Menetou Assadet BLANC</c:v>
                </c:pt>
                <c:pt idx="4">
                  <c:v>Menetou Assadet ROUGE</c:v>
                </c:pt>
                <c:pt idx="5">
                  <c:v>Bordeaux Peneture</c:v>
                </c:pt>
                <c:pt idx="6">
                  <c:v>Quincy</c:v>
                </c:pt>
                <c:pt idx="7">
                  <c:v>Tariquet</c:v>
                </c:pt>
                <c:pt idx="8">
                  <c:v>Vouvray Pétillant BLANC</c:v>
                </c:pt>
                <c:pt idx="9">
                  <c:v>Vouvray Pétillant ROSÉ</c:v>
                </c:pt>
                <c:pt idx="10">
                  <c:v>Champagne Beaufort</c:v>
                </c:pt>
                <c:pt idx="11">
                  <c:v>Cinéma CGR</c:v>
                </c:pt>
                <c:pt idx="12">
                  <c:v>Cinéma L'Argentis</c:v>
                </c:pt>
                <c:pt idx="13">
                  <c:v>Atomic Cinéma</c:v>
                </c:pt>
                <c:pt idx="14">
                  <c:v>AUBIGNY Piscine adulte</c:v>
                </c:pt>
                <c:pt idx="15">
                  <c:v>AUBIGNY Piscine enfant</c:v>
                </c:pt>
                <c:pt idx="16">
                  <c:v>Jeton(s) de lavage INTERMARCHÉ</c:v>
                </c:pt>
                <c:pt idx="17">
                  <c:v>Jeton(s) de lavage ROUTE DE BOURGES</c:v>
                </c:pt>
                <c:pt idx="18">
                  <c:v>AUBIGNY CTA gallet</c:v>
                </c:pt>
                <c:pt idx="19">
                  <c:v>Parc ASTÉRIX</c:v>
                </c:pt>
                <c:pt idx="20">
                  <c:v>Parc Le PAL</c:v>
                </c:pt>
                <c:pt idx="21">
                  <c:v>ZooParc de Beauval adulte</c:v>
                </c:pt>
                <c:pt idx="22">
                  <c:v>ZooParc de Beauval enfant</c:v>
                </c:pt>
                <c:pt idx="23">
                  <c:v>Futuroscope adulte</c:v>
                </c:pt>
                <c:pt idx="24">
                  <c:v>Futuroscope enfant</c:v>
                </c:pt>
                <c:pt idx="25">
                  <c:v>0</c:v>
                </c:pt>
                <c:pt idx="26">
                  <c:v>Billetterie par CSE MECACHROME</c:v>
                </c:pt>
                <c:pt idx="27">
                  <c:v>Billetterie extérieur</c:v>
                </c:pt>
                <c:pt idx="28">
                  <c:v>Activités scolaire=&gt;140€</c:v>
                </c:pt>
                <c:pt idx="29">
                  <c:v>Activités scolaire &lt;140€</c:v>
                </c:pt>
                <c:pt idx="30">
                  <c:v>Don naissance</c:v>
                </c:pt>
                <c:pt idx="31">
                  <c:v>Don Mariage/Pacs</c:v>
                </c:pt>
                <c:pt idx="32">
                  <c:v>Don retraite</c:v>
                </c:pt>
                <c:pt idx="33">
                  <c:v>Liquide de refroidissement</c:v>
                </c:pt>
                <c:pt idx="34">
                  <c:v>Liquide lave-glace</c:v>
                </c:pt>
                <c:pt idx="35">
                  <c:v>Dégivrant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Batterie N°1 45Ah-400A</c:v>
                </c:pt>
                <c:pt idx="41">
                  <c:v>Batterie N°2 50Ah-420A</c:v>
                </c:pt>
                <c:pt idx="42">
                  <c:v>Batterie N°3 60Ah-500A</c:v>
                </c:pt>
                <c:pt idx="43">
                  <c:v>Batterie N°4 70Ah-640A</c:v>
                </c:pt>
                <c:pt idx="44">
                  <c:v>Batterie N°5 95Ah-800A</c:v>
                </c:pt>
                <c:pt idx="45">
                  <c:v>0</c:v>
                </c:pt>
                <c:pt idx="46">
                  <c:v>0</c:v>
                </c:pt>
                <c:pt idx="47">
                  <c:v>Essuie-glace 350 mm</c:v>
                </c:pt>
                <c:pt idx="48">
                  <c:v>Essuie-glace 400 mm</c:v>
                </c:pt>
                <c:pt idx="49">
                  <c:v>Essuie-glace 430 mm</c:v>
                </c:pt>
                <c:pt idx="50">
                  <c:v>Essuie-glace 450 mm</c:v>
                </c:pt>
                <c:pt idx="51">
                  <c:v>Essuie-glace 480 mm</c:v>
                </c:pt>
                <c:pt idx="52">
                  <c:v>Essuie-glace 500 mm</c:v>
                </c:pt>
                <c:pt idx="53">
                  <c:v>Essuie-glace 530 mm</c:v>
                </c:pt>
                <c:pt idx="54">
                  <c:v>Essuie-glace 550 mm</c:v>
                </c:pt>
                <c:pt idx="55">
                  <c:v>Essuie-glace 600 mm</c:v>
                </c:pt>
                <c:pt idx="56">
                  <c:v>Essuie-glace 650 mm</c:v>
                </c:pt>
                <c:pt idx="57">
                  <c:v>Essuie-glace 700 mm</c:v>
                </c:pt>
                <c:pt idx="58">
                  <c:v>Essuie-glace 730 mm</c:v>
                </c:pt>
                <c:pt idx="59">
                  <c:v>Essuie-glace 750 mm</c:v>
                </c:pt>
                <c:pt idx="60">
                  <c:v>Essuie-glace 800 mm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strCache>
            </c:strRef>
          </c:cat>
          <c:val>
            <c:numRef>
              <c:f>Recap!$D$4:$D$100</c:f>
              <c:numCache>
                <c:formatCode>0;\-0;;@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B-4401-A27F-313226215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15787996560307"/>
          <c:y val="1.756743002544529E-2"/>
          <c:w val="0.17499866408914455"/>
          <c:h val="0.96893622648314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714837425273746E-2"/>
          <c:y val="1.6505233723670722E-2"/>
          <c:w val="0.92222061969835534"/>
          <c:h val="0.8081353494248885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DC3-44F6-8D41-B1D2771BDD8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DC3-44F6-8D41-B1D2771BDD8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DC3-44F6-8D41-B1D2771BDD8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DC3-44F6-8D41-B1D2771BDD8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EDC3-44F6-8D41-B1D2771BDD8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EDC3-44F6-8D41-B1D2771BDD8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EDC3-44F6-8D41-B1D2771BDD8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EDC3-44F6-8D41-B1D2771BDD8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EDC3-44F6-8D41-B1D2771BDD8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EDC3-44F6-8D41-B1D2771BDD8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DC3-44F6-8D41-B1D2771BDD80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EDC3-44F6-8D41-B1D2771BDD80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EDC3-44F6-8D41-B1D2771BDD80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EDC3-44F6-8D41-B1D2771BDD80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DC3-44F6-8D41-B1D2771BDD80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DC3-44F6-8D41-B1D2771BDD8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EDC3-44F6-8D41-B1D2771BDD80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EDC3-44F6-8D41-B1D2771BDD80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EDC3-44F6-8D41-B1D2771BDD80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EDC3-44F6-8D41-B1D2771BDD80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EDC3-44F6-8D41-B1D2771BDD80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EDC3-44F6-8D41-B1D2771BDD80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EDC3-44F6-8D41-B1D2771BDD80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EDC3-44F6-8D41-B1D2771BDD80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EDC3-44F6-8D41-B1D2771BDD80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EDC3-44F6-8D41-B1D2771BDD80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EDC3-44F6-8D41-B1D2771BDD80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EDC3-44F6-8D41-B1D2771BDD80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EDC3-44F6-8D41-B1D2771BDD80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DC3-44F6-8D41-B1D2771BDD80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EDC3-44F6-8D41-B1D2771BDD80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EDC3-44F6-8D41-B1D2771BDD80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EDC3-44F6-8D41-B1D2771BDD80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EDC3-44F6-8D41-B1D2771BDD80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EDC3-44F6-8D41-B1D2771BDD80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EDC3-44F6-8D41-B1D2771BDD80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EDC3-44F6-8D41-B1D2771BDD80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EDC3-44F6-8D41-B1D2771BDD80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EDC3-44F6-8D41-B1D2771BDD80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EDC3-44F6-8D41-B1D2771BDD80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EDC3-44F6-8D41-B1D2771BDD80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EDC3-44F6-8D41-B1D2771BDD80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EDC3-44F6-8D41-B1D2771BDD80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EDC3-44F6-8D41-B1D2771BDD80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EDC3-44F6-8D41-B1D2771BDD80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EDC3-44F6-8D41-B1D2771BDD80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D-EDC3-44F6-8D41-B1D2771BDD80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EDC3-44F6-8D41-B1D2771BDD80}"/>
              </c:ext>
            </c:extLst>
          </c:dPt>
          <c:dPt>
            <c:idx val="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1-EDC3-44F6-8D41-B1D2771BDD80}"/>
              </c:ext>
            </c:extLst>
          </c:dPt>
          <c:dPt>
            <c:idx val="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3-EDC3-44F6-8D41-B1D2771BDD80}"/>
              </c:ext>
            </c:extLst>
          </c:dPt>
          <c:dPt>
            <c:idx val="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EDC3-44F6-8D41-B1D2771BDD80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7-EDC3-44F6-8D41-B1D2771BDD80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9-EDC3-44F6-8D41-B1D2771BDD80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B-EDC3-44F6-8D41-B1D2771BDD80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D-EDC3-44F6-8D41-B1D2771BDD80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F-EDC3-44F6-8D41-B1D2771BDD80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EDC3-44F6-8D41-B1D2771BDD80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EDC3-44F6-8D41-B1D2771BDD80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EDC3-44F6-8D41-B1D2771BDD80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EDC3-44F6-8D41-B1D2771BDD80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EDC3-44F6-8D41-B1D2771BDD80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EDC3-44F6-8D41-B1D2771BDD80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EDC3-44F6-8D41-B1D2771BDD80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EDC3-44F6-8D41-B1D2771BDD80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EDC3-44F6-8D41-B1D2771BDD80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EDC3-44F6-8D41-B1D2771BDD80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EDC3-44F6-8D41-B1D2771BDD80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EDC3-44F6-8D41-B1D2771BDD80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EDC3-44F6-8D41-B1D2771BDD80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EDC3-44F6-8D41-B1D2771BDD80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EDC3-44F6-8D41-B1D2771BDD80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EDC3-44F6-8D41-B1D2771BDD80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EDC3-44F6-8D41-B1D2771BDD80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EDC3-44F6-8D41-B1D2771BDD80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EDC3-44F6-8D41-B1D2771BDD80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EDC3-44F6-8D41-B1D2771BDD80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EDC3-44F6-8D41-B1D2771BDD80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EDC3-44F6-8D41-B1D2771BDD80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EDC3-44F6-8D41-B1D2771BDD80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EDC3-44F6-8D41-B1D2771BDD80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EDC3-44F6-8D41-B1D2771BDD80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EDC3-44F6-8D41-B1D2771BDD80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EDC3-44F6-8D41-B1D2771BDD80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EDC3-44F6-8D41-B1D2771BDD80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EDC3-44F6-8D41-B1D2771BDD80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EDC3-44F6-8D41-B1D2771BDD80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EDC3-44F6-8D41-B1D2771BDD80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EDC3-44F6-8D41-B1D2771BDD80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EDC3-44F6-8D41-B1D2771BDD80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EDC3-44F6-8D41-B1D2771BDD80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EDC3-44F6-8D41-B1D2771BDD80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EDC3-44F6-8D41-B1D2771BDD80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EDC3-44F6-8D41-B1D2771BDD80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EDC3-44F6-8D41-B1D2771BDD80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EDC3-44F6-8D41-B1D2771BDD80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EDC3-44F6-8D41-B1D2771BDD80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EDC3-44F6-8D41-B1D2771BDD80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EDC3-44F6-8D41-B1D2771BDD80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EDC3-44F6-8D41-B1D2771BDD80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EDC3-44F6-8D41-B1D2771BDD80}"/>
              </c:ext>
            </c:extLst>
          </c:dPt>
          <c:dPt>
            <c:idx val="1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EDC3-44F6-8D41-B1D2771BDD80}"/>
              </c:ext>
            </c:extLst>
          </c:dPt>
          <c:dPt>
            <c:idx val="1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EDC3-44F6-8D41-B1D2771BDD80}"/>
              </c:ext>
            </c:extLst>
          </c:dPt>
          <c:dPt>
            <c:idx val="1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EDC3-44F6-8D41-B1D2771BDD80}"/>
              </c:ext>
            </c:extLst>
          </c:dPt>
          <c:dPt>
            <c:idx val="1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EDC3-44F6-8D41-B1D2771BDD80}"/>
              </c:ext>
            </c:extLst>
          </c:dPt>
          <c:dPt>
            <c:idx val="1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EDC3-44F6-8D41-B1D2771BDD80}"/>
              </c:ext>
            </c:extLst>
          </c:dPt>
          <c:dPt>
            <c:idx val="1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EDC3-44F6-8D41-B1D2771BDD80}"/>
              </c:ext>
            </c:extLst>
          </c:dPt>
          <c:dPt>
            <c:idx val="1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EDC3-44F6-8D41-B1D2771BDD80}"/>
              </c:ext>
            </c:extLst>
          </c:dPt>
          <c:cat>
            <c:strRef>
              <c:f>(RecapJ!$B$4:$B$28,RecapJ!$B$30:$B$39,RecapJ!$B$44:$B$48,RecapJ!$B$51:$B$64)</c:f>
              <c:strCache>
                <c:ptCount val="54"/>
                <c:pt idx="0">
                  <c:v>Sancerre Sardelles BLANC</c:v>
                </c:pt>
                <c:pt idx="1">
                  <c:v>Sancerre Sardelles ROSÉ</c:v>
                </c:pt>
                <c:pt idx="2">
                  <c:v>Sancerre Sardelles ROUGE</c:v>
                </c:pt>
                <c:pt idx="3">
                  <c:v>Menetou Assadet BLANC</c:v>
                </c:pt>
                <c:pt idx="4">
                  <c:v>Menetou Assadet ROUGE</c:v>
                </c:pt>
                <c:pt idx="5">
                  <c:v>Bordeaux Peneture</c:v>
                </c:pt>
                <c:pt idx="6">
                  <c:v>Quincy</c:v>
                </c:pt>
                <c:pt idx="7">
                  <c:v>Tariquet</c:v>
                </c:pt>
                <c:pt idx="8">
                  <c:v>Vouvray Pétillant BLANC</c:v>
                </c:pt>
                <c:pt idx="9">
                  <c:v>Vouvray Pétillant ROSÉ</c:v>
                </c:pt>
                <c:pt idx="10">
                  <c:v>Champagne Beaufort</c:v>
                </c:pt>
                <c:pt idx="11">
                  <c:v>Cinéma CGR</c:v>
                </c:pt>
                <c:pt idx="12">
                  <c:v>Cinéma L'Argentis</c:v>
                </c:pt>
                <c:pt idx="13">
                  <c:v>Atomic Cinéma</c:v>
                </c:pt>
                <c:pt idx="14">
                  <c:v>AUBIGNY Piscine adulte</c:v>
                </c:pt>
                <c:pt idx="15">
                  <c:v>AUBIGNY Piscine enfant</c:v>
                </c:pt>
                <c:pt idx="16">
                  <c:v>Jeton(s) de lavage INTERMARCHÉ</c:v>
                </c:pt>
                <c:pt idx="17">
                  <c:v>Jeton(s) de lavage ROUTE DE BOURGES</c:v>
                </c:pt>
                <c:pt idx="18">
                  <c:v>AUBIGNY CTA gallet</c:v>
                </c:pt>
                <c:pt idx="19">
                  <c:v>Parc ASTÉRIX</c:v>
                </c:pt>
                <c:pt idx="20">
                  <c:v>Parc Le PAL</c:v>
                </c:pt>
                <c:pt idx="21">
                  <c:v>ZooParc de Beauval adulte</c:v>
                </c:pt>
                <c:pt idx="22">
                  <c:v>ZooParc de Beauval enfant</c:v>
                </c:pt>
                <c:pt idx="23">
                  <c:v>Futuroscope adulte</c:v>
                </c:pt>
                <c:pt idx="24">
                  <c:v>Futuroscope enfant</c:v>
                </c:pt>
                <c:pt idx="25">
                  <c:v>Billetterie par CSE MECACHROME</c:v>
                </c:pt>
                <c:pt idx="26">
                  <c:v>Billetterie extérieur</c:v>
                </c:pt>
                <c:pt idx="27">
                  <c:v>Activités scolaire=&gt;140€</c:v>
                </c:pt>
                <c:pt idx="28">
                  <c:v>Activités scolaire &lt;140€</c:v>
                </c:pt>
                <c:pt idx="29">
                  <c:v>Don naissance</c:v>
                </c:pt>
                <c:pt idx="30">
                  <c:v>Don Mariage/Pacs</c:v>
                </c:pt>
                <c:pt idx="31">
                  <c:v>Don retraite</c:v>
                </c:pt>
                <c:pt idx="32">
                  <c:v>Liquide de refroidissement</c:v>
                </c:pt>
                <c:pt idx="33">
                  <c:v>Liquide lave-glace</c:v>
                </c:pt>
                <c:pt idx="34">
                  <c:v>Dégivrant</c:v>
                </c:pt>
                <c:pt idx="35">
                  <c:v>Batterie N°1 45Ah-400A</c:v>
                </c:pt>
                <c:pt idx="36">
                  <c:v>Batterie N°2 50Ah-420A</c:v>
                </c:pt>
                <c:pt idx="37">
                  <c:v>Batterie N°3 60Ah-500A</c:v>
                </c:pt>
                <c:pt idx="38">
                  <c:v>Batterie N°4 70Ah-640A</c:v>
                </c:pt>
                <c:pt idx="39">
                  <c:v>Batterie N°5 95Ah-800A</c:v>
                </c:pt>
                <c:pt idx="40">
                  <c:v>Essuie-glace 350 mm</c:v>
                </c:pt>
                <c:pt idx="41">
                  <c:v>Essuie-glace 400 mm</c:v>
                </c:pt>
                <c:pt idx="42">
                  <c:v>Essuie-glace 430 mm</c:v>
                </c:pt>
                <c:pt idx="43">
                  <c:v>Essuie-glace 450 mm</c:v>
                </c:pt>
                <c:pt idx="44">
                  <c:v>Essuie-glace 480 mm</c:v>
                </c:pt>
                <c:pt idx="45">
                  <c:v>Essuie-glace 500 mm</c:v>
                </c:pt>
                <c:pt idx="46">
                  <c:v>Essuie-glace 530 mm</c:v>
                </c:pt>
                <c:pt idx="47">
                  <c:v>Essuie-glace 550 mm</c:v>
                </c:pt>
                <c:pt idx="48">
                  <c:v>Essuie-glace 600 mm</c:v>
                </c:pt>
                <c:pt idx="49">
                  <c:v>Essuie-glace 650 mm</c:v>
                </c:pt>
                <c:pt idx="50">
                  <c:v>Essuie-glace 700 mm</c:v>
                </c:pt>
                <c:pt idx="51">
                  <c:v>Essuie-glace 730 mm</c:v>
                </c:pt>
                <c:pt idx="52">
                  <c:v>Essuie-glace 750 mm</c:v>
                </c:pt>
                <c:pt idx="53">
                  <c:v>Essuie-glace 800 mm</c:v>
                </c:pt>
              </c:strCache>
            </c:strRef>
          </c:cat>
          <c:val>
            <c:numRef>
              <c:f>(RecapJ!$D$4:$D$28,RecapJ!$D$30:$D$39,RecapJ!$D$44:$D$48,RecapJ!$D$51:$D$64)</c:f>
              <c:numCache>
                <c:formatCode>0;\-0;;@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6-EDC3-44F6-8D41-B1D2771BD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52147624"/>
        <c:axId val="652148280"/>
      </c:barChart>
      <c:catAx>
        <c:axId val="652147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2148280"/>
        <c:crosses val="autoZero"/>
        <c:auto val="1"/>
        <c:lblAlgn val="ctr"/>
        <c:lblOffset val="100"/>
        <c:noMultiLvlLbl val="0"/>
      </c:catAx>
      <c:valAx>
        <c:axId val="65214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2147624"/>
        <c:crosses val="autoZero"/>
        <c:crossBetween val="between"/>
      </c:valAx>
      <c:spPr>
        <a:solidFill>
          <a:schemeClr val="bg1">
            <a:lumMod val="8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114300</xdr:rowOff>
    </xdr:from>
    <xdr:to>
      <xdr:col>21</xdr:col>
      <xdr:colOff>254000</xdr:colOff>
      <xdr:row>46</xdr:row>
      <xdr:rowOff>31750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ACTION COMPTÉ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CHÈQUES 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DÉPENSES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66676</xdr:colOff>
      <xdr:row>15</xdr:row>
      <xdr:rowOff>47624</xdr:rowOff>
    </xdr:from>
    <xdr:to>
      <xdr:col>15</xdr:col>
      <xdr:colOff>714376</xdr:colOff>
      <xdr:row>21</xdr:row>
      <xdr:rowOff>0</xdr:rowOff>
    </xdr:to>
    <xdr:sp macro="[0]!ouverture_caiss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0648951" y="2905124"/>
          <a:ext cx="2171700" cy="1095376"/>
        </a:xfrm>
        <a:prstGeom prst="roundRect">
          <a:avLst/>
        </a:prstGeom>
        <a:solidFill>
          <a:srgbClr val="00B050"/>
        </a:solidFill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800" b="1"/>
            <a:t>CAISSE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0</xdr:colOff>
          <xdr:row>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PUBLIER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0</xdr:row>
          <xdr:rowOff>0</xdr:rowOff>
        </xdr:from>
        <xdr:to>
          <xdr:col>21</xdr:col>
          <xdr:colOff>0</xdr:colOff>
          <xdr:row>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PUBLIER XLSX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9525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ÉFFACER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84665</xdr:colOff>
      <xdr:row>1</xdr:row>
      <xdr:rowOff>114300</xdr:rowOff>
    </xdr:from>
    <xdr:to>
      <xdr:col>21</xdr:col>
      <xdr:colOff>518582</xdr:colOff>
      <xdr:row>47</xdr:row>
      <xdr:rowOff>116417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D54C-C4C4-49E4-BB64-D3E997948907}">
  <sheetPr codeName="Feuil1"/>
  <dimension ref="A1:F15"/>
  <sheetViews>
    <sheetView workbookViewId="0">
      <selection activeCell="F10" sqref="F10"/>
    </sheetView>
  </sheetViews>
  <sheetFormatPr baseColWidth="10" defaultRowHeight="15" x14ac:dyDescent="0.2"/>
  <cols>
    <col min="1" max="1" width="25.7109375" style="90" customWidth="1"/>
    <col min="2" max="5" width="11.42578125" style="90"/>
    <col min="6" max="6" width="21.7109375" style="90" customWidth="1"/>
    <col min="7" max="16384" width="11.42578125" style="90"/>
  </cols>
  <sheetData>
    <row r="1" spans="1:6" x14ac:dyDescent="0.2">
      <c r="A1" s="94" t="s">
        <v>92</v>
      </c>
      <c r="B1" s="91" t="s">
        <v>95</v>
      </c>
      <c r="C1" s="92" t="s">
        <v>91</v>
      </c>
      <c r="D1" s="91" t="str">
        <f>IF(D2&lt;&gt;1,"essais :","essai :")</f>
        <v>essais :</v>
      </c>
      <c r="E1" s="92" t="s">
        <v>96</v>
      </c>
      <c r="F1" s="93" t="s">
        <v>98</v>
      </c>
    </row>
    <row r="2" spans="1:6" x14ac:dyDescent="0.2">
      <c r="A2" s="90" t="s">
        <v>157</v>
      </c>
      <c r="B2" s="127" t="s">
        <v>94</v>
      </c>
      <c r="C2" s="127" t="s">
        <v>93</v>
      </c>
      <c r="D2" s="45">
        <v>3</v>
      </c>
      <c r="E2" s="46" t="s">
        <v>94</v>
      </c>
      <c r="F2" s="47" t="str">
        <f>INDEX(A2:A15,MATCH($E$2,B2:B15,0))</f>
        <v>Mr BABA</v>
      </c>
    </row>
    <row r="3" spans="1:6" x14ac:dyDescent="0.2">
      <c r="A3" s="133" t="s">
        <v>158</v>
      </c>
      <c r="B3" s="129" t="s">
        <v>97</v>
      </c>
      <c r="C3" s="129" t="s">
        <v>97</v>
      </c>
    </row>
    <row r="4" spans="1:6" x14ac:dyDescent="0.2">
      <c r="A4" s="183" t="s">
        <v>159</v>
      </c>
      <c r="B4" s="128" t="s">
        <v>106</v>
      </c>
      <c r="C4" s="128" t="s">
        <v>106</v>
      </c>
    </row>
    <row r="5" spans="1:6" x14ac:dyDescent="0.2">
      <c r="A5" s="133" t="s">
        <v>160</v>
      </c>
      <c r="B5" s="129" t="s">
        <v>107</v>
      </c>
      <c r="C5" s="129" t="s">
        <v>107</v>
      </c>
    </row>
    <row r="6" spans="1:6" x14ac:dyDescent="0.2">
      <c r="A6" s="90" t="s">
        <v>161</v>
      </c>
      <c r="B6" s="128"/>
      <c r="C6" s="128"/>
    </row>
    <row r="7" spans="1:6" x14ac:dyDescent="0.2">
      <c r="A7" s="181">
        <v>1</v>
      </c>
      <c r="B7" s="129"/>
      <c r="C7" s="129"/>
    </row>
    <row r="8" spans="1:6" x14ac:dyDescent="0.2">
      <c r="A8" s="182">
        <v>2</v>
      </c>
      <c r="B8" s="128"/>
      <c r="C8" s="128"/>
    </row>
    <row r="9" spans="1:6" x14ac:dyDescent="0.2">
      <c r="A9" s="181">
        <v>3</v>
      </c>
      <c r="B9" s="129"/>
      <c r="C9" s="129"/>
    </row>
    <row r="10" spans="1:6" x14ac:dyDescent="0.2">
      <c r="A10" s="182">
        <v>4</v>
      </c>
      <c r="B10" s="128"/>
      <c r="C10" s="128"/>
    </row>
    <row r="11" spans="1:6" x14ac:dyDescent="0.2">
      <c r="A11" s="181">
        <v>5</v>
      </c>
      <c r="B11" s="129"/>
      <c r="C11" s="129"/>
    </row>
    <row r="12" spans="1:6" x14ac:dyDescent="0.2">
      <c r="A12" s="182">
        <v>6</v>
      </c>
      <c r="B12" s="128"/>
      <c r="C12" s="128"/>
    </row>
    <row r="13" spans="1:6" x14ac:dyDescent="0.2">
      <c r="A13" s="181">
        <v>7</v>
      </c>
      <c r="B13" s="129"/>
      <c r="C13" s="129"/>
    </row>
    <row r="14" spans="1:6" x14ac:dyDescent="0.2">
      <c r="A14" s="182">
        <v>8</v>
      </c>
      <c r="B14" s="128"/>
      <c r="C14" s="128"/>
    </row>
    <row r="15" spans="1:6" x14ac:dyDescent="0.2">
      <c r="A15" s="95">
        <v>9</v>
      </c>
      <c r="B15" s="130"/>
      <c r="C15" s="13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0703-8704-4EB5-B2D2-42182A10788A}">
  <sheetPr codeName="Feuil9"/>
  <dimension ref="A1:H54"/>
  <sheetViews>
    <sheetView showGridLines="0" showRowColHeaders="0" workbookViewId="0">
      <selection activeCell="D44" sqref="D44"/>
    </sheetView>
  </sheetViews>
  <sheetFormatPr baseColWidth="10" defaultRowHeight="15" x14ac:dyDescent="0.25"/>
  <cols>
    <col min="1" max="16384" width="11.42578125" style="16"/>
  </cols>
  <sheetData>
    <row r="1" spans="1:8" x14ac:dyDescent="0.25">
      <c r="A1" s="48"/>
      <c r="B1" s="49"/>
      <c r="C1" s="49"/>
      <c r="D1" s="49"/>
      <c r="E1" s="49"/>
      <c r="F1" s="49"/>
      <c r="G1" s="49"/>
      <c r="H1" s="50"/>
    </row>
    <row r="2" spans="1:8" x14ac:dyDescent="0.25">
      <c r="A2" s="8"/>
      <c r="B2"/>
      <c r="C2"/>
      <c r="D2"/>
      <c r="E2"/>
      <c r="F2"/>
      <c r="G2"/>
      <c r="H2" s="9"/>
    </row>
    <row r="3" spans="1:8" x14ac:dyDescent="0.25">
      <c r="A3" s="8"/>
      <c r="B3"/>
      <c r="C3"/>
      <c r="D3"/>
      <c r="E3"/>
      <c r="F3"/>
      <c r="G3"/>
      <c r="H3" s="9"/>
    </row>
    <row r="4" spans="1:8" x14ac:dyDescent="0.25">
      <c r="A4" s="8"/>
      <c r="B4"/>
      <c r="C4"/>
      <c r="D4"/>
      <c r="E4"/>
      <c r="F4"/>
      <c r="G4"/>
      <c r="H4" s="9"/>
    </row>
    <row r="5" spans="1:8" x14ac:dyDescent="0.25">
      <c r="A5" s="8"/>
      <c r="B5"/>
      <c r="C5"/>
      <c r="D5"/>
      <c r="E5"/>
      <c r="F5"/>
      <c r="G5"/>
      <c r="H5" s="9"/>
    </row>
    <row r="6" spans="1:8" x14ac:dyDescent="0.25">
      <c r="A6" s="8"/>
      <c r="B6"/>
      <c r="C6"/>
      <c r="D6"/>
      <c r="E6"/>
      <c r="F6"/>
      <c r="G6"/>
      <c r="H6" s="9"/>
    </row>
    <row r="7" spans="1:8" x14ac:dyDescent="0.25">
      <c r="A7" s="8"/>
      <c r="B7"/>
      <c r="C7"/>
      <c r="D7"/>
      <c r="E7"/>
      <c r="F7"/>
      <c r="G7"/>
      <c r="H7" s="9"/>
    </row>
    <row r="8" spans="1:8" x14ac:dyDescent="0.25">
      <c r="A8" s="8"/>
      <c r="B8"/>
      <c r="C8"/>
      <c r="D8"/>
      <c r="E8"/>
      <c r="F8"/>
      <c r="G8"/>
      <c r="H8" s="9"/>
    </row>
    <row r="9" spans="1:8" x14ac:dyDescent="0.25">
      <c r="A9" s="8"/>
      <c r="B9"/>
      <c r="C9"/>
      <c r="D9"/>
      <c r="E9"/>
      <c r="F9"/>
      <c r="G9"/>
      <c r="H9" s="9"/>
    </row>
    <row r="10" spans="1:8" x14ac:dyDescent="0.25">
      <c r="A10" s="8"/>
      <c r="B10"/>
      <c r="C10"/>
      <c r="D10"/>
      <c r="E10"/>
      <c r="F10"/>
      <c r="G10" s="51">
        <f>Temp!A2</f>
        <v>0</v>
      </c>
      <c r="H10" s="9"/>
    </row>
    <row r="11" spans="1:8" x14ac:dyDescent="0.25">
      <c r="A11" s="8"/>
      <c r="B11" t="s">
        <v>16</v>
      </c>
      <c r="C11"/>
      <c r="D11"/>
      <c r="E11"/>
      <c r="F11"/>
      <c r="G11"/>
      <c r="H11" s="9"/>
    </row>
    <row r="12" spans="1:8" x14ac:dyDescent="0.25">
      <c r="A12" s="8"/>
      <c r="B12" t="s">
        <v>19</v>
      </c>
      <c r="C12"/>
      <c r="D12"/>
      <c r="E12"/>
      <c r="F12" s="106" t="s">
        <v>20</v>
      </c>
      <c r="G12" s="107"/>
      <c r="H12" s="9"/>
    </row>
    <row r="13" spans="1:8" x14ac:dyDescent="0.25">
      <c r="A13" s="8"/>
      <c r="B13" t="s">
        <v>17</v>
      </c>
      <c r="C13"/>
      <c r="D13"/>
      <c r="E13"/>
      <c r="F13" s="89" t="s">
        <v>147</v>
      </c>
      <c r="G13" s="52"/>
      <c r="H13" s="9"/>
    </row>
    <row r="14" spans="1:8" x14ac:dyDescent="0.25">
      <c r="A14" s="8"/>
      <c r="B14"/>
      <c r="C14"/>
      <c r="D14"/>
      <c r="E14"/>
      <c r="F14"/>
      <c r="G14"/>
      <c r="H14" s="9"/>
    </row>
    <row r="15" spans="1:8" x14ac:dyDescent="0.25">
      <c r="A15" s="8"/>
      <c r="B15"/>
      <c r="C15"/>
      <c r="D15"/>
      <c r="E15"/>
      <c r="F15"/>
      <c r="G15"/>
      <c r="H15" s="9"/>
    </row>
    <row r="16" spans="1:8" x14ac:dyDescent="0.25">
      <c r="A16" s="8"/>
      <c r="B16" s="4" t="s">
        <v>43</v>
      </c>
      <c r="C16" s="14"/>
      <c r="D16" s="5"/>
      <c r="E16" s="7" t="s">
        <v>41</v>
      </c>
      <c r="F16" s="6" t="s">
        <v>42</v>
      </c>
      <c r="G16" s="7" t="s">
        <v>18</v>
      </c>
      <c r="H16" s="9"/>
    </row>
    <row r="17" spans="1:8" x14ac:dyDescent="0.25">
      <c r="A17" s="8"/>
      <c r="B17" s="48" t="str">
        <f>IF(Temp!C2="","",Temp!C2)</f>
        <v/>
      </c>
      <c r="C17" s="49"/>
      <c r="D17" s="50"/>
      <c r="E17" s="53" t="str">
        <f>Temp!E2</f>
        <v/>
      </c>
      <c r="F17" s="54" t="str">
        <f>IF(Temp!B2="","",Temp!B2)</f>
        <v/>
      </c>
      <c r="G17" s="53" t="str">
        <f>IF(Temp!D2="","",Temp!D2)</f>
        <v/>
      </c>
      <c r="H17" s="9"/>
    </row>
    <row r="18" spans="1:8" x14ac:dyDescent="0.25">
      <c r="A18" s="8"/>
      <c r="B18" s="8" t="str">
        <f>IF(Temp!C3="","",Temp!C3)</f>
        <v/>
      </c>
      <c r="C18"/>
      <c r="D18" s="9"/>
      <c r="E18" s="15" t="str">
        <f>Temp!E3</f>
        <v/>
      </c>
      <c r="F18" s="10" t="str">
        <f>IF(Temp!B3="","",Temp!B3)</f>
        <v/>
      </c>
      <c r="G18" s="15" t="str">
        <f>IF(Temp!D3="","",Temp!D3)</f>
        <v/>
      </c>
      <c r="H18" s="9"/>
    </row>
    <row r="19" spans="1:8" x14ac:dyDescent="0.25">
      <c r="A19" s="8"/>
      <c r="B19" s="8" t="str">
        <f>IF(Temp!C4="","",Temp!C4)</f>
        <v/>
      </c>
      <c r="C19"/>
      <c r="D19" s="9"/>
      <c r="E19" s="15" t="str">
        <f>Temp!E4</f>
        <v/>
      </c>
      <c r="F19" s="10" t="str">
        <f>IF(Temp!B4="","",Temp!B4)</f>
        <v/>
      </c>
      <c r="G19" s="15" t="str">
        <f>IF(Temp!D4="","",Temp!D4)</f>
        <v/>
      </c>
      <c r="H19" s="9"/>
    </row>
    <row r="20" spans="1:8" x14ac:dyDescent="0.25">
      <c r="A20" s="8"/>
      <c r="B20" s="8" t="str">
        <f>IF(Temp!C5="","",Temp!C5)</f>
        <v/>
      </c>
      <c r="C20"/>
      <c r="D20" s="9"/>
      <c r="E20" s="15" t="str">
        <f>Temp!E5</f>
        <v/>
      </c>
      <c r="F20" s="10" t="str">
        <f>IF(Temp!B5="","",Temp!B5)</f>
        <v/>
      </c>
      <c r="G20" s="15" t="str">
        <f>IF(Temp!D5="","",Temp!D5)</f>
        <v/>
      </c>
      <c r="H20" s="9"/>
    </row>
    <row r="21" spans="1:8" x14ac:dyDescent="0.25">
      <c r="A21" s="8"/>
      <c r="B21" s="8" t="str">
        <f>IF(Temp!C6="","",Temp!C6)</f>
        <v/>
      </c>
      <c r="C21"/>
      <c r="D21" s="9"/>
      <c r="E21" s="15" t="str">
        <f>Temp!E6</f>
        <v/>
      </c>
      <c r="F21" s="10" t="str">
        <f>IF(Temp!B6="","",Temp!B6)</f>
        <v/>
      </c>
      <c r="G21" s="15" t="str">
        <f>IF(Temp!D6="","",Temp!D6)</f>
        <v/>
      </c>
      <c r="H21" s="9"/>
    </row>
    <row r="22" spans="1:8" x14ac:dyDescent="0.25">
      <c r="A22" s="8"/>
      <c r="B22" s="8" t="str">
        <f>IF(Temp!C7="","",Temp!C7)</f>
        <v/>
      </c>
      <c r="C22"/>
      <c r="D22" s="9"/>
      <c r="E22" s="15" t="str">
        <f>Temp!E7</f>
        <v/>
      </c>
      <c r="F22" s="10" t="str">
        <f>IF(Temp!B7="","",Temp!B7)</f>
        <v/>
      </c>
      <c r="G22" s="15" t="str">
        <f>IF(Temp!D7="","",Temp!D7)</f>
        <v/>
      </c>
      <c r="H22" s="9"/>
    </row>
    <row r="23" spans="1:8" x14ac:dyDescent="0.25">
      <c r="A23" s="8"/>
      <c r="B23" s="8" t="str">
        <f>IF(Temp!C8="","",Temp!C8)</f>
        <v/>
      </c>
      <c r="C23"/>
      <c r="D23" s="9"/>
      <c r="E23" s="15" t="str">
        <f>Temp!E8</f>
        <v/>
      </c>
      <c r="F23" s="10" t="str">
        <f>IF(Temp!B8="","",Temp!B8)</f>
        <v/>
      </c>
      <c r="G23" s="15" t="str">
        <f>IF(Temp!D8="","",Temp!D8)</f>
        <v/>
      </c>
      <c r="H23" s="9"/>
    </row>
    <row r="24" spans="1:8" x14ac:dyDescent="0.25">
      <c r="A24" s="8"/>
      <c r="B24" s="8" t="str">
        <f>IF(Temp!C9="","",Temp!C9)</f>
        <v/>
      </c>
      <c r="C24"/>
      <c r="D24" s="9"/>
      <c r="E24" s="15" t="str">
        <f>Temp!E9</f>
        <v/>
      </c>
      <c r="F24" s="10" t="str">
        <f>IF(Temp!B9="","",Temp!B9)</f>
        <v/>
      </c>
      <c r="G24" s="15" t="str">
        <f>IF(Temp!D9="","",Temp!D9)</f>
        <v/>
      </c>
      <c r="H24" s="9"/>
    </row>
    <row r="25" spans="1:8" x14ac:dyDescent="0.25">
      <c r="A25" s="8"/>
      <c r="B25" s="8" t="str">
        <f>IF(Temp!C10="","",Temp!C10)</f>
        <v/>
      </c>
      <c r="C25"/>
      <c r="D25" s="9"/>
      <c r="E25" s="15" t="str">
        <f>Temp!E10</f>
        <v/>
      </c>
      <c r="F25" s="10" t="str">
        <f>IF(Temp!B10="","",Temp!B10)</f>
        <v/>
      </c>
      <c r="G25" s="15" t="str">
        <f>IF(Temp!D10="","",Temp!D10)</f>
        <v/>
      </c>
      <c r="H25" s="9"/>
    </row>
    <row r="26" spans="1:8" x14ac:dyDescent="0.25">
      <c r="A26" s="8"/>
      <c r="B26" s="8" t="str">
        <f>IF(Temp!C11="","",Temp!C11)</f>
        <v/>
      </c>
      <c r="C26"/>
      <c r="D26" s="9"/>
      <c r="E26" s="15" t="str">
        <f>Temp!E11</f>
        <v/>
      </c>
      <c r="F26" s="10" t="str">
        <f>IF(Temp!B11="","",Temp!B11)</f>
        <v/>
      </c>
      <c r="G26" s="15" t="str">
        <f>IF(Temp!D11="","",Temp!D11)</f>
        <v/>
      </c>
      <c r="H26" s="9"/>
    </row>
    <row r="27" spans="1:8" x14ac:dyDescent="0.25">
      <c r="A27" s="8"/>
      <c r="B27" s="8" t="str">
        <f>IF(Temp!C12="","",Temp!C12)</f>
        <v/>
      </c>
      <c r="C27"/>
      <c r="D27" s="9"/>
      <c r="E27" s="15" t="str">
        <f>Temp!E12</f>
        <v/>
      </c>
      <c r="F27" s="10" t="str">
        <f>IF(Temp!B12="","",Temp!B12)</f>
        <v/>
      </c>
      <c r="G27" s="15" t="str">
        <f>IF(Temp!D12="","",Temp!D12)</f>
        <v/>
      </c>
      <c r="H27" s="9"/>
    </row>
    <row r="28" spans="1:8" x14ac:dyDescent="0.25">
      <c r="A28" s="8"/>
      <c r="B28" s="8" t="str">
        <f>IF(Temp!C13="","",Temp!C13)</f>
        <v/>
      </c>
      <c r="C28"/>
      <c r="D28" s="9"/>
      <c r="E28" s="15" t="str">
        <f>Temp!E13</f>
        <v/>
      </c>
      <c r="F28" s="10" t="str">
        <f>IF(Temp!B13="","",Temp!B13)</f>
        <v/>
      </c>
      <c r="G28" s="15" t="str">
        <f>IF(Temp!D13="","",Temp!D13)</f>
        <v/>
      </c>
      <c r="H28" s="9"/>
    </row>
    <row r="29" spans="1:8" x14ac:dyDescent="0.25">
      <c r="A29" s="8"/>
      <c r="B29" s="8" t="str">
        <f>IF(Temp!C14="","",Temp!C14)</f>
        <v/>
      </c>
      <c r="C29"/>
      <c r="D29" s="9"/>
      <c r="E29" s="15" t="str">
        <f>Temp!E14</f>
        <v/>
      </c>
      <c r="F29" s="10" t="str">
        <f>IF(Temp!B14="","",Temp!B14)</f>
        <v/>
      </c>
      <c r="G29" s="15" t="str">
        <f>IF(Temp!D14="","",Temp!D14)</f>
        <v/>
      </c>
      <c r="H29" s="9"/>
    </row>
    <row r="30" spans="1:8" x14ac:dyDescent="0.25">
      <c r="A30" s="8"/>
      <c r="B30" s="8" t="str">
        <f>IF(Temp!C15="","",Temp!C15)</f>
        <v/>
      </c>
      <c r="C30"/>
      <c r="D30" s="9"/>
      <c r="E30" s="15" t="str">
        <f>Temp!E15</f>
        <v/>
      </c>
      <c r="F30" s="10" t="str">
        <f>IF(Temp!B15="","",Temp!B15)</f>
        <v/>
      </c>
      <c r="G30" s="15" t="str">
        <f>IF(Temp!D15="","",Temp!D15)</f>
        <v/>
      </c>
      <c r="H30" s="9"/>
    </row>
    <row r="31" spans="1:8" x14ac:dyDescent="0.25">
      <c r="A31" s="8"/>
      <c r="B31" s="8" t="str">
        <f>IF(Temp!C16="","",Temp!C16)</f>
        <v/>
      </c>
      <c r="C31"/>
      <c r="D31" s="9"/>
      <c r="E31" s="15" t="str">
        <f>Temp!E16</f>
        <v/>
      </c>
      <c r="F31" s="10" t="str">
        <f>IF(Temp!B16="","",Temp!B16)</f>
        <v/>
      </c>
      <c r="G31" s="15" t="str">
        <f>IF(Temp!D16="","",Temp!D16)</f>
        <v/>
      </c>
      <c r="H31" s="9"/>
    </row>
    <row r="32" spans="1:8" x14ac:dyDescent="0.25">
      <c r="A32" s="8"/>
      <c r="B32" s="8" t="str">
        <f>IF(Temp!C17="","",Temp!C17)</f>
        <v/>
      </c>
      <c r="C32"/>
      <c r="D32" s="9"/>
      <c r="E32" s="15" t="str">
        <f>Temp!E17</f>
        <v/>
      </c>
      <c r="F32" s="10" t="str">
        <f>IF(Temp!B17="","",Temp!B17)</f>
        <v/>
      </c>
      <c r="G32" s="15" t="str">
        <f>IF(Temp!D17="","",Temp!D17)</f>
        <v/>
      </c>
      <c r="H32" s="9"/>
    </row>
    <row r="33" spans="1:8" x14ac:dyDescent="0.25">
      <c r="A33" s="8"/>
      <c r="B33" s="8" t="str">
        <f>IF(Temp!C18="","",Temp!C18)</f>
        <v/>
      </c>
      <c r="C33"/>
      <c r="D33" s="9"/>
      <c r="E33" s="15" t="str">
        <f>Temp!E18</f>
        <v/>
      </c>
      <c r="F33" s="10" t="str">
        <f>IF(Temp!B18="","",Temp!B18)</f>
        <v/>
      </c>
      <c r="G33" s="15" t="str">
        <f>IF(Temp!D18="","",Temp!D18)</f>
        <v/>
      </c>
      <c r="H33" s="9"/>
    </row>
    <row r="34" spans="1:8" x14ac:dyDescent="0.25">
      <c r="A34" s="8"/>
      <c r="B34" s="8" t="str">
        <f>IF(Temp!C19="","",Temp!C19)</f>
        <v/>
      </c>
      <c r="C34"/>
      <c r="D34" s="9"/>
      <c r="E34" s="15" t="str">
        <f>Temp!E19</f>
        <v/>
      </c>
      <c r="F34" s="10" t="str">
        <f>IF(Temp!B19="","",Temp!B19)</f>
        <v/>
      </c>
      <c r="G34" s="15" t="str">
        <f>IF(Temp!D19="","",Temp!D19)</f>
        <v/>
      </c>
      <c r="H34" s="9"/>
    </row>
    <row r="35" spans="1:8" x14ac:dyDescent="0.25">
      <c r="A35" s="8"/>
      <c r="B35" s="8" t="str">
        <f>IF(Temp!C20="","",Temp!C20)</f>
        <v/>
      </c>
      <c r="C35"/>
      <c r="D35" s="9"/>
      <c r="E35" s="15" t="str">
        <f>Temp!E20</f>
        <v/>
      </c>
      <c r="F35" s="10" t="str">
        <f>IF(Temp!B20="","",Temp!B20)</f>
        <v/>
      </c>
      <c r="G35" s="15" t="str">
        <f>IF(Temp!D20="","",Temp!D20)</f>
        <v/>
      </c>
      <c r="H35" s="9"/>
    </row>
    <row r="36" spans="1:8" x14ac:dyDescent="0.25">
      <c r="A36" s="8"/>
      <c r="B36" s="8" t="str">
        <f>IF(Temp!C21="","",Temp!C21)</f>
        <v/>
      </c>
      <c r="C36"/>
      <c r="D36" s="9"/>
      <c r="E36" s="15" t="str">
        <f>Temp!E21</f>
        <v/>
      </c>
      <c r="F36" s="10" t="str">
        <f>IF(Temp!B21="","",Temp!B21)</f>
        <v/>
      </c>
      <c r="G36" s="15" t="str">
        <f>IF(Temp!D21="","",Temp!D21)</f>
        <v/>
      </c>
      <c r="H36" s="9"/>
    </row>
    <row r="37" spans="1:8" x14ac:dyDescent="0.25">
      <c r="A37" s="8"/>
      <c r="B37" s="8" t="str">
        <f>IF(Temp!C22="","",Temp!C22)</f>
        <v/>
      </c>
      <c r="C37"/>
      <c r="D37" s="9"/>
      <c r="E37" s="15" t="str">
        <f>Temp!E22</f>
        <v/>
      </c>
      <c r="F37" s="10" t="str">
        <f>IF(Temp!B22="","",Temp!B22)</f>
        <v/>
      </c>
      <c r="G37" s="15" t="str">
        <f>IF(Temp!D22="","",Temp!D22)</f>
        <v/>
      </c>
      <c r="H37" s="9"/>
    </row>
    <row r="38" spans="1:8" x14ac:dyDescent="0.25">
      <c r="A38" s="8"/>
      <c r="B38" s="8" t="str">
        <f>IF(Temp!C23="","",Temp!C23)</f>
        <v/>
      </c>
      <c r="C38"/>
      <c r="D38" s="9"/>
      <c r="E38" s="15" t="str">
        <f>Temp!E23</f>
        <v/>
      </c>
      <c r="F38" s="10" t="str">
        <f>IF(Temp!B23="","",Temp!B23)</f>
        <v/>
      </c>
      <c r="G38" s="15" t="str">
        <f>IF(Temp!D23="","",Temp!D23)</f>
        <v/>
      </c>
      <c r="H38" s="9"/>
    </row>
    <row r="39" spans="1:8" x14ac:dyDescent="0.25">
      <c r="A39" s="8"/>
      <c r="B39" s="8" t="str">
        <f>IF(Temp!C24="","",Temp!C24)</f>
        <v/>
      </c>
      <c r="C39"/>
      <c r="D39" s="9"/>
      <c r="E39" s="15" t="str">
        <f>Temp!E24</f>
        <v/>
      </c>
      <c r="F39" s="10" t="str">
        <f>IF(Temp!B24="","",Temp!B24)</f>
        <v/>
      </c>
      <c r="G39" s="15" t="str">
        <f>IF(Temp!D24="","",Temp!D24)</f>
        <v/>
      </c>
      <c r="H39" s="9"/>
    </row>
    <row r="40" spans="1:8" x14ac:dyDescent="0.25">
      <c r="A40" s="8"/>
      <c r="B40" s="8" t="str">
        <f>IF(Temp!C25="","",Temp!C25)</f>
        <v/>
      </c>
      <c r="C40"/>
      <c r="D40" s="9"/>
      <c r="E40" s="15" t="str">
        <f>Temp!E25</f>
        <v/>
      </c>
      <c r="F40" s="10" t="str">
        <f>IF(Temp!B25="","",Temp!B25)</f>
        <v/>
      </c>
      <c r="G40" s="15" t="str">
        <f>IF(Temp!D25="","",Temp!D25)</f>
        <v/>
      </c>
      <c r="H40" s="9"/>
    </row>
    <row r="41" spans="1:8" x14ac:dyDescent="0.25">
      <c r="A41" s="8"/>
      <c r="B41" s="8" t="str">
        <f>IF(Temp!C26="","",Temp!C26)</f>
        <v/>
      </c>
      <c r="C41"/>
      <c r="D41" s="9"/>
      <c r="E41" s="15" t="str">
        <f>Temp!E26</f>
        <v/>
      </c>
      <c r="F41" s="10" t="str">
        <f>IF(Temp!B26="","",Temp!B26)</f>
        <v/>
      </c>
      <c r="G41" s="15" t="str">
        <f>IF(Temp!D26="","",Temp!D26)</f>
        <v/>
      </c>
      <c r="H41" s="9"/>
    </row>
    <row r="42" spans="1:8" x14ac:dyDescent="0.25">
      <c r="A42" s="8"/>
      <c r="B42" s="8" t="str">
        <f>IF(Temp!C27="","",Temp!C27)</f>
        <v/>
      </c>
      <c r="C42"/>
      <c r="D42" s="9"/>
      <c r="E42" s="15" t="str">
        <f>Temp!E27</f>
        <v/>
      </c>
      <c r="F42" s="10" t="str">
        <f>IF(Temp!B27="","",Temp!B27)</f>
        <v/>
      </c>
      <c r="G42" s="15" t="str">
        <f>IF(Temp!D27="","",Temp!D27)</f>
        <v/>
      </c>
      <c r="H42" s="9"/>
    </row>
    <row r="43" spans="1:8" x14ac:dyDescent="0.25">
      <c r="A43" s="8"/>
      <c r="B43" s="55" t="str">
        <f>IF(Temp!C28="","",Temp!C28)</f>
        <v/>
      </c>
      <c r="C43" s="56"/>
      <c r="D43" s="57"/>
      <c r="E43" s="58" t="str">
        <f>Temp!E28</f>
        <v/>
      </c>
      <c r="F43" s="59" t="str">
        <f>IF(Temp!B28="","",Temp!B28)</f>
        <v/>
      </c>
      <c r="G43" s="58" t="str">
        <f>IF(Temp!D28="","",Temp!D28)</f>
        <v/>
      </c>
      <c r="H43" s="9"/>
    </row>
    <row r="44" spans="1:8" x14ac:dyDescent="0.25">
      <c r="A44" s="8"/>
      <c r="B44" t="s">
        <v>108</v>
      </c>
      <c r="C44"/>
      <c r="D44" s="131"/>
      <c r="E44"/>
      <c r="F44"/>
      <c r="G44"/>
      <c r="H44" s="9"/>
    </row>
    <row r="45" spans="1:8" x14ac:dyDescent="0.25">
      <c r="A45" s="8"/>
      <c r="B45"/>
      <c r="C45"/>
      <c r="D45"/>
      <c r="E45"/>
      <c r="F45"/>
      <c r="G45"/>
      <c r="H45" s="9"/>
    </row>
    <row r="46" spans="1:8" x14ac:dyDescent="0.25">
      <c r="A46" s="8"/>
      <c r="B46"/>
      <c r="C46"/>
      <c r="D46"/>
      <c r="E46"/>
      <c r="F46" s="60" t="s">
        <v>38</v>
      </c>
      <c r="G46" s="11">
        <f>SUM(G17:G43)</f>
        <v>0</v>
      </c>
      <c r="H46" s="9"/>
    </row>
    <row r="47" spans="1:8" x14ac:dyDescent="0.25">
      <c r="A47" s="8"/>
      <c r="B47"/>
      <c r="C47"/>
      <c r="D47"/>
      <c r="E47"/>
      <c r="F47"/>
      <c r="G47"/>
      <c r="H47" s="9"/>
    </row>
    <row r="48" spans="1:8" x14ac:dyDescent="0.25">
      <c r="A48" s="8"/>
      <c r="B48"/>
      <c r="C48"/>
      <c r="D48"/>
      <c r="E48"/>
      <c r="F48"/>
      <c r="G48"/>
      <c r="H48" s="9"/>
    </row>
    <row r="49" spans="1:8" x14ac:dyDescent="0.25">
      <c r="A49" s="8"/>
      <c r="B49"/>
      <c r="C49"/>
      <c r="D49"/>
      <c r="E49"/>
      <c r="F49"/>
      <c r="G49"/>
      <c r="H49" s="9"/>
    </row>
    <row r="50" spans="1:8" x14ac:dyDescent="0.25">
      <c r="A50" s="8"/>
      <c r="B50"/>
      <c r="C50"/>
      <c r="D50"/>
      <c r="E50"/>
      <c r="F50"/>
      <c r="G50"/>
      <c r="H50" s="9"/>
    </row>
    <row r="51" spans="1:8" x14ac:dyDescent="0.25">
      <c r="A51" s="17"/>
      <c r="B51" s="20"/>
      <c r="C51" s="18"/>
      <c r="D51" s="18"/>
      <c r="E51" s="18"/>
      <c r="F51" s="18"/>
      <c r="G51" s="18"/>
      <c r="H51" s="19"/>
    </row>
    <row r="52" spans="1:8" x14ac:dyDescent="0.25">
      <c r="A52" s="17"/>
      <c r="B52" s="20" t="s">
        <v>77</v>
      </c>
      <c r="C52" s="18"/>
      <c r="D52" s="18"/>
      <c r="E52" s="18"/>
      <c r="F52" s="18"/>
      <c r="G52" s="18"/>
      <c r="H52" s="19"/>
    </row>
    <row r="53" spans="1:8" x14ac:dyDescent="0.25">
      <c r="A53" s="17"/>
      <c r="B53" s="132" t="s">
        <v>109</v>
      </c>
      <c r="C53" s="18"/>
      <c r="D53" s="18"/>
      <c r="E53" s="18"/>
      <c r="F53" s="18"/>
      <c r="G53" s="18"/>
      <c r="H53" s="19"/>
    </row>
    <row r="54" spans="1:8" x14ac:dyDescent="0.25">
      <c r="A54" s="55"/>
      <c r="B54" s="56"/>
      <c r="C54" s="56"/>
      <c r="D54" s="56"/>
      <c r="E54" s="56"/>
      <c r="F54" s="56"/>
      <c r="G54" s="56"/>
      <c r="H54" s="57"/>
    </row>
  </sheetData>
  <printOptions horizontalCentered="1"/>
  <pageMargins left="0.23622047244094491" right="0.23622047244094491" top="0.35433070866141736" bottom="0.35433070866141736" header="0.31496062992125984" footer="0.31496062992125984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N113"/>
  <sheetViews>
    <sheetView showGridLines="0" topLeftCell="B1" zoomScale="90" zoomScaleNormal="90" workbookViewId="0">
      <selection activeCell="D5" sqref="D5"/>
    </sheetView>
  </sheetViews>
  <sheetFormatPr baseColWidth="10" defaultRowHeight="15" x14ac:dyDescent="0.25"/>
  <cols>
    <col min="1" max="1" width="5.7109375" style="16" customWidth="1"/>
    <col min="2" max="2" width="22.7109375" style="16" customWidth="1"/>
    <col min="3" max="16384" width="11.42578125" style="16"/>
  </cols>
  <sheetData>
    <row r="1" spans="1:14" ht="27" thickBot="1" x14ac:dyDescent="0.3">
      <c r="A1" s="63"/>
      <c r="B1" s="184" t="s">
        <v>8</v>
      </c>
      <c r="C1" s="185"/>
      <c r="D1" s="185"/>
      <c r="E1" s="186"/>
      <c r="K1" s="187" t="s">
        <v>11</v>
      </c>
      <c r="L1" s="188"/>
      <c r="M1" s="108">
        <f ca="1">SUM($D$4:$D$110)</f>
        <v>0</v>
      </c>
      <c r="N1" s="109">
        <f ca="1">SUM($E$4:$E$110)</f>
        <v>0</v>
      </c>
    </row>
    <row r="2" spans="1:14" ht="15.75" thickBot="1" x14ac:dyDescent="0.3">
      <c r="B2" s="110" t="s">
        <v>6</v>
      </c>
      <c r="C2" s="158">
        <v>44664</v>
      </c>
      <c r="D2" s="110" t="s">
        <v>7</v>
      </c>
      <c r="E2" s="158">
        <f ca="1">TODAY()</f>
        <v>45575</v>
      </c>
    </row>
    <row r="3" spans="1:14" ht="15.75" thickBot="1" x14ac:dyDescent="0.3">
      <c r="B3" s="184" t="s">
        <v>0</v>
      </c>
      <c r="C3" s="186"/>
      <c r="D3" s="112" t="s">
        <v>9</v>
      </c>
      <c r="E3" s="112" t="s">
        <v>10</v>
      </c>
    </row>
    <row r="4" spans="1:14" x14ac:dyDescent="0.25">
      <c r="B4" s="179" t="str">
        <f>BDD!B2</f>
        <v>Sancerre Sardelles BLANC</v>
      </c>
      <c r="C4" s="114"/>
      <c r="D4" s="115" t="str">
        <f ca="1">IFERROR(SUMIFS(Quantitee,Lesdates,"&gt;="&amp;$C$2,Lesdates,"&lt;="&amp;$E$2,Articles,$B4),"")</f>
        <v/>
      </c>
      <c r="E4" s="116" t="str">
        <f ca="1">IFERROR(SUMIFS(Total,Lesdates,"&gt;="&amp;$C$2,Lesdates,"&lt;="&amp;$E$2,Articles,$B4),"")</f>
        <v/>
      </c>
    </row>
    <row r="5" spans="1:14" x14ac:dyDescent="0.25">
      <c r="B5" s="117" t="str">
        <f>BDD!B3</f>
        <v>Sancerre Sardelles ROSÉ</v>
      </c>
      <c r="C5" s="118"/>
      <c r="D5" s="119" t="str">
        <f t="shared" ref="D5:D35" ca="1" si="0">IFERROR(SUMIFS(Quantitee,Lesdates,"&gt;="&amp;$C$2,Lesdates,"&lt;="&amp;$E$2,Articles,$B5),"")</f>
        <v/>
      </c>
      <c r="E5" s="120" t="str">
        <f t="shared" ref="E5:E35" ca="1" si="1">IFERROR(SUMIFS(Total,Lesdates,"&gt;="&amp;$C$2,Lesdates,"&lt;="&amp;$E$2,Articles,$B5),"")</f>
        <v/>
      </c>
    </row>
    <row r="6" spans="1:14" x14ac:dyDescent="0.25">
      <c r="B6" s="117" t="str">
        <f>BDD!B4</f>
        <v>Sancerre Sardelles ROUGE</v>
      </c>
      <c r="C6" s="118"/>
      <c r="D6" s="119" t="str">
        <f t="shared" ca="1" si="0"/>
        <v/>
      </c>
      <c r="E6" s="120" t="str">
        <f t="shared" ca="1" si="1"/>
        <v/>
      </c>
    </row>
    <row r="7" spans="1:14" x14ac:dyDescent="0.25">
      <c r="B7" s="117" t="str">
        <f>BDD!B5</f>
        <v>Menetou Assadet BLANC</v>
      </c>
      <c r="C7" s="118"/>
      <c r="D7" s="119" t="str">
        <f t="shared" ca="1" si="0"/>
        <v/>
      </c>
      <c r="E7" s="120" t="str">
        <f t="shared" ca="1" si="1"/>
        <v/>
      </c>
    </row>
    <row r="8" spans="1:14" x14ac:dyDescent="0.25">
      <c r="B8" s="117" t="str">
        <f>BDD!B6</f>
        <v>Menetou Assadet ROUGE</v>
      </c>
      <c r="C8" s="118"/>
      <c r="D8" s="119" t="str">
        <f t="shared" ca="1" si="0"/>
        <v/>
      </c>
      <c r="E8" s="120" t="str">
        <f t="shared" ca="1" si="1"/>
        <v/>
      </c>
    </row>
    <row r="9" spans="1:14" x14ac:dyDescent="0.25">
      <c r="B9" s="117" t="str">
        <f>BDD!B7</f>
        <v>Bordeaux Peneture</v>
      </c>
      <c r="C9" s="118"/>
      <c r="D9" s="119" t="str">
        <f t="shared" ca="1" si="0"/>
        <v/>
      </c>
      <c r="E9" s="120" t="str">
        <f t="shared" ca="1" si="1"/>
        <v/>
      </c>
    </row>
    <row r="10" spans="1:14" x14ac:dyDescent="0.25">
      <c r="B10" s="117" t="str">
        <f>BDD!B8</f>
        <v>Quincy</v>
      </c>
      <c r="C10" s="118"/>
      <c r="D10" s="119" t="str">
        <f t="shared" ca="1" si="0"/>
        <v/>
      </c>
      <c r="E10" s="120" t="str">
        <f t="shared" ca="1" si="1"/>
        <v/>
      </c>
    </row>
    <row r="11" spans="1:14" x14ac:dyDescent="0.25">
      <c r="B11" s="117" t="str">
        <f>BDD!B9</f>
        <v>Tariquet</v>
      </c>
      <c r="C11" s="118"/>
      <c r="D11" s="119" t="str">
        <f t="shared" ca="1" si="0"/>
        <v/>
      </c>
      <c r="E11" s="120" t="str">
        <f t="shared" ca="1" si="1"/>
        <v/>
      </c>
    </row>
    <row r="12" spans="1:14" x14ac:dyDescent="0.25">
      <c r="B12" s="117" t="str">
        <f>BDD!B10</f>
        <v>Vouvray Pétillant BLANC</v>
      </c>
      <c r="C12" s="121"/>
      <c r="D12" s="119" t="str">
        <f t="shared" ca="1" si="0"/>
        <v/>
      </c>
      <c r="E12" s="120" t="str">
        <f t="shared" ca="1" si="1"/>
        <v/>
      </c>
    </row>
    <row r="13" spans="1:14" x14ac:dyDescent="0.25">
      <c r="B13" s="117" t="str">
        <f>BDD!B11</f>
        <v>Vouvray Pétillant ROSÉ</v>
      </c>
      <c r="C13" s="121"/>
      <c r="D13" s="119" t="str">
        <f t="shared" ca="1" si="0"/>
        <v/>
      </c>
      <c r="E13" s="120" t="str">
        <f t="shared" ca="1" si="1"/>
        <v/>
      </c>
    </row>
    <row r="14" spans="1:14" x14ac:dyDescent="0.25">
      <c r="B14" s="117" t="str">
        <f>BDD!B12</f>
        <v>Champagne Beaufort</v>
      </c>
      <c r="C14" s="121"/>
      <c r="D14" s="119" t="str">
        <f t="shared" ca="1" si="0"/>
        <v/>
      </c>
      <c r="E14" s="120" t="str">
        <f t="shared" ca="1" si="1"/>
        <v/>
      </c>
    </row>
    <row r="15" spans="1:14" x14ac:dyDescent="0.25">
      <c r="B15" s="117" t="str">
        <f>BDD!B13</f>
        <v>Cinéma CGR</v>
      </c>
      <c r="C15" s="121"/>
      <c r="D15" s="119" t="str">
        <f t="shared" ca="1" si="0"/>
        <v/>
      </c>
      <c r="E15" s="120" t="str">
        <f t="shared" ca="1" si="1"/>
        <v/>
      </c>
    </row>
    <row r="16" spans="1:14" x14ac:dyDescent="0.25">
      <c r="B16" s="117" t="str">
        <f>BDD!B14</f>
        <v>Cinéma L'Argentis</v>
      </c>
      <c r="C16" s="121"/>
      <c r="D16" s="119" t="str">
        <f t="shared" ca="1" si="0"/>
        <v/>
      </c>
      <c r="E16" s="120" t="str">
        <f t="shared" ca="1" si="1"/>
        <v/>
      </c>
    </row>
    <row r="17" spans="2:5" x14ac:dyDescent="0.25">
      <c r="B17" s="117" t="str">
        <f>BDD!B15</f>
        <v>Atomic Cinéma</v>
      </c>
      <c r="C17" s="121"/>
      <c r="D17" s="119" t="str">
        <f t="shared" ca="1" si="0"/>
        <v/>
      </c>
      <c r="E17" s="120" t="str">
        <f t="shared" ca="1" si="1"/>
        <v/>
      </c>
    </row>
    <row r="18" spans="2:5" x14ac:dyDescent="0.25">
      <c r="B18" s="117" t="str">
        <f>BDD!B16</f>
        <v>AUBIGNY Piscine adulte</v>
      </c>
      <c r="C18" s="121"/>
      <c r="D18" s="119" t="str">
        <f t="shared" ca="1" si="0"/>
        <v/>
      </c>
      <c r="E18" s="120" t="str">
        <f t="shared" ca="1" si="1"/>
        <v/>
      </c>
    </row>
    <row r="19" spans="2:5" x14ac:dyDescent="0.25">
      <c r="B19" s="117" t="str">
        <f>BDD!B17</f>
        <v>AUBIGNY Piscine enfant</v>
      </c>
      <c r="C19" s="121"/>
      <c r="D19" s="119" t="str">
        <f t="shared" ca="1" si="0"/>
        <v/>
      </c>
      <c r="E19" s="120" t="str">
        <f t="shared" ca="1" si="1"/>
        <v/>
      </c>
    </row>
    <row r="20" spans="2:5" x14ac:dyDescent="0.25">
      <c r="B20" s="117" t="str">
        <f>BDD!B18</f>
        <v>Jeton(s) de lavage INTERMARCHÉ</v>
      </c>
      <c r="C20" s="121"/>
      <c r="D20" s="119" t="str">
        <f t="shared" ca="1" si="0"/>
        <v/>
      </c>
      <c r="E20" s="120" t="str">
        <f t="shared" ca="1" si="1"/>
        <v/>
      </c>
    </row>
    <row r="21" spans="2:5" x14ac:dyDescent="0.25">
      <c r="B21" s="117" t="str">
        <f>BDD!B19</f>
        <v>Jeton(s) de lavage ROUTE DE BOURGES</v>
      </c>
      <c r="C21" s="121"/>
      <c r="D21" s="119" t="str">
        <f t="shared" ca="1" si="0"/>
        <v/>
      </c>
      <c r="E21" s="120" t="str">
        <f t="shared" ca="1" si="1"/>
        <v/>
      </c>
    </row>
    <row r="22" spans="2:5" x14ac:dyDescent="0.25">
      <c r="B22" s="117" t="str">
        <f>BDD!B20</f>
        <v>AUBIGNY CTA gallet</v>
      </c>
      <c r="C22" s="121"/>
      <c r="D22" s="119" t="str">
        <f t="shared" ca="1" si="0"/>
        <v/>
      </c>
      <c r="E22" s="120" t="str">
        <f t="shared" ca="1" si="1"/>
        <v/>
      </c>
    </row>
    <row r="23" spans="2:5" x14ac:dyDescent="0.25">
      <c r="B23" s="117" t="str">
        <f>BDD!B21</f>
        <v>Parc ASTÉRIX</v>
      </c>
      <c r="C23" s="121"/>
      <c r="D23" s="119" t="str">
        <f t="shared" ca="1" si="0"/>
        <v/>
      </c>
      <c r="E23" s="120" t="str">
        <f t="shared" ca="1" si="1"/>
        <v/>
      </c>
    </row>
    <row r="24" spans="2:5" x14ac:dyDescent="0.25">
      <c r="B24" s="117" t="str">
        <f>BDD!B22</f>
        <v>Parc Le PAL</v>
      </c>
      <c r="C24" s="121"/>
      <c r="D24" s="119" t="str">
        <f t="shared" ca="1" si="0"/>
        <v/>
      </c>
      <c r="E24" s="120" t="str">
        <f t="shared" ca="1" si="1"/>
        <v/>
      </c>
    </row>
    <row r="25" spans="2:5" x14ac:dyDescent="0.25">
      <c r="B25" s="117" t="str">
        <f>BDD!B23</f>
        <v>ZooParc de Beauval adulte</v>
      </c>
      <c r="C25" s="121"/>
      <c r="D25" s="119" t="str">
        <f t="shared" ca="1" si="0"/>
        <v/>
      </c>
      <c r="E25" s="120" t="str">
        <f t="shared" ca="1" si="1"/>
        <v/>
      </c>
    </row>
    <row r="26" spans="2:5" x14ac:dyDescent="0.25">
      <c r="B26" s="117" t="str">
        <f>BDD!B24</f>
        <v>ZooParc de Beauval enfant</v>
      </c>
      <c r="C26" s="121"/>
      <c r="D26" s="119" t="str">
        <f t="shared" ca="1" si="0"/>
        <v/>
      </c>
      <c r="E26" s="120" t="str">
        <f t="shared" ca="1" si="1"/>
        <v/>
      </c>
    </row>
    <row r="27" spans="2:5" x14ac:dyDescent="0.25">
      <c r="B27" s="117" t="str">
        <f>BDD!B25</f>
        <v>Futuroscope adulte</v>
      </c>
      <c r="C27" s="121"/>
      <c r="D27" s="119" t="str">
        <f t="shared" ca="1" si="0"/>
        <v/>
      </c>
      <c r="E27" s="120" t="str">
        <f t="shared" ca="1" si="1"/>
        <v/>
      </c>
    </row>
    <row r="28" spans="2:5" x14ac:dyDescent="0.25">
      <c r="B28" s="117" t="str">
        <f>BDD!B26</f>
        <v>Futuroscope enfant</v>
      </c>
      <c r="C28" s="121"/>
      <c r="D28" s="119" t="str">
        <f t="shared" ca="1" si="0"/>
        <v/>
      </c>
      <c r="E28" s="120" t="str">
        <f t="shared" ca="1" si="1"/>
        <v/>
      </c>
    </row>
    <row r="29" spans="2:5" x14ac:dyDescent="0.25">
      <c r="B29" s="117">
        <f>BDD!B27</f>
        <v>0</v>
      </c>
      <c r="C29" s="121"/>
      <c r="D29" s="119" t="str">
        <f t="shared" ca="1" si="0"/>
        <v/>
      </c>
      <c r="E29" s="120" t="str">
        <f t="shared" ca="1" si="1"/>
        <v/>
      </c>
    </row>
    <row r="30" spans="2:5" x14ac:dyDescent="0.25">
      <c r="B30" s="117" t="str">
        <f>BDD!B28</f>
        <v>Billetterie par CSE MECACHROME</v>
      </c>
      <c r="C30" s="121"/>
      <c r="D30" s="119" t="str">
        <f t="shared" ca="1" si="0"/>
        <v/>
      </c>
      <c r="E30" s="120" t="str">
        <f t="shared" ca="1" si="1"/>
        <v/>
      </c>
    </row>
    <row r="31" spans="2:5" x14ac:dyDescent="0.25">
      <c r="B31" s="117" t="str">
        <f>BDD!B29</f>
        <v>Billetterie extérieur</v>
      </c>
      <c r="C31" s="121"/>
      <c r="D31" s="119" t="str">
        <f t="shared" ca="1" si="0"/>
        <v/>
      </c>
      <c r="E31" s="120" t="str">
        <f t="shared" ca="1" si="1"/>
        <v/>
      </c>
    </row>
    <row r="32" spans="2:5" x14ac:dyDescent="0.25">
      <c r="B32" s="117" t="str">
        <f>BDD!B30</f>
        <v>Activités scolaire=&gt;140€</v>
      </c>
      <c r="C32" s="121"/>
      <c r="D32" s="119" t="str">
        <f t="shared" ca="1" si="0"/>
        <v/>
      </c>
      <c r="E32" s="120" t="str">
        <f t="shared" ca="1" si="1"/>
        <v/>
      </c>
    </row>
    <row r="33" spans="2:5" x14ac:dyDescent="0.25">
      <c r="B33" s="117" t="str">
        <f>BDD!B31</f>
        <v>Activités scolaire &lt;140€</v>
      </c>
      <c r="C33" s="121"/>
      <c r="D33" s="119" t="str">
        <f t="shared" ca="1" si="0"/>
        <v/>
      </c>
      <c r="E33" s="120" t="str">
        <f t="shared" ca="1" si="1"/>
        <v/>
      </c>
    </row>
    <row r="34" spans="2:5" x14ac:dyDescent="0.25">
      <c r="B34" s="117" t="str">
        <f>BDD!B32</f>
        <v>Don naissance</v>
      </c>
      <c r="C34" s="121"/>
      <c r="D34" s="119" t="str">
        <f t="shared" ca="1" si="0"/>
        <v/>
      </c>
      <c r="E34" s="120" t="str">
        <f t="shared" ca="1" si="1"/>
        <v/>
      </c>
    </row>
    <row r="35" spans="2:5" x14ac:dyDescent="0.25">
      <c r="B35" s="117" t="str">
        <f>BDD!B33</f>
        <v>Don Mariage/Pacs</v>
      </c>
      <c r="C35" s="121"/>
      <c r="D35" s="119" t="str">
        <f t="shared" ca="1" si="0"/>
        <v/>
      </c>
      <c r="E35" s="120" t="str">
        <f t="shared" ca="1" si="1"/>
        <v/>
      </c>
    </row>
    <row r="36" spans="2:5" x14ac:dyDescent="0.25">
      <c r="B36" s="117" t="str">
        <f>BDD!B34</f>
        <v>Don retraite</v>
      </c>
      <c r="C36" s="121"/>
      <c r="D36" s="119" t="str">
        <f t="shared" ref="D36:D67" ca="1" si="2">IFERROR(SUMIFS(Quantitee,Lesdates,"&gt;="&amp;$C$2,Lesdates,"&lt;="&amp;$E$2,Articles,$B36),"")</f>
        <v/>
      </c>
      <c r="E36" s="120" t="str">
        <f t="shared" ref="E36:E67" ca="1" si="3">IFERROR(SUMIFS(Total,Lesdates,"&gt;="&amp;$C$2,Lesdates,"&lt;="&amp;$E$2,Articles,$B36),"")</f>
        <v/>
      </c>
    </row>
    <row r="37" spans="2:5" x14ac:dyDescent="0.25">
      <c r="B37" s="117" t="str">
        <f>BDD!B35</f>
        <v>Liquide de refroidissement</v>
      </c>
      <c r="C37" s="121"/>
      <c r="D37" s="119" t="str">
        <f t="shared" ca="1" si="2"/>
        <v/>
      </c>
      <c r="E37" s="120" t="str">
        <f t="shared" ca="1" si="3"/>
        <v/>
      </c>
    </row>
    <row r="38" spans="2:5" x14ac:dyDescent="0.25">
      <c r="B38" s="117" t="str">
        <f>BDD!B36</f>
        <v>Liquide lave-glace</v>
      </c>
      <c r="C38" s="121"/>
      <c r="D38" s="119" t="str">
        <f t="shared" ca="1" si="2"/>
        <v/>
      </c>
      <c r="E38" s="120" t="str">
        <f t="shared" ca="1" si="3"/>
        <v/>
      </c>
    </row>
    <row r="39" spans="2:5" x14ac:dyDescent="0.25">
      <c r="B39" s="117" t="str">
        <f>BDD!B37</f>
        <v>Dégivrant</v>
      </c>
      <c r="C39" s="121"/>
      <c r="D39" s="119" t="str">
        <f t="shared" ca="1" si="2"/>
        <v/>
      </c>
      <c r="E39" s="120" t="str">
        <f t="shared" ca="1" si="3"/>
        <v/>
      </c>
    </row>
    <row r="40" spans="2:5" x14ac:dyDescent="0.25">
      <c r="B40" s="117">
        <f>BDD!B38</f>
        <v>0</v>
      </c>
      <c r="C40" s="121"/>
      <c r="D40" s="119" t="str">
        <f t="shared" ca="1" si="2"/>
        <v/>
      </c>
      <c r="E40" s="120" t="str">
        <f t="shared" ca="1" si="3"/>
        <v/>
      </c>
    </row>
    <row r="41" spans="2:5" x14ac:dyDescent="0.25">
      <c r="B41" s="117">
        <f>BDD!B39</f>
        <v>0</v>
      </c>
      <c r="C41" s="121"/>
      <c r="D41" s="119" t="str">
        <f t="shared" ca="1" si="2"/>
        <v/>
      </c>
      <c r="E41" s="120" t="str">
        <f t="shared" ca="1" si="3"/>
        <v/>
      </c>
    </row>
    <row r="42" spans="2:5" x14ac:dyDescent="0.25">
      <c r="B42" s="117">
        <f>BDD!B40</f>
        <v>0</v>
      </c>
      <c r="C42" s="121"/>
      <c r="D42" s="119" t="str">
        <f t="shared" ca="1" si="2"/>
        <v/>
      </c>
      <c r="E42" s="120" t="str">
        <f t="shared" ca="1" si="3"/>
        <v/>
      </c>
    </row>
    <row r="43" spans="2:5" x14ac:dyDescent="0.25">
      <c r="B43" s="117">
        <f>BDD!B41</f>
        <v>0</v>
      </c>
      <c r="C43" s="121"/>
      <c r="D43" s="119" t="str">
        <f t="shared" ca="1" si="2"/>
        <v/>
      </c>
      <c r="E43" s="120" t="str">
        <f t="shared" ca="1" si="3"/>
        <v/>
      </c>
    </row>
    <row r="44" spans="2:5" x14ac:dyDescent="0.25">
      <c r="B44" s="117" t="str">
        <f>BDD!B42</f>
        <v>Batterie N°1 45Ah-400A</v>
      </c>
      <c r="C44" s="121"/>
      <c r="D44" s="119" t="str">
        <f t="shared" ca="1" si="2"/>
        <v/>
      </c>
      <c r="E44" s="120" t="str">
        <f t="shared" ca="1" si="3"/>
        <v/>
      </c>
    </row>
    <row r="45" spans="2:5" x14ac:dyDescent="0.25">
      <c r="B45" s="117" t="str">
        <f>BDD!B43</f>
        <v>Batterie N°2 50Ah-420A</v>
      </c>
      <c r="C45" s="121"/>
      <c r="D45" s="119" t="str">
        <f t="shared" ca="1" si="2"/>
        <v/>
      </c>
      <c r="E45" s="120" t="str">
        <f t="shared" ca="1" si="3"/>
        <v/>
      </c>
    </row>
    <row r="46" spans="2:5" x14ac:dyDescent="0.25">
      <c r="B46" s="117" t="str">
        <f>BDD!B44</f>
        <v>Batterie N°3 60Ah-500A</v>
      </c>
      <c r="C46" s="121"/>
      <c r="D46" s="119" t="str">
        <f t="shared" ca="1" si="2"/>
        <v/>
      </c>
      <c r="E46" s="120" t="str">
        <f t="shared" ca="1" si="3"/>
        <v/>
      </c>
    </row>
    <row r="47" spans="2:5" x14ac:dyDescent="0.25">
      <c r="B47" s="117" t="str">
        <f>BDD!B45</f>
        <v>Batterie N°4 70Ah-640A</v>
      </c>
      <c r="C47" s="121"/>
      <c r="D47" s="119" t="str">
        <f t="shared" ca="1" si="2"/>
        <v/>
      </c>
      <c r="E47" s="120" t="str">
        <f t="shared" ca="1" si="3"/>
        <v/>
      </c>
    </row>
    <row r="48" spans="2:5" x14ac:dyDescent="0.25">
      <c r="B48" s="117" t="str">
        <f>BDD!B46</f>
        <v>Batterie N°5 95Ah-800A</v>
      </c>
      <c r="C48" s="121"/>
      <c r="D48" s="119" t="str">
        <f t="shared" ca="1" si="2"/>
        <v/>
      </c>
      <c r="E48" s="120" t="str">
        <f t="shared" ca="1" si="3"/>
        <v/>
      </c>
    </row>
    <row r="49" spans="2:5" x14ac:dyDescent="0.25">
      <c r="B49" s="117">
        <f>BDD!B47</f>
        <v>0</v>
      </c>
      <c r="C49" s="121"/>
      <c r="D49" s="119" t="str">
        <f t="shared" ca="1" si="2"/>
        <v/>
      </c>
      <c r="E49" s="120" t="str">
        <f t="shared" ca="1" si="3"/>
        <v/>
      </c>
    </row>
    <row r="50" spans="2:5" x14ac:dyDescent="0.25">
      <c r="B50" s="117">
        <f>BDD!B48</f>
        <v>0</v>
      </c>
      <c r="C50" s="121"/>
      <c r="D50" s="119" t="str">
        <f t="shared" ca="1" si="2"/>
        <v/>
      </c>
      <c r="E50" s="120" t="str">
        <f t="shared" ca="1" si="3"/>
        <v/>
      </c>
    </row>
    <row r="51" spans="2:5" x14ac:dyDescent="0.25">
      <c r="B51" s="117" t="str">
        <f>BDD!B49</f>
        <v>Essuie-glace 350 mm</v>
      </c>
      <c r="C51" s="121"/>
      <c r="D51" s="119" t="str">
        <f t="shared" ca="1" si="2"/>
        <v/>
      </c>
      <c r="E51" s="120" t="str">
        <f t="shared" ca="1" si="3"/>
        <v/>
      </c>
    </row>
    <row r="52" spans="2:5" x14ac:dyDescent="0.25">
      <c r="B52" s="117" t="str">
        <f>BDD!B50</f>
        <v>Essuie-glace 400 mm</v>
      </c>
      <c r="C52" s="121"/>
      <c r="D52" s="119" t="str">
        <f t="shared" ca="1" si="2"/>
        <v/>
      </c>
      <c r="E52" s="120" t="str">
        <f t="shared" ca="1" si="3"/>
        <v/>
      </c>
    </row>
    <row r="53" spans="2:5" x14ac:dyDescent="0.25">
      <c r="B53" s="117" t="str">
        <f>BDD!B51</f>
        <v>Essuie-glace 430 mm</v>
      </c>
      <c r="C53" s="121"/>
      <c r="D53" s="119" t="str">
        <f t="shared" ca="1" si="2"/>
        <v/>
      </c>
      <c r="E53" s="120" t="str">
        <f t="shared" ca="1" si="3"/>
        <v/>
      </c>
    </row>
    <row r="54" spans="2:5" x14ac:dyDescent="0.25">
      <c r="B54" s="117" t="str">
        <f>BDD!B52</f>
        <v>Essuie-glace 450 mm</v>
      </c>
      <c r="C54" s="121"/>
      <c r="D54" s="119" t="str">
        <f t="shared" ca="1" si="2"/>
        <v/>
      </c>
      <c r="E54" s="120" t="str">
        <f t="shared" ca="1" si="3"/>
        <v/>
      </c>
    </row>
    <row r="55" spans="2:5" x14ac:dyDescent="0.25">
      <c r="B55" s="117" t="str">
        <f>BDD!B53</f>
        <v>Essuie-glace 480 mm</v>
      </c>
      <c r="C55" s="121"/>
      <c r="D55" s="119" t="str">
        <f t="shared" ca="1" si="2"/>
        <v/>
      </c>
      <c r="E55" s="120" t="str">
        <f t="shared" ca="1" si="3"/>
        <v/>
      </c>
    </row>
    <row r="56" spans="2:5" x14ac:dyDescent="0.25">
      <c r="B56" s="117" t="str">
        <f>BDD!B54</f>
        <v>Essuie-glace 500 mm</v>
      </c>
      <c r="C56" s="121"/>
      <c r="D56" s="119" t="str">
        <f t="shared" ca="1" si="2"/>
        <v/>
      </c>
      <c r="E56" s="120" t="str">
        <f t="shared" ca="1" si="3"/>
        <v/>
      </c>
    </row>
    <row r="57" spans="2:5" x14ac:dyDescent="0.25">
      <c r="B57" s="117" t="str">
        <f>BDD!B55</f>
        <v>Essuie-glace 530 mm</v>
      </c>
      <c r="C57" s="121"/>
      <c r="D57" s="119" t="str">
        <f t="shared" ca="1" si="2"/>
        <v/>
      </c>
      <c r="E57" s="120" t="str">
        <f t="shared" ca="1" si="3"/>
        <v/>
      </c>
    </row>
    <row r="58" spans="2:5" x14ac:dyDescent="0.25">
      <c r="B58" s="117" t="str">
        <f>BDD!B56</f>
        <v>Essuie-glace 550 mm</v>
      </c>
      <c r="C58" s="121"/>
      <c r="D58" s="119" t="str">
        <f t="shared" ca="1" si="2"/>
        <v/>
      </c>
      <c r="E58" s="120" t="str">
        <f t="shared" ca="1" si="3"/>
        <v/>
      </c>
    </row>
    <row r="59" spans="2:5" x14ac:dyDescent="0.25">
      <c r="B59" s="117" t="str">
        <f>BDD!B57</f>
        <v>Essuie-glace 600 mm</v>
      </c>
      <c r="C59" s="121"/>
      <c r="D59" s="119" t="str">
        <f t="shared" ca="1" si="2"/>
        <v/>
      </c>
      <c r="E59" s="120" t="str">
        <f t="shared" ca="1" si="3"/>
        <v/>
      </c>
    </row>
    <row r="60" spans="2:5" x14ac:dyDescent="0.25">
      <c r="B60" s="117" t="str">
        <f>BDD!B58</f>
        <v>Essuie-glace 650 mm</v>
      </c>
      <c r="C60" s="121"/>
      <c r="D60" s="119" t="str">
        <f t="shared" ca="1" si="2"/>
        <v/>
      </c>
      <c r="E60" s="120" t="str">
        <f t="shared" ca="1" si="3"/>
        <v/>
      </c>
    </row>
    <row r="61" spans="2:5" x14ac:dyDescent="0.25">
      <c r="B61" s="117" t="str">
        <f>BDD!B59</f>
        <v>Essuie-glace 700 mm</v>
      </c>
      <c r="C61" s="121"/>
      <c r="D61" s="119" t="str">
        <f t="shared" ca="1" si="2"/>
        <v/>
      </c>
      <c r="E61" s="120" t="str">
        <f t="shared" ca="1" si="3"/>
        <v/>
      </c>
    </row>
    <row r="62" spans="2:5" x14ac:dyDescent="0.25">
      <c r="B62" s="117" t="str">
        <f>BDD!B60</f>
        <v>Essuie-glace 730 mm</v>
      </c>
      <c r="C62" s="121"/>
      <c r="D62" s="119" t="str">
        <f t="shared" ca="1" si="2"/>
        <v/>
      </c>
      <c r="E62" s="120" t="str">
        <f t="shared" ca="1" si="3"/>
        <v/>
      </c>
    </row>
    <row r="63" spans="2:5" x14ac:dyDescent="0.25">
      <c r="B63" s="117" t="str">
        <f>BDD!B61</f>
        <v>Essuie-glace 750 mm</v>
      </c>
      <c r="C63" s="121"/>
      <c r="D63" s="119" t="str">
        <f t="shared" ca="1" si="2"/>
        <v/>
      </c>
      <c r="E63" s="120" t="str">
        <f t="shared" ca="1" si="3"/>
        <v/>
      </c>
    </row>
    <row r="64" spans="2:5" x14ac:dyDescent="0.25">
      <c r="B64" s="117" t="str">
        <f>BDD!B62</f>
        <v>Essuie-glace 800 mm</v>
      </c>
      <c r="C64" s="121"/>
      <c r="D64" s="119" t="str">
        <f t="shared" ca="1" si="2"/>
        <v/>
      </c>
      <c r="E64" s="120" t="str">
        <f t="shared" ca="1" si="3"/>
        <v/>
      </c>
    </row>
    <row r="65" spans="2:5" x14ac:dyDescent="0.25">
      <c r="B65" s="117">
        <f>BDD!B63</f>
        <v>0</v>
      </c>
      <c r="C65" s="121"/>
      <c r="D65" s="119" t="str">
        <f t="shared" ca="1" si="2"/>
        <v/>
      </c>
      <c r="E65" s="120" t="str">
        <f t="shared" ca="1" si="3"/>
        <v/>
      </c>
    </row>
    <row r="66" spans="2:5" x14ac:dyDescent="0.25">
      <c r="B66" s="117">
        <f>BDD!B64</f>
        <v>0</v>
      </c>
      <c r="C66" s="121"/>
      <c r="D66" s="119" t="str">
        <f t="shared" ca="1" si="2"/>
        <v/>
      </c>
      <c r="E66" s="120" t="str">
        <f t="shared" ca="1" si="3"/>
        <v/>
      </c>
    </row>
    <row r="67" spans="2:5" x14ac:dyDescent="0.25">
      <c r="B67" s="117">
        <f>BDD!B65</f>
        <v>0</v>
      </c>
      <c r="C67" s="121"/>
      <c r="D67" s="119" t="str">
        <f t="shared" ca="1" si="2"/>
        <v/>
      </c>
      <c r="E67" s="120" t="str">
        <f t="shared" ca="1" si="3"/>
        <v/>
      </c>
    </row>
    <row r="68" spans="2:5" x14ac:dyDescent="0.25">
      <c r="B68" s="117">
        <f>BDD!B66</f>
        <v>0</v>
      </c>
      <c r="C68" s="121"/>
      <c r="D68" s="119" t="str">
        <f t="shared" ref="D68:D99" ca="1" si="4">IFERROR(SUMIFS(Quantitee,Lesdates,"&gt;="&amp;$C$2,Lesdates,"&lt;="&amp;$E$2,Articles,$B68),"")</f>
        <v/>
      </c>
      <c r="E68" s="120" t="str">
        <f t="shared" ref="E68:E99" ca="1" si="5">IFERROR(SUMIFS(Total,Lesdates,"&gt;="&amp;$C$2,Lesdates,"&lt;="&amp;$E$2,Articles,$B68),"")</f>
        <v/>
      </c>
    </row>
    <row r="69" spans="2:5" x14ac:dyDescent="0.25">
      <c r="B69" s="117">
        <f>BDD!B67</f>
        <v>0</v>
      </c>
      <c r="C69" s="121"/>
      <c r="D69" s="119" t="str">
        <f t="shared" ca="1" si="4"/>
        <v/>
      </c>
      <c r="E69" s="120" t="str">
        <f t="shared" ca="1" si="5"/>
        <v/>
      </c>
    </row>
    <row r="70" spans="2:5" x14ac:dyDescent="0.25">
      <c r="B70" s="117">
        <f>BDD!B68</f>
        <v>0</v>
      </c>
      <c r="C70" s="121"/>
      <c r="D70" s="119" t="str">
        <f t="shared" ca="1" si="4"/>
        <v/>
      </c>
      <c r="E70" s="120" t="str">
        <f t="shared" ca="1" si="5"/>
        <v/>
      </c>
    </row>
    <row r="71" spans="2:5" x14ac:dyDescent="0.25">
      <c r="B71" s="117">
        <f>BDD!B69</f>
        <v>0</v>
      </c>
      <c r="C71" s="121"/>
      <c r="D71" s="119" t="str">
        <f t="shared" ca="1" si="4"/>
        <v/>
      </c>
      <c r="E71" s="120" t="str">
        <f t="shared" ca="1" si="5"/>
        <v/>
      </c>
    </row>
    <row r="72" spans="2:5" x14ac:dyDescent="0.25">
      <c r="B72" s="117">
        <f>BDD!B70</f>
        <v>0</v>
      </c>
      <c r="C72" s="121"/>
      <c r="D72" s="119" t="str">
        <f t="shared" ca="1" si="4"/>
        <v/>
      </c>
      <c r="E72" s="120" t="str">
        <f t="shared" ca="1" si="5"/>
        <v/>
      </c>
    </row>
    <row r="73" spans="2:5" x14ac:dyDescent="0.25">
      <c r="B73" s="117">
        <f>BDD!B71</f>
        <v>0</v>
      </c>
      <c r="C73" s="121"/>
      <c r="D73" s="119" t="str">
        <f t="shared" ca="1" si="4"/>
        <v/>
      </c>
      <c r="E73" s="120" t="str">
        <f t="shared" ca="1" si="5"/>
        <v/>
      </c>
    </row>
    <row r="74" spans="2:5" x14ac:dyDescent="0.25">
      <c r="B74" s="117">
        <f>BDD!B72</f>
        <v>0</v>
      </c>
      <c r="C74" s="121"/>
      <c r="D74" s="119" t="str">
        <f t="shared" ca="1" si="4"/>
        <v/>
      </c>
      <c r="E74" s="120" t="str">
        <f t="shared" ca="1" si="5"/>
        <v/>
      </c>
    </row>
    <row r="75" spans="2:5" x14ac:dyDescent="0.25">
      <c r="B75" s="117">
        <f>BDD!B73</f>
        <v>0</v>
      </c>
      <c r="C75" s="121"/>
      <c r="D75" s="119" t="str">
        <f t="shared" ca="1" si="4"/>
        <v/>
      </c>
      <c r="E75" s="120" t="str">
        <f t="shared" ca="1" si="5"/>
        <v/>
      </c>
    </row>
    <row r="76" spans="2:5" x14ac:dyDescent="0.25">
      <c r="B76" s="117">
        <f>BDD!B74</f>
        <v>0</v>
      </c>
      <c r="C76" s="121"/>
      <c r="D76" s="119" t="str">
        <f t="shared" ca="1" si="4"/>
        <v/>
      </c>
      <c r="E76" s="120" t="str">
        <f t="shared" ca="1" si="5"/>
        <v/>
      </c>
    </row>
    <row r="77" spans="2:5" x14ac:dyDescent="0.25">
      <c r="B77" s="117">
        <f>BDD!B75</f>
        <v>0</v>
      </c>
      <c r="C77" s="121"/>
      <c r="D77" s="119" t="str">
        <f t="shared" ca="1" si="4"/>
        <v/>
      </c>
      <c r="E77" s="120" t="str">
        <f t="shared" ca="1" si="5"/>
        <v/>
      </c>
    </row>
    <row r="78" spans="2:5" x14ac:dyDescent="0.25">
      <c r="B78" s="117">
        <f>BDD!B76</f>
        <v>0</v>
      </c>
      <c r="C78" s="121"/>
      <c r="D78" s="119" t="str">
        <f t="shared" ca="1" si="4"/>
        <v/>
      </c>
      <c r="E78" s="120" t="str">
        <f t="shared" ca="1" si="5"/>
        <v/>
      </c>
    </row>
    <row r="79" spans="2:5" x14ac:dyDescent="0.25">
      <c r="B79" s="117">
        <f>BDD!B77</f>
        <v>0</v>
      </c>
      <c r="C79" s="121"/>
      <c r="D79" s="119" t="str">
        <f t="shared" ca="1" si="4"/>
        <v/>
      </c>
      <c r="E79" s="120" t="str">
        <f t="shared" ca="1" si="5"/>
        <v/>
      </c>
    </row>
    <row r="80" spans="2:5" x14ac:dyDescent="0.25">
      <c r="B80" s="117">
        <f>BDD!B78</f>
        <v>0</v>
      </c>
      <c r="C80" s="121"/>
      <c r="D80" s="119" t="str">
        <f t="shared" ca="1" si="4"/>
        <v/>
      </c>
      <c r="E80" s="120" t="str">
        <f t="shared" ca="1" si="5"/>
        <v/>
      </c>
    </row>
    <row r="81" spans="2:5" x14ac:dyDescent="0.25">
      <c r="B81" s="117">
        <f>BDD!B79</f>
        <v>0</v>
      </c>
      <c r="C81" s="121"/>
      <c r="D81" s="119" t="str">
        <f t="shared" ca="1" si="4"/>
        <v/>
      </c>
      <c r="E81" s="120" t="str">
        <f t="shared" ca="1" si="5"/>
        <v/>
      </c>
    </row>
    <row r="82" spans="2:5" x14ac:dyDescent="0.25">
      <c r="B82" s="117">
        <f>BDD!B80</f>
        <v>0</v>
      </c>
      <c r="C82" s="121"/>
      <c r="D82" s="119" t="str">
        <f t="shared" ca="1" si="4"/>
        <v/>
      </c>
      <c r="E82" s="120" t="str">
        <f t="shared" ca="1" si="5"/>
        <v/>
      </c>
    </row>
    <row r="83" spans="2:5" x14ac:dyDescent="0.25">
      <c r="B83" s="117">
        <f>BDD!B81</f>
        <v>0</v>
      </c>
      <c r="C83" s="121"/>
      <c r="D83" s="119" t="str">
        <f t="shared" ca="1" si="4"/>
        <v/>
      </c>
      <c r="E83" s="120" t="str">
        <f t="shared" ca="1" si="5"/>
        <v/>
      </c>
    </row>
    <row r="84" spans="2:5" x14ac:dyDescent="0.25">
      <c r="B84" s="117">
        <f>BDD!B82</f>
        <v>0</v>
      </c>
      <c r="C84" s="121"/>
      <c r="D84" s="119" t="str">
        <f t="shared" ca="1" si="4"/>
        <v/>
      </c>
      <c r="E84" s="120" t="str">
        <f t="shared" ca="1" si="5"/>
        <v/>
      </c>
    </row>
    <row r="85" spans="2:5" x14ac:dyDescent="0.25">
      <c r="B85" s="117">
        <f>BDD!B83</f>
        <v>0</v>
      </c>
      <c r="C85" s="121"/>
      <c r="D85" s="119" t="str">
        <f t="shared" ca="1" si="4"/>
        <v/>
      </c>
      <c r="E85" s="120" t="str">
        <f t="shared" ca="1" si="5"/>
        <v/>
      </c>
    </row>
    <row r="86" spans="2:5" x14ac:dyDescent="0.25">
      <c r="B86" s="117">
        <f>BDD!B84</f>
        <v>0</v>
      </c>
      <c r="C86" s="121"/>
      <c r="D86" s="119" t="str">
        <f t="shared" ca="1" si="4"/>
        <v/>
      </c>
      <c r="E86" s="120" t="str">
        <f t="shared" ca="1" si="5"/>
        <v/>
      </c>
    </row>
    <row r="87" spans="2:5" x14ac:dyDescent="0.25">
      <c r="B87" s="117">
        <f>BDD!B85</f>
        <v>0</v>
      </c>
      <c r="C87" s="121"/>
      <c r="D87" s="119" t="str">
        <f t="shared" ca="1" si="4"/>
        <v/>
      </c>
      <c r="E87" s="120" t="str">
        <f t="shared" ca="1" si="5"/>
        <v/>
      </c>
    </row>
    <row r="88" spans="2:5" x14ac:dyDescent="0.25">
      <c r="B88" s="117">
        <f>BDD!B86</f>
        <v>0</v>
      </c>
      <c r="C88" s="121"/>
      <c r="D88" s="119" t="str">
        <f t="shared" ca="1" si="4"/>
        <v/>
      </c>
      <c r="E88" s="120" t="str">
        <f t="shared" ca="1" si="5"/>
        <v/>
      </c>
    </row>
    <row r="89" spans="2:5" x14ac:dyDescent="0.25">
      <c r="B89" s="117">
        <f>BDD!B87</f>
        <v>0</v>
      </c>
      <c r="C89" s="121"/>
      <c r="D89" s="119" t="str">
        <f t="shared" ca="1" si="4"/>
        <v/>
      </c>
      <c r="E89" s="120" t="str">
        <f t="shared" ca="1" si="5"/>
        <v/>
      </c>
    </row>
    <row r="90" spans="2:5" x14ac:dyDescent="0.25">
      <c r="B90" s="117">
        <f>BDD!B88</f>
        <v>0</v>
      </c>
      <c r="C90" s="121"/>
      <c r="D90" s="119" t="str">
        <f t="shared" ca="1" si="4"/>
        <v/>
      </c>
      <c r="E90" s="120" t="str">
        <f t="shared" ca="1" si="5"/>
        <v/>
      </c>
    </row>
    <row r="91" spans="2:5" x14ac:dyDescent="0.25">
      <c r="B91" s="117">
        <f>BDD!B89</f>
        <v>0</v>
      </c>
      <c r="C91" s="121"/>
      <c r="D91" s="119" t="str">
        <f t="shared" ca="1" si="4"/>
        <v/>
      </c>
      <c r="E91" s="120" t="str">
        <f t="shared" ca="1" si="5"/>
        <v/>
      </c>
    </row>
    <row r="92" spans="2:5" x14ac:dyDescent="0.25">
      <c r="B92" s="117">
        <f>BDD!B90</f>
        <v>0</v>
      </c>
      <c r="C92" s="121"/>
      <c r="D92" s="119" t="str">
        <f t="shared" ca="1" si="4"/>
        <v/>
      </c>
      <c r="E92" s="120" t="str">
        <f t="shared" ca="1" si="5"/>
        <v/>
      </c>
    </row>
    <row r="93" spans="2:5" x14ac:dyDescent="0.25">
      <c r="B93" s="117">
        <f>BDD!B91</f>
        <v>0</v>
      </c>
      <c r="C93" s="121"/>
      <c r="D93" s="119" t="str">
        <f t="shared" ca="1" si="4"/>
        <v/>
      </c>
      <c r="E93" s="120" t="str">
        <f t="shared" ca="1" si="5"/>
        <v/>
      </c>
    </row>
    <row r="94" spans="2:5" x14ac:dyDescent="0.25">
      <c r="B94" s="117">
        <f>BDD!B92</f>
        <v>0</v>
      </c>
      <c r="C94" s="121"/>
      <c r="D94" s="119" t="str">
        <f t="shared" ca="1" si="4"/>
        <v/>
      </c>
      <c r="E94" s="120" t="str">
        <f t="shared" ca="1" si="5"/>
        <v/>
      </c>
    </row>
    <row r="95" spans="2:5" x14ac:dyDescent="0.25">
      <c r="B95" s="117">
        <f>BDD!B93</f>
        <v>0</v>
      </c>
      <c r="C95" s="121"/>
      <c r="D95" s="119" t="str">
        <f t="shared" ca="1" si="4"/>
        <v/>
      </c>
      <c r="E95" s="120" t="str">
        <f t="shared" ca="1" si="5"/>
        <v/>
      </c>
    </row>
    <row r="96" spans="2:5" x14ac:dyDescent="0.25">
      <c r="B96" s="117">
        <f>BDD!B94</f>
        <v>0</v>
      </c>
      <c r="C96" s="121"/>
      <c r="D96" s="119" t="str">
        <f t="shared" ca="1" si="4"/>
        <v/>
      </c>
      <c r="E96" s="120" t="str">
        <f t="shared" ca="1" si="5"/>
        <v/>
      </c>
    </row>
    <row r="97" spans="2:5" x14ac:dyDescent="0.25">
      <c r="B97" s="117">
        <f>BDD!B95</f>
        <v>0</v>
      </c>
      <c r="C97" s="121"/>
      <c r="D97" s="119" t="str">
        <f t="shared" ca="1" si="4"/>
        <v/>
      </c>
      <c r="E97" s="120" t="str">
        <f t="shared" ca="1" si="5"/>
        <v/>
      </c>
    </row>
    <row r="98" spans="2:5" x14ac:dyDescent="0.25">
      <c r="B98" s="117">
        <f>BDD!B96</f>
        <v>0</v>
      </c>
      <c r="C98" s="121"/>
      <c r="D98" s="119" t="str">
        <f t="shared" ca="1" si="4"/>
        <v/>
      </c>
      <c r="E98" s="120" t="str">
        <f t="shared" ca="1" si="5"/>
        <v/>
      </c>
    </row>
    <row r="99" spans="2:5" x14ac:dyDescent="0.25">
      <c r="B99" s="117">
        <f>BDD!B97</f>
        <v>0</v>
      </c>
      <c r="C99" s="121"/>
      <c r="D99" s="119" t="str">
        <f t="shared" ca="1" si="4"/>
        <v/>
      </c>
      <c r="E99" s="120" t="str">
        <f t="shared" ca="1" si="5"/>
        <v/>
      </c>
    </row>
    <row r="100" spans="2:5" x14ac:dyDescent="0.25">
      <c r="B100" s="117">
        <f>BDD!B98</f>
        <v>0</v>
      </c>
      <c r="C100" s="121"/>
      <c r="D100" s="119" t="str">
        <f t="shared" ref="D100:D113" ca="1" si="6">IFERROR(SUMIFS(Quantitee,Lesdates,"&gt;="&amp;$C$2,Lesdates,"&lt;="&amp;$E$2,Articles,$B100),"")</f>
        <v/>
      </c>
      <c r="E100" s="120" t="str">
        <f t="shared" ref="E100:E113" ca="1" si="7">IFERROR(SUMIFS(Total,Lesdates,"&gt;="&amp;$C$2,Lesdates,"&lt;="&amp;$E$2,Articles,$B100),"")</f>
        <v/>
      </c>
    </row>
    <row r="101" spans="2:5" x14ac:dyDescent="0.25">
      <c r="B101" s="117" t="str">
        <f>BDD!B99</f>
        <v>Prélèvement Compte Bancaire</v>
      </c>
      <c r="C101" s="121"/>
      <c r="D101" s="119" t="str">
        <f t="shared" ca="1" si="6"/>
        <v/>
      </c>
      <c r="E101" s="120" t="str">
        <f t="shared" ca="1" si="7"/>
        <v/>
      </c>
    </row>
    <row r="102" spans="2:5" x14ac:dyDescent="0.25">
      <c r="B102" s="117" t="str">
        <f>BDD!B100</f>
        <v>Versement Compte Bancaire</v>
      </c>
      <c r="C102" s="121"/>
      <c r="D102" s="119" t="str">
        <f t="shared" ca="1" si="6"/>
        <v/>
      </c>
      <c r="E102" s="120" t="str">
        <f t="shared" ca="1" si="7"/>
        <v/>
      </c>
    </row>
    <row r="103" spans="2:5" x14ac:dyDescent="0.25">
      <c r="B103" s="117" t="str">
        <f>BDD!B101</f>
        <v>Retrait Monnayeur pour CB</v>
      </c>
      <c r="C103" s="121"/>
      <c r="D103" s="119" t="str">
        <f t="shared" ca="1" si="6"/>
        <v/>
      </c>
      <c r="E103" s="120" t="str">
        <f t="shared" ca="1" si="7"/>
        <v/>
      </c>
    </row>
    <row r="104" spans="2:5" x14ac:dyDescent="0.25">
      <c r="B104" s="117" t="str">
        <f>BDD!B102</f>
        <v>Retrait CB pour Monnayeur</v>
      </c>
      <c r="C104" s="121"/>
      <c r="D104" s="119" t="str">
        <f t="shared" ca="1" si="6"/>
        <v/>
      </c>
      <c r="E104" s="120" t="str">
        <f t="shared" ca="1" si="7"/>
        <v/>
      </c>
    </row>
    <row r="105" spans="2:5" x14ac:dyDescent="0.25">
      <c r="B105" s="117" t="str">
        <f>BDD!B103</f>
        <v>Créditer le Compte bancaire</v>
      </c>
      <c r="C105" s="121"/>
      <c r="D105" s="119" t="str">
        <f t="shared" ca="1" si="6"/>
        <v/>
      </c>
      <c r="E105" s="120" t="str">
        <f t="shared" ca="1" si="7"/>
        <v/>
      </c>
    </row>
    <row r="106" spans="2:5" x14ac:dyDescent="0.25">
      <c r="B106" s="117" t="str">
        <f>BDD!B104</f>
        <v>Mouvement d'Espèces Caisse</v>
      </c>
      <c r="C106" s="121"/>
      <c r="D106" s="119" t="str">
        <f t="shared" ca="1" si="6"/>
        <v/>
      </c>
      <c r="E106" s="120" t="str">
        <f t="shared" ca="1" si="7"/>
        <v/>
      </c>
    </row>
    <row r="107" spans="2:5" x14ac:dyDescent="0.25">
      <c r="B107" s="117" t="str">
        <f>BDD!B105</f>
        <v>Vente par CSE MECACHROME</v>
      </c>
      <c r="C107" s="121"/>
      <c r="D107" s="119" t="str">
        <f t="shared" ca="1" si="6"/>
        <v/>
      </c>
      <c r="E107" s="120" t="str">
        <f t="shared" ca="1" si="7"/>
        <v/>
      </c>
    </row>
    <row r="108" spans="2:5" x14ac:dyDescent="0.25">
      <c r="B108" s="117" t="str">
        <f>BDD!B106</f>
        <v>Créditer la Caisse</v>
      </c>
      <c r="C108" s="121"/>
      <c r="D108" s="119" t="str">
        <f t="shared" ca="1" si="6"/>
        <v/>
      </c>
      <c r="E108" s="120" t="str">
        <f t="shared" ca="1" si="7"/>
        <v/>
      </c>
    </row>
    <row r="109" spans="2:5" x14ac:dyDescent="0.25">
      <c r="B109" s="117" t="str">
        <f>BDD!B107</f>
        <v>Retrait d'Espèces Banque</v>
      </c>
      <c r="C109" s="121"/>
      <c r="D109" s="119" t="str">
        <f t="shared" ca="1" si="6"/>
        <v/>
      </c>
      <c r="E109" s="120" t="str">
        <f t="shared" ca="1" si="7"/>
        <v/>
      </c>
    </row>
    <row r="110" spans="2:5" x14ac:dyDescent="0.25">
      <c r="B110" s="117" t="str">
        <f>BDD!B108</f>
        <v>Achat</v>
      </c>
      <c r="C110" s="121"/>
      <c r="D110" s="119" t="str">
        <f t="shared" ca="1" si="6"/>
        <v/>
      </c>
      <c r="E110" s="120" t="str">
        <f t="shared" ca="1" si="7"/>
        <v/>
      </c>
    </row>
    <row r="111" spans="2:5" x14ac:dyDescent="0.25">
      <c r="B111" s="117" t="str">
        <f>BDD!B109</f>
        <v>Remboursement</v>
      </c>
      <c r="C111" s="121"/>
      <c r="D111" s="119" t="str">
        <f t="shared" ca="1" si="6"/>
        <v/>
      </c>
      <c r="E111" s="120" t="str">
        <f t="shared" ca="1" si="7"/>
        <v/>
      </c>
    </row>
    <row r="112" spans="2:5" x14ac:dyDescent="0.25">
      <c r="B112" s="117" t="str">
        <f>BDD!B110</f>
        <v>Billetterie par CSE MECACHROME</v>
      </c>
      <c r="C112" s="121"/>
      <c r="D112" s="119" t="str">
        <f t="shared" ca="1" si="6"/>
        <v/>
      </c>
      <c r="E112" s="120" t="str">
        <f t="shared" ca="1" si="7"/>
        <v/>
      </c>
    </row>
    <row r="113" spans="2:5" ht="15.75" thickBot="1" x14ac:dyDescent="0.3">
      <c r="B113" s="123" t="str">
        <f>BDD!B111</f>
        <v>Billetterie extérieur</v>
      </c>
      <c r="C113" s="124"/>
      <c r="D113" s="125" t="str">
        <f t="shared" ca="1" si="6"/>
        <v/>
      </c>
      <c r="E113" s="126" t="str">
        <f t="shared" ca="1" si="7"/>
        <v/>
      </c>
    </row>
  </sheetData>
  <mergeCells count="3">
    <mergeCell ref="B1:E1"/>
    <mergeCell ref="B3:C3"/>
    <mergeCell ref="K1:L1"/>
  </mergeCell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tabColor rgb="FFFF0000"/>
  </sheetPr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>
    <tabColor rgb="FFFF0000"/>
  </sheetPr>
  <dimension ref="A1:S20000"/>
  <sheetViews>
    <sheetView tabSelected="1" workbookViewId="0">
      <selection activeCell="A2" sqref="A2"/>
    </sheetView>
  </sheetViews>
  <sheetFormatPr baseColWidth="10" defaultRowHeight="15" x14ac:dyDescent="0.25"/>
  <cols>
    <col min="3" max="3" width="35.7109375" customWidth="1"/>
    <col min="4" max="4" width="33.5703125" style="9" customWidth="1"/>
    <col min="5" max="5" width="16.140625" style="8" customWidth="1"/>
    <col min="6" max="6" width="10.7109375" style="33" customWidth="1"/>
    <col min="7" max="7" width="8.7109375" style="10" customWidth="1"/>
    <col min="9" max="10" width="11.42578125" style="38"/>
    <col min="11" max="11" width="11.42578125" style="35"/>
    <col min="12" max="12" width="11.42578125" style="36"/>
    <col min="13" max="13" width="11.42578125" style="34"/>
    <col min="17" max="17" width="12.7109375" style="37" customWidth="1"/>
    <col min="18" max="18" width="11.42578125" style="41" customWidth="1"/>
    <col min="19" max="19" width="11.42578125" customWidth="1"/>
    <col min="20" max="21" width="12.7109375" customWidth="1"/>
  </cols>
  <sheetData>
    <row r="1" spans="1:19" x14ac:dyDescent="0.25">
      <c r="A1" s="2" t="s">
        <v>5</v>
      </c>
      <c r="B1" s="3" t="s">
        <v>1</v>
      </c>
      <c r="C1" s="2" t="s">
        <v>0</v>
      </c>
      <c r="D1" s="21" t="s">
        <v>11</v>
      </c>
      <c r="E1" s="180" t="s">
        <v>139</v>
      </c>
      <c r="F1" s="31" t="s">
        <v>82</v>
      </c>
      <c r="G1" s="27" t="s">
        <v>105</v>
      </c>
      <c r="H1" s="7" t="str">
        <f>+IF(ISNUMBER(D1),D1,"")</f>
        <v/>
      </c>
      <c r="I1" s="39" t="s">
        <v>86</v>
      </c>
      <c r="J1" s="39" t="s">
        <v>87</v>
      </c>
      <c r="K1" s="29" t="s">
        <v>84</v>
      </c>
      <c r="L1" s="29" t="s">
        <v>85</v>
      </c>
      <c r="M1" s="30"/>
      <c r="N1" s="28" t="s">
        <v>83</v>
      </c>
      <c r="O1" s="23">
        <f ca="1">TODAY()</f>
        <v>45575</v>
      </c>
      <c r="P1" s="25">
        <v>1</v>
      </c>
      <c r="Q1" s="26">
        <v>500</v>
      </c>
      <c r="R1" s="40">
        <v>250</v>
      </c>
      <c r="S1" s="25">
        <v>0</v>
      </c>
    </row>
    <row r="2" spans="1:19" x14ac:dyDescent="0.25">
      <c r="E2" s="160"/>
      <c r="F2" s="161"/>
      <c r="G2" s="32" t="str">
        <f t="shared" ref="G2:G4" si="0">IF(F2&gt;0,"RECETTE",IF(F2&lt;0,"DÉPENSE",""))</f>
        <v/>
      </c>
      <c r="H2" s="1" t="str">
        <f t="shared" ref="H2:H4" si="1">+IF(ISNUMBER(D2),D2,"")</f>
        <v/>
      </c>
      <c r="M2" s="34">
        <f>IF(AND(E2="Chèque",G2="RECETTE"),F2,0)</f>
        <v>0</v>
      </c>
      <c r="N2" s="1"/>
      <c r="O2" s="44" t="s">
        <v>80</v>
      </c>
      <c r="P2" s="24">
        <f ca="1">SUMIF(A2:A1048576,TODAY(),F2:F1048566)</f>
        <v>0</v>
      </c>
      <c r="S2" s="136" t="s">
        <v>119</v>
      </c>
    </row>
    <row r="3" spans="1:19" x14ac:dyDescent="0.25">
      <c r="G3" s="32" t="str">
        <f t="shared" si="0"/>
        <v/>
      </c>
      <c r="H3" s="1" t="str">
        <f t="shared" si="1"/>
        <v/>
      </c>
      <c r="M3" s="34">
        <f t="shared" ref="M3:M66" si="2">IF(AND(E3="Chèque",G3="RECETTE"),F3,0)</f>
        <v>0</v>
      </c>
      <c r="N3" s="1"/>
    </row>
    <row r="4" spans="1:19" x14ac:dyDescent="0.25">
      <c r="G4" s="32" t="str">
        <f t="shared" si="0"/>
        <v/>
      </c>
      <c r="H4" s="1" t="str">
        <f t="shared" si="1"/>
        <v/>
      </c>
      <c r="M4" s="34">
        <f t="shared" si="2"/>
        <v>0</v>
      </c>
      <c r="N4" s="1"/>
      <c r="O4" s="22" t="s">
        <v>79</v>
      </c>
      <c r="P4" s="42">
        <f ca="1">SUMIF(A2:A1048576,TODAY(),I2:I1048566)</f>
        <v>0</v>
      </c>
    </row>
    <row r="5" spans="1:19" x14ac:dyDescent="0.25">
      <c r="G5" s="32" t="str">
        <f t="shared" ref="G5:G65" si="3">IF(F5&gt;0,"RECETTE",IF(F5&lt;0,"DÉPENSE",""))</f>
        <v/>
      </c>
      <c r="H5" s="1" t="str">
        <f t="shared" ref="H5:H65" si="4">+IF(ISNUMBER(D5),D5,"")</f>
        <v/>
      </c>
      <c r="M5" s="34">
        <f t="shared" si="2"/>
        <v>0</v>
      </c>
      <c r="N5" s="1"/>
      <c r="O5" s="43">
        <f ca="1">P4+P5+P6</f>
        <v>0</v>
      </c>
      <c r="P5" s="42">
        <f ca="1">SUMIF(A2:A1048576,TODAY(),K2:K1048566)</f>
        <v>0</v>
      </c>
    </row>
    <row r="6" spans="1:19" x14ac:dyDescent="0.25">
      <c r="G6" s="32" t="str">
        <f t="shared" si="3"/>
        <v/>
      </c>
      <c r="H6" s="1" t="str">
        <f t="shared" si="4"/>
        <v/>
      </c>
      <c r="M6" s="34">
        <f t="shared" si="2"/>
        <v>0</v>
      </c>
      <c r="N6" s="1"/>
      <c r="P6" s="42">
        <f ca="1">SUMIF(A2:A1048576,TODAY(),M2:M1048566)</f>
        <v>0</v>
      </c>
    </row>
    <row r="7" spans="1:19" x14ac:dyDescent="0.25">
      <c r="G7" s="32" t="str">
        <f t="shared" si="3"/>
        <v/>
      </c>
      <c r="H7" s="1" t="str">
        <f t="shared" si="4"/>
        <v/>
      </c>
      <c r="M7" s="34">
        <f t="shared" si="2"/>
        <v>0</v>
      </c>
      <c r="N7" s="1"/>
    </row>
    <row r="8" spans="1:19" x14ac:dyDescent="0.25">
      <c r="G8" s="32" t="str">
        <f t="shared" si="3"/>
        <v/>
      </c>
      <c r="H8" s="1" t="str">
        <f t="shared" si="4"/>
        <v/>
      </c>
      <c r="M8" s="34">
        <f t="shared" si="2"/>
        <v>0</v>
      </c>
      <c r="N8" s="1"/>
      <c r="O8" s="44" t="s">
        <v>78</v>
      </c>
      <c r="P8" s="24">
        <f ca="1">SUMIF(A2:A1048576,TODAY(),J2:J1048576)</f>
        <v>0</v>
      </c>
    </row>
    <row r="9" spans="1:19" x14ac:dyDescent="0.25">
      <c r="G9" s="32" t="str">
        <f t="shared" si="3"/>
        <v/>
      </c>
      <c r="H9" s="1" t="str">
        <f t="shared" si="4"/>
        <v/>
      </c>
      <c r="M9" s="34">
        <f t="shared" si="2"/>
        <v>0</v>
      </c>
      <c r="N9" s="1"/>
      <c r="O9" s="43">
        <f ca="1">P8+P9</f>
        <v>0</v>
      </c>
      <c r="P9" s="42">
        <f ca="1">SUMIF(A2:A1048576,TODAY(),L2:L1048566)</f>
        <v>0</v>
      </c>
    </row>
    <row r="10" spans="1:19" x14ac:dyDescent="0.25">
      <c r="G10" s="32" t="str">
        <f t="shared" si="3"/>
        <v/>
      </c>
      <c r="H10" s="1" t="str">
        <f t="shared" si="4"/>
        <v/>
      </c>
      <c r="M10" s="34">
        <f t="shared" si="2"/>
        <v>0</v>
      </c>
      <c r="N10" s="1"/>
    </row>
    <row r="11" spans="1:19" x14ac:dyDescent="0.25">
      <c r="G11" s="32" t="str">
        <f t="shared" si="3"/>
        <v/>
      </c>
      <c r="H11" s="1" t="str">
        <f t="shared" si="4"/>
        <v/>
      </c>
      <c r="M11" s="34">
        <f t="shared" si="2"/>
        <v>0</v>
      </c>
      <c r="N11" s="1"/>
      <c r="O11" s="44" t="s">
        <v>88</v>
      </c>
      <c r="P11" s="24">
        <f ca="1">SUMIF(A2:A1048576,TODAY(),M2:M1048576)</f>
        <v>0</v>
      </c>
    </row>
    <row r="12" spans="1:19" x14ac:dyDescent="0.25">
      <c r="G12" s="32" t="str">
        <f t="shared" si="3"/>
        <v/>
      </c>
      <c r="H12" s="1" t="str">
        <f t="shared" si="4"/>
        <v/>
      </c>
      <c r="M12" s="34">
        <f t="shared" si="2"/>
        <v>0</v>
      </c>
      <c r="O12" s="43">
        <f ca="1">P11</f>
        <v>0</v>
      </c>
    </row>
    <row r="13" spans="1:19" x14ac:dyDescent="0.25">
      <c r="G13" s="32" t="str">
        <f t="shared" si="3"/>
        <v/>
      </c>
      <c r="H13" s="1" t="str">
        <f t="shared" si="4"/>
        <v/>
      </c>
      <c r="M13" s="34">
        <f t="shared" si="2"/>
        <v>0</v>
      </c>
    </row>
    <row r="14" spans="1:19" x14ac:dyDescent="0.25">
      <c r="G14" s="32" t="str">
        <f t="shared" si="3"/>
        <v/>
      </c>
      <c r="H14" s="1" t="str">
        <f t="shared" si="4"/>
        <v/>
      </c>
      <c r="M14" s="34">
        <f t="shared" si="2"/>
        <v>0</v>
      </c>
      <c r="O14" s="22" t="s">
        <v>79</v>
      </c>
      <c r="P14" s="42">
        <f ca="1">SUMIF(A2:A1048576,TODAY(),I2:I1048566)</f>
        <v>0</v>
      </c>
    </row>
    <row r="15" spans="1:19" x14ac:dyDescent="0.25">
      <c r="G15" s="32" t="str">
        <f t="shared" si="3"/>
        <v/>
      </c>
      <c r="H15" s="1" t="str">
        <f t="shared" si="4"/>
        <v/>
      </c>
      <c r="M15" s="34">
        <f t="shared" si="2"/>
        <v>0</v>
      </c>
      <c r="O15" s="43">
        <f ca="1">P14+P15</f>
        <v>0</v>
      </c>
      <c r="P15" s="42">
        <f ca="1">SUMIF(A2:A1048576,TODAY(),K2:K1048566)</f>
        <v>0</v>
      </c>
    </row>
    <row r="16" spans="1:19" x14ac:dyDescent="0.25">
      <c r="G16" s="32" t="str">
        <f t="shared" si="3"/>
        <v/>
      </c>
      <c r="H16" s="1" t="str">
        <f t="shared" si="4"/>
        <v/>
      </c>
      <c r="M16" s="34">
        <f t="shared" si="2"/>
        <v>0</v>
      </c>
    </row>
    <row r="17" spans="7:13" x14ac:dyDescent="0.25">
      <c r="G17" s="32" t="str">
        <f t="shared" si="3"/>
        <v/>
      </c>
      <c r="H17" s="1" t="str">
        <f t="shared" si="4"/>
        <v/>
      </c>
      <c r="M17" s="34">
        <f t="shared" si="2"/>
        <v>0</v>
      </c>
    </row>
    <row r="18" spans="7:13" x14ac:dyDescent="0.25">
      <c r="G18" s="32" t="str">
        <f t="shared" si="3"/>
        <v/>
      </c>
      <c r="H18" s="1" t="str">
        <f t="shared" si="4"/>
        <v/>
      </c>
      <c r="M18" s="34">
        <f t="shared" si="2"/>
        <v>0</v>
      </c>
    </row>
    <row r="19" spans="7:13" x14ac:dyDescent="0.25">
      <c r="G19" s="32" t="str">
        <f t="shared" si="3"/>
        <v/>
      </c>
      <c r="H19" s="1" t="str">
        <f t="shared" si="4"/>
        <v/>
      </c>
      <c r="M19" s="34">
        <f t="shared" si="2"/>
        <v>0</v>
      </c>
    </row>
    <row r="20" spans="7:13" x14ac:dyDescent="0.25">
      <c r="G20" s="10" t="str">
        <f t="shared" si="3"/>
        <v/>
      </c>
      <c r="H20" t="str">
        <f t="shared" si="4"/>
        <v/>
      </c>
      <c r="M20" s="34">
        <f t="shared" si="2"/>
        <v>0</v>
      </c>
    </row>
    <row r="21" spans="7:13" x14ac:dyDescent="0.25">
      <c r="G21" s="10" t="str">
        <f t="shared" si="3"/>
        <v/>
      </c>
      <c r="H21" t="str">
        <f t="shared" si="4"/>
        <v/>
      </c>
      <c r="M21" s="34">
        <f t="shared" si="2"/>
        <v>0</v>
      </c>
    </row>
    <row r="22" spans="7:13" x14ac:dyDescent="0.25">
      <c r="G22" s="10" t="str">
        <f t="shared" si="3"/>
        <v/>
      </c>
      <c r="H22" t="str">
        <f t="shared" si="4"/>
        <v/>
      </c>
      <c r="M22" s="34">
        <f t="shared" si="2"/>
        <v>0</v>
      </c>
    </row>
    <row r="23" spans="7:13" x14ac:dyDescent="0.25">
      <c r="G23" s="10" t="str">
        <f t="shared" si="3"/>
        <v/>
      </c>
      <c r="H23" t="str">
        <f t="shared" si="4"/>
        <v/>
      </c>
      <c r="M23" s="34">
        <f t="shared" si="2"/>
        <v>0</v>
      </c>
    </row>
    <row r="24" spans="7:13" x14ac:dyDescent="0.25">
      <c r="G24" s="10" t="str">
        <f t="shared" si="3"/>
        <v/>
      </c>
      <c r="H24" t="str">
        <f t="shared" si="4"/>
        <v/>
      </c>
      <c r="M24" s="34">
        <f t="shared" si="2"/>
        <v>0</v>
      </c>
    </row>
    <row r="25" spans="7:13" x14ac:dyDescent="0.25">
      <c r="G25" s="10" t="str">
        <f t="shared" si="3"/>
        <v/>
      </c>
      <c r="H25" t="str">
        <f t="shared" si="4"/>
        <v/>
      </c>
      <c r="M25" s="34">
        <f t="shared" si="2"/>
        <v>0</v>
      </c>
    </row>
    <row r="26" spans="7:13" x14ac:dyDescent="0.25">
      <c r="G26" s="10" t="str">
        <f t="shared" si="3"/>
        <v/>
      </c>
      <c r="H26" t="str">
        <f t="shared" si="4"/>
        <v/>
      </c>
      <c r="M26" s="34">
        <f t="shared" si="2"/>
        <v>0</v>
      </c>
    </row>
    <row r="27" spans="7:13" x14ac:dyDescent="0.25">
      <c r="G27" s="10" t="str">
        <f t="shared" si="3"/>
        <v/>
      </c>
      <c r="H27" t="str">
        <f t="shared" si="4"/>
        <v/>
      </c>
      <c r="M27" s="34">
        <f t="shared" si="2"/>
        <v>0</v>
      </c>
    </row>
    <row r="28" spans="7:13" x14ac:dyDescent="0.25">
      <c r="G28" s="10" t="str">
        <f t="shared" si="3"/>
        <v/>
      </c>
      <c r="H28" t="str">
        <f t="shared" si="4"/>
        <v/>
      </c>
      <c r="M28" s="34">
        <f t="shared" si="2"/>
        <v>0</v>
      </c>
    </row>
    <row r="29" spans="7:13" x14ac:dyDescent="0.25">
      <c r="G29" s="10" t="str">
        <f t="shared" si="3"/>
        <v/>
      </c>
      <c r="H29" t="str">
        <f t="shared" si="4"/>
        <v/>
      </c>
      <c r="M29" s="34">
        <f t="shared" si="2"/>
        <v>0</v>
      </c>
    </row>
    <row r="30" spans="7:13" x14ac:dyDescent="0.25">
      <c r="G30" s="10" t="str">
        <f t="shared" si="3"/>
        <v/>
      </c>
      <c r="H30" t="str">
        <f t="shared" si="4"/>
        <v/>
      </c>
      <c r="M30" s="34">
        <f t="shared" si="2"/>
        <v>0</v>
      </c>
    </row>
    <row r="31" spans="7:13" x14ac:dyDescent="0.25">
      <c r="G31" s="10" t="str">
        <f t="shared" si="3"/>
        <v/>
      </c>
      <c r="H31" t="str">
        <f t="shared" si="4"/>
        <v/>
      </c>
      <c r="M31" s="34">
        <f t="shared" si="2"/>
        <v>0</v>
      </c>
    </row>
    <row r="32" spans="7:13" x14ac:dyDescent="0.25">
      <c r="G32" s="10" t="str">
        <f t="shared" si="3"/>
        <v/>
      </c>
      <c r="H32" t="str">
        <f t="shared" si="4"/>
        <v/>
      </c>
      <c r="M32" s="34">
        <f t="shared" si="2"/>
        <v>0</v>
      </c>
    </row>
    <row r="33" spans="7:13" x14ac:dyDescent="0.25">
      <c r="G33" s="10" t="str">
        <f t="shared" si="3"/>
        <v/>
      </c>
      <c r="H33" t="str">
        <f t="shared" si="4"/>
        <v/>
      </c>
      <c r="M33" s="34">
        <f t="shared" si="2"/>
        <v>0</v>
      </c>
    </row>
    <row r="34" spans="7:13" x14ac:dyDescent="0.25">
      <c r="G34" s="10" t="str">
        <f t="shared" si="3"/>
        <v/>
      </c>
      <c r="H34" t="str">
        <f t="shared" si="4"/>
        <v/>
      </c>
      <c r="M34" s="34">
        <f t="shared" si="2"/>
        <v>0</v>
      </c>
    </row>
    <row r="35" spans="7:13" x14ac:dyDescent="0.25">
      <c r="G35" s="10" t="str">
        <f t="shared" si="3"/>
        <v/>
      </c>
      <c r="H35" t="str">
        <f t="shared" si="4"/>
        <v/>
      </c>
      <c r="M35" s="34">
        <f t="shared" si="2"/>
        <v>0</v>
      </c>
    </row>
    <row r="36" spans="7:13" x14ac:dyDescent="0.25">
      <c r="G36" s="10" t="str">
        <f t="shared" si="3"/>
        <v/>
      </c>
      <c r="H36" t="str">
        <f t="shared" si="4"/>
        <v/>
      </c>
      <c r="M36" s="34">
        <f t="shared" si="2"/>
        <v>0</v>
      </c>
    </row>
    <row r="37" spans="7:13" x14ac:dyDescent="0.25">
      <c r="G37" s="10" t="str">
        <f t="shared" si="3"/>
        <v/>
      </c>
      <c r="H37" t="str">
        <f t="shared" si="4"/>
        <v/>
      </c>
      <c r="M37" s="34">
        <f t="shared" si="2"/>
        <v>0</v>
      </c>
    </row>
    <row r="38" spans="7:13" x14ac:dyDescent="0.25">
      <c r="G38" s="10" t="str">
        <f t="shared" si="3"/>
        <v/>
      </c>
      <c r="H38" t="str">
        <f t="shared" si="4"/>
        <v/>
      </c>
      <c r="M38" s="34">
        <f t="shared" si="2"/>
        <v>0</v>
      </c>
    </row>
    <row r="39" spans="7:13" x14ac:dyDescent="0.25">
      <c r="G39" s="10" t="str">
        <f t="shared" si="3"/>
        <v/>
      </c>
      <c r="H39" t="str">
        <f t="shared" si="4"/>
        <v/>
      </c>
      <c r="M39" s="34">
        <f t="shared" si="2"/>
        <v>0</v>
      </c>
    </row>
    <row r="40" spans="7:13" x14ac:dyDescent="0.25">
      <c r="G40" s="10" t="str">
        <f t="shared" si="3"/>
        <v/>
      </c>
      <c r="H40" t="str">
        <f t="shared" si="4"/>
        <v/>
      </c>
      <c r="M40" s="34">
        <f t="shared" si="2"/>
        <v>0</v>
      </c>
    </row>
    <row r="41" spans="7:13" x14ac:dyDescent="0.25">
      <c r="G41" s="10" t="str">
        <f t="shared" si="3"/>
        <v/>
      </c>
      <c r="H41" t="str">
        <f t="shared" si="4"/>
        <v/>
      </c>
      <c r="M41" s="34">
        <f t="shared" si="2"/>
        <v>0</v>
      </c>
    </row>
    <row r="42" spans="7:13" x14ac:dyDescent="0.25">
      <c r="G42" s="10" t="str">
        <f t="shared" si="3"/>
        <v/>
      </c>
      <c r="H42" t="str">
        <f t="shared" si="4"/>
        <v/>
      </c>
      <c r="M42" s="34">
        <f t="shared" si="2"/>
        <v>0</v>
      </c>
    </row>
    <row r="43" spans="7:13" x14ac:dyDescent="0.25">
      <c r="G43" s="10" t="str">
        <f t="shared" si="3"/>
        <v/>
      </c>
      <c r="H43" t="str">
        <f t="shared" si="4"/>
        <v/>
      </c>
      <c r="M43" s="34">
        <f t="shared" si="2"/>
        <v>0</v>
      </c>
    </row>
    <row r="44" spans="7:13" x14ac:dyDescent="0.25">
      <c r="G44" s="10" t="str">
        <f t="shared" si="3"/>
        <v/>
      </c>
      <c r="H44" t="str">
        <f t="shared" si="4"/>
        <v/>
      </c>
      <c r="M44" s="34">
        <f t="shared" si="2"/>
        <v>0</v>
      </c>
    </row>
    <row r="45" spans="7:13" x14ac:dyDescent="0.25">
      <c r="G45" s="10" t="str">
        <f t="shared" si="3"/>
        <v/>
      </c>
      <c r="H45" t="str">
        <f t="shared" si="4"/>
        <v/>
      </c>
      <c r="M45" s="34">
        <f t="shared" si="2"/>
        <v>0</v>
      </c>
    </row>
    <row r="46" spans="7:13" x14ac:dyDescent="0.25">
      <c r="G46" s="10" t="str">
        <f t="shared" si="3"/>
        <v/>
      </c>
      <c r="H46" t="str">
        <f t="shared" si="4"/>
        <v/>
      </c>
      <c r="M46" s="34">
        <f t="shared" si="2"/>
        <v>0</v>
      </c>
    </row>
    <row r="47" spans="7:13" x14ac:dyDescent="0.25">
      <c r="G47" s="10" t="str">
        <f t="shared" si="3"/>
        <v/>
      </c>
      <c r="H47" t="str">
        <f t="shared" si="4"/>
        <v/>
      </c>
      <c r="M47" s="34">
        <f t="shared" si="2"/>
        <v>0</v>
      </c>
    </row>
    <row r="48" spans="7:13" x14ac:dyDescent="0.25">
      <c r="G48" s="10" t="str">
        <f t="shared" si="3"/>
        <v/>
      </c>
      <c r="H48" t="str">
        <f t="shared" si="4"/>
        <v/>
      </c>
      <c r="M48" s="34">
        <f t="shared" si="2"/>
        <v>0</v>
      </c>
    </row>
    <row r="49" spans="7:13" x14ac:dyDescent="0.25">
      <c r="G49" s="10" t="str">
        <f t="shared" si="3"/>
        <v/>
      </c>
      <c r="H49" t="str">
        <f t="shared" si="4"/>
        <v/>
      </c>
      <c r="M49" s="34">
        <f t="shared" si="2"/>
        <v>0</v>
      </c>
    </row>
    <row r="50" spans="7:13" x14ac:dyDescent="0.25">
      <c r="G50" s="10" t="str">
        <f t="shared" si="3"/>
        <v/>
      </c>
      <c r="H50" t="str">
        <f t="shared" si="4"/>
        <v/>
      </c>
      <c r="M50" s="34">
        <f t="shared" si="2"/>
        <v>0</v>
      </c>
    </row>
    <row r="51" spans="7:13" x14ac:dyDescent="0.25">
      <c r="G51" s="10" t="str">
        <f t="shared" si="3"/>
        <v/>
      </c>
      <c r="H51" t="str">
        <f t="shared" si="4"/>
        <v/>
      </c>
      <c r="M51" s="34">
        <f t="shared" si="2"/>
        <v>0</v>
      </c>
    </row>
    <row r="52" spans="7:13" x14ac:dyDescent="0.25">
      <c r="G52" s="10" t="str">
        <f t="shared" si="3"/>
        <v/>
      </c>
      <c r="H52" t="str">
        <f t="shared" si="4"/>
        <v/>
      </c>
      <c r="M52" s="34">
        <f t="shared" si="2"/>
        <v>0</v>
      </c>
    </row>
    <row r="53" spans="7:13" x14ac:dyDescent="0.25">
      <c r="G53" s="10" t="str">
        <f t="shared" si="3"/>
        <v/>
      </c>
      <c r="H53" t="str">
        <f t="shared" si="4"/>
        <v/>
      </c>
      <c r="M53" s="34">
        <f t="shared" si="2"/>
        <v>0</v>
      </c>
    </row>
    <row r="54" spans="7:13" x14ac:dyDescent="0.25">
      <c r="G54" s="10" t="str">
        <f t="shared" si="3"/>
        <v/>
      </c>
      <c r="H54" t="str">
        <f t="shared" si="4"/>
        <v/>
      </c>
      <c r="M54" s="34">
        <f t="shared" si="2"/>
        <v>0</v>
      </c>
    </row>
    <row r="55" spans="7:13" x14ac:dyDescent="0.25">
      <c r="G55" s="10" t="str">
        <f t="shared" si="3"/>
        <v/>
      </c>
      <c r="H55" t="str">
        <f t="shared" si="4"/>
        <v/>
      </c>
      <c r="M55" s="34">
        <f t="shared" si="2"/>
        <v>0</v>
      </c>
    </row>
    <row r="56" spans="7:13" x14ac:dyDescent="0.25">
      <c r="G56" s="10" t="str">
        <f t="shared" si="3"/>
        <v/>
      </c>
      <c r="H56" t="str">
        <f t="shared" si="4"/>
        <v/>
      </c>
      <c r="M56" s="34">
        <f t="shared" si="2"/>
        <v>0</v>
      </c>
    </row>
    <row r="57" spans="7:13" x14ac:dyDescent="0.25">
      <c r="G57" s="10" t="str">
        <f t="shared" si="3"/>
        <v/>
      </c>
      <c r="H57" t="str">
        <f t="shared" si="4"/>
        <v/>
      </c>
      <c r="M57" s="34">
        <f t="shared" si="2"/>
        <v>0</v>
      </c>
    </row>
    <row r="58" spans="7:13" x14ac:dyDescent="0.25">
      <c r="G58" s="10" t="str">
        <f t="shared" si="3"/>
        <v/>
      </c>
      <c r="H58" t="str">
        <f t="shared" si="4"/>
        <v/>
      </c>
      <c r="M58" s="34">
        <f t="shared" si="2"/>
        <v>0</v>
      </c>
    </row>
    <row r="59" spans="7:13" x14ac:dyDescent="0.25">
      <c r="G59" s="10" t="str">
        <f t="shared" si="3"/>
        <v/>
      </c>
      <c r="H59" t="str">
        <f t="shared" si="4"/>
        <v/>
      </c>
      <c r="M59" s="34">
        <f t="shared" si="2"/>
        <v>0</v>
      </c>
    </row>
    <row r="60" spans="7:13" x14ac:dyDescent="0.25">
      <c r="G60" s="10" t="str">
        <f t="shared" si="3"/>
        <v/>
      </c>
      <c r="H60" t="str">
        <f t="shared" si="4"/>
        <v/>
      </c>
      <c r="M60" s="34">
        <f t="shared" si="2"/>
        <v>0</v>
      </c>
    </row>
    <row r="61" spans="7:13" x14ac:dyDescent="0.25">
      <c r="G61" s="10" t="str">
        <f t="shared" si="3"/>
        <v/>
      </c>
      <c r="H61" t="str">
        <f t="shared" si="4"/>
        <v/>
      </c>
      <c r="M61" s="34">
        <f t="shared" si="2"/>
        <v>0</v>
      </c>
    </row>
    <row r="62" spans="7:13" x14ac:dyDescent="0.25">
      <c r="G62" s="10" t="str">
        <f t="shared" si="3"/>
        <v/>
      </c>
      <c r="H62" t="str">
        <f t="shared" si="4"/>
        <v/>
      </c>
      <c r="M62" s="34">
        <f t="shared" si="2"/>
        <v>0</v>
      </c>
    </row>
    <row r="63" spans="7:13" x14ac:dyDescent="0.25">
      <c r="G63" s="10" t="str">
        <f t="shared" si="3"/>
        <v/>
      </c>
      <c r="H63" t="str">
        <f t="shared" si="4"/>
        <v/>
      </c>
      <c r="M63" s="34">
        <f t="shared" si="2"/>
        <v>0</v>
      </c>
    </row>
    <row r="64" spans="7:13" x14ac:dyDescent="0.25">
      <c r="G64" s="10" t="str">
        <f t="shared" si="3"/>
        <v/>
      </c>
      <c r="H64" t="str">
        <f t="shared" si="4"/>
        <v/>
      </c>
      <c r="M64" s="34">
        <f t="shared" si="2"/>
        <v>0</v>
      </c>
    </row>
    <row r="65" spans="7:13" x14ac:dyDescent="0.25">
      <c r="G65" s="10" t="str">
        <f t="shared" si="3"/>
        <v/>
      </c>
      <c r="H65" t="str">
        <f t="shared" si="4"/>
        <v/>
      </c>
      <c r="M65" s="34">
        <f t="shared" si="2"/>
        <v>0</v>
      </c>
    </row>
    <row r="66" spans="7:13" x14ac:dyDescent="0.25">
      <c r="G66" s="10" t="str">
        <f t="shared" ref="G66:G129" si="5">IF(F66&gt;0,"RECETTE",IF(F66&lt;0,"DÉPENSE",""))</f>
        <v/>
      </c>
      <c r="H66" t="str">
        <f t="shared" ref="H66:H129" si="6">+IF(ISNUMBER(D66),D66,"")</f>
        <v/>
      </c>
      <c r="M66" s="34">
        <f t="shared" si="2"/>
        <v>0</v>
      </c>
    </row>
    <row r="67" spans="7:13" x14ac:dyDescent="0.25">
      <c r="G67" s="10" t="str">
        <f t="shared" si="5"/>
        <v/>
      </c>
      <c r="H67" t="str">
        <f t="shared" si="6"/>
        <v/>
      </c>
      <c r="M67" s="34">
        <f t="shared" ref="M67:M130" si="7">IF(AND(E67="Chèque",G67="RECETTE"),F67,0)</f>
        <v>0</v>
      </c>
    </row>
    <row r="68" spans="7:13" x14ac:dyDescent="0.25">
      <c r="G68" s="10" t="str">
        <f t="shared" si="5"/>
        <v/>
      </c>
      <c r="H68" t="str">
        <f t="shared" si="6"/>
        <v/>
      </c>
      <c r="M68" s="34">
        <f t="shared" si="7"/>
        <v>0</v>
      </c>
    </row>
    <row r="69" spans="7:13" x14ac:dyDescent="0.25">
      <c r="G69" s="10" t="str">
        <f t="shared" si="5"/>
        <v/>
      </c>
      <c r="H69" t="str">
        <f t="shared" si="6"/>
        <v/>
      </c>
      <c r="M69" s="34">
        <f t="shared" si="7"/>
        <v>0</v>
      </c>
    </row>
    <row r="70" spans="7:13" x14ac:dyDescent="0.25">
      <c r="G70" s="10" t="str">
        <f t="shared" si="5"/>
        <v/>
      </c>
      <c r="H70" t="str">
        <f t="shared" si="6"/>
        <v/>
      </c>
      <c r="M70" s="34">
        <f t="shared" si="7"/>
        <v>0</v>
      </c>
    </row>
    <row r="71" spans="7:13" x14ac:dyDescent="0.25">
      <c r="G71" s="10" t="str">
        <f t="shared" si="5"/>
        <v/>
      </c>
      <c r="H71" t="str">
        <f t="shared" si="6"/>
        <v/>
      </c>
      <c r="M71" s="34">
        <f t="shared" si="7"/>
        <v>0</v>
      </c>
    </row>
    <row r="72" spans="7:13" x14ac:dyDescent="0.25">
      <c r="G72" s="10" t="str">
        <f t="shared" si="5"/>
        <v/>
      </c>
      <c r="H72" t="str">
        <f t="shared" si="6"/>
        <v/>
      </c>
      <c r="M72" s="34">
        <f t="shared" si="7"/>
        <v>0</v>
      </c>
    </row>
    <row r="73" spans="7:13" x14ac:dyDescent="0.25">
      <c r="G73" s="10" t="str">
        <f t="shared" si="5"/>
        <v/>
      </c>
      <c r="H73" t="str">
        <f t="shared" si="6"/>
        <v/>
      </c>
      <c r="M73" s="34">
        <f t="shared" si="7"/>
        <v>0</v>
      </c>
    </row>
    <row r="74" spans="7:13" x14ac:dyDescent="0.25">
      <c r="G74" s="10" t="str">
        <f t="shared" si="5"/>
        <v/>
      </c>
      <c r="H74" t="str">
        <f t="shared" si="6"/>
        <v/>
      </c>
      <c r="M74" s="34">
        <f t="shared" si="7"/>
        <v>0</v>
      </c>
    </row>
    <row r="75" spans="7:13" x14ac:dyDescent="0.25">
      <c r="G75" s="10" t="str">
        <f t="shared" si="5"/>
        <v/>
      </c>
      <c r="H75" t="str">
        <f t="shared" si="6"/>
        <v/>
      </c>
      <c r="M75" s="34">
        <f t="shared" si="7"/>
        <v>0</v>
      </c>
    </row>
    <row r="76" spans="7:13" x14ac:dyDescent="0.25">
      <c r="G76" s="10" t="str">
        <f t="shared" si="5"/>
        <v/>
      </c>
      <c r="H76" t="str">
        <f t="shared" si="6"/>
        <v/>
      </c>
      <c r="M76" s="34">
        <f t="shared" si="7"/>
        <v>0</v>
      </c>
    </row>
    <row r="77" spans="7:13" x14ac:dyDescent="0.25">
      <c r="G77" s="10" t="str">
        <f t="shared" si="5"/>
        <v/>
      </c>
      <c r="H77" t="str">
        <f t="shared" si="6"/>
        <v/>
      </c>
      <c r="M77" s="34">
        <f t="shared" si="7"/>
        <v>0</v>
      </c>
    </row>
    <row r="78" spans="7:13" x14ac:dyDescent="0.25">
      <c r="G78" s="10" t="str">
        <f t="shared" si="5"/>
        <v/>
      </c>
      <c r="H78" t="str">
        <f t="shared" si="6"/>
        <v/>
      </c>
      <c r="M78" s="34">
        <f t="shared" si="7"/>
        <v>0</v>
      </c>
    </row>
    <row r="79" spans="7:13" x14ac:dyDescent="0.25">
      <c r="G79" s="10" t="str">
        <f t="shared" si="5"/>
        <v/>
      </c>
      <c r="H79" t="str">
        <f t="shared" si="6"/>
        <v/>
      </c>
      <c r="M79" s="34">
        <f t="shared" si="7"/>
        <v>0</v>
      </c>
    </row>
    <row r="80" spans="7:13" x14ac:dyDescent="0.25">
      <c r="G80" s="10" t="str">
        <f t="shared" si="5"/>
        <v/>
      </c>
      <c r="H80" t="str">
        <f t="shared" si="6"/>
        <v/>
      </c>
      <c r="M80" s="34">
        <f t="shared" si="7"/>
        <v>0</v>
      </c>
    </row>
    <row r="81" spans="7:13" x14ac:dyDescent="0.25">
      <c r="G81" s="10" t="str">
        <f t="shared" si="5"/>
        <v/>
      </c>
      <c r="H81" t="str">
        <f t="shared" si="6"/>
        <v/>
      </c>
      <c r="M81" s="34">
        <f t="shared" si="7"/>
        <v>0</v>
      </c>
    </row>
    <row r="82" spans="7:13" x14ac:dyDescent="0.25">
      <c r="G82" s="10" t="str">
        <f t="shared" si="5"/>
        <v/>
      </c>
      <c r="H82" t="str">
        <f t="shared" si="6"/>
        <v/>
      </c>
      <c r="M82" s="34">
        <f t="shared" si="7"/>
        <v>0</v>
      </c>
    </row>
    <row r="83" spans="7:13" x14ac:dyDescent="0.25">
      <c r="G83" s="10" t="str">
        <f t="shared" si="5"/>
        <v/>
      </c>
      <c r="H83" t="str">
        <f t="shared" si="6"/>
        <v/>
      </c>
      <c r="M83" s="34">
        <f t="shared" si="7"/>
        <v>0</v>
      </c>
    </row>
    <row r="84" spans="7:13" x14ac:dyDescent="0.25">
      <c r="G84" s="10" t="str">
        <f t="shared" si="5"/>
        <v/>
      </c>
      <c r="H84" t="str">
        <f t="shared" si="6"/>
        <v/>
      </c>
      <c r="M84" s="34">
        <f t="shared" si="7"/>
        <v>0</v>
      </c>
    </row>
    <row r="85" spans="7:13" x14ac:dyDescent="0.25">
      <c r="G85" s="10" t="str">
        <f t="shared" si="5"/>
        <v/>
      </c>
      <c r="H85" t="str">
        <f t="shared" si="6"/>
        <v/>
      </c>
      <c r="M85" s="34">
        <f t="shared" si="7"/>
        <v>0</v>
      </c>
    </row>
    <row r="86" spans="7:13" x14ac:dyDescent="0.25">
      <c r="G86" s="10" t="str">
        <f t="shared" si="5"/>
        <v/>
      </c>
      <c r="H86" t="str">
        <f t="shared" si="6"/>
        <v/>
      </c>
      <c r="M86" s="34">
        <f t="shared" si="7"/>
        <v>0</v>
      </c>
    </row>
    <row r="87" spans="7:13" x14ac:dyDescent="0.25">
      <c r="G87" s="10" t="str">
        <f t="shared" si="5"/>
        <v/>
      </c>
      <c r="H87" t="str">
        <f t="shared" si="6"/>
        <v/>
      </c>
      <c r="M87" s="34">
        <f t="shared" si="7"/>
        <v>0</v>
      </c>
    </row>
    <row r="88" spans="7:13" x14ac:dyDescent="0.25">
      <c r="G88" s="10" t="str">
        <f t="shared" si="5"/>
        <v/>
      </c>
      <c r="H88" t="str">
        <f t="shared" si="6"/>
        <v/>
      </c>
      <c r="M88" s="34">
        <f t="shared" si="7"/>
        <v>0</v>
      </c>
    </row>
    <row r="89" spans="7:13" x14ac:dyDescent="0.25">
      <c r="G89" s="10" t="str">
        <f t="shared" si="5"/>
        <v/>
      </c>
      <c r="H89" t="str">
        <f t="shared" si="6"/>
        <v/>
      </c>
      <c r="M89" s="34">
        <f t="shared" si="7"/>
        <v>0</v>
      </c>
    </row>
    <row r="90" spans="7:13" x14ac:dyDescent="0.25">
      <c r="G90" s="10" t="str">
        <f t="shared" si="5"/>
        <v/>
      </c>
      <c r="H90" t="str">
        <f t="shared" si="6"/>
        <v/>
      </c>
      <c r="M90" s="34">
        <f t="shared" si="7"/>
        <v>0</v>
      </c>
    </row>
    <row r="91" spans="7:13" x14ac:dyDescent="0.25">
      <c r="G91" s="10" t="str">
        <f t="shared" si="5"/>
        <v/>
      </c>
      <c r="H91" t="str">
        <f t="shared" si="6"/>
        <v/>
      </c>
      <c r="M91" s="34">
        <f t="shared" si="7"/>
        <v>0</v>
      </c>
    </row>
    <row r="92" spans="7:13" x14ac:dyDescent="0.25">
      <c r="G92" s="10" t="str">
        <f t="shared" si="5"/>
        <v/>
      </c>
      <c r="H92" t="str">
        <f t="shared" si="6"/>
        <v/>
      </c>
      <c r="M92" s="34">
        <f t="shared" si="7"/>
        <v>0</v>
      </c>
    </row>
    <row r="93" spans="7:13" x14ac:dyDescent="0.25">
      <c r="G93" s="10" t="str">
        <f t="shared" si="5"/>
        <v/>
      </c>
      <c r="H93" t="str">
        <f t="shared" si="6"/>
        <v/>
      </c>
      <c r="M93" s="34">
        <f t="shared" si="7"/>
        <v>0</v>
      </c>
    </row>
    <row r="94" spans="7:13" x14ac:dyDescent="0.25">
      <c r="G94" s="10" t="str">
        <f t="shared" si="5"/>
        <v/>
      </c>
      <c r="H94" t="str">
        <f t="shared" si="6"/>
        <v/>
      </c>
      <c r="M94" s="34">
        <f t="shared" si="7"/>
        <v>0</v>
      </c>
    </row>
    <row r="95" spans="7:13" x14ac:dyDescent="0.25">
      <c r="G95" s="10" t="str">
        <f t="shared" si="5"/>
        <v/>
      </c>
      <c r="H95" t="str">
        <f t="shared" si="6"/>
        <v/>
      </c>
      <c r="M95" s="34">
        <f t="shared" si="7"/>
        <v>0</v>
      </c>
    </row>
    <row r="96" spans="7:13" x14ac:dyDescent="0.25">
      <c r="G96" s="10" t="str">
        <f t="shared" si="5"/>
        <v/>
      </c>
      <c r="H96" t="str">
        <f t="shared" si="6"/>
        <v/>
      </c>
      <c r="M96" s="34">
        <f t="shared" si="7"/>
        <v>0</v>
      </c>
    </row>
    <row r="97" spans="7:13" x14ac:dyDescent="0.25">
      <c r="G97" s="10" t="str">
        <f t="shared" si="5"/>
        <v/>
      </c>
      <c r="H97" t="str">
        <f t="shared" si="6"/>
        <v/>
      </c>
      <c r="M97" s="34">
        <f t="shared" si="7"/>
        <v>0</v>
      </c>
    </row>
    <row r="98" spans="7:13" x14ac:dyDescent="0.25">
      <c r="G98" s="10" t="str">
        <f t="shared" si="5"/>
        <v/>
      </c>
      <c r="H98" t="str">
        <f t="shared" si="6"/>
        <v/>
      </c>
      <c r="M98" s="34">
        <f t="shared" si="7"/>
        <v>0</v>
      </c>
    </row>
    <row r="99" spans="7:13" x14ac:dyDescent="0.25">
      <c r="G99" s="10" t="str">
        <f t="shared" si="5"/>
        <v/>
      </c>
      <c r="H99" t="str">
        <f t="shared" si="6"/>
        <v/>
      </c>
      <c r="M99" s="34">
        <f t="shared" si="7"/>
        <v>0</v>
      </c>
    </row>
    <row r="100" spans="7:13" x14ac:dyDescent="0.25">
      <c r="G100" s="10" t="str">
        <f t="shared" si="5"/>
        <v/>
      </c>
      <c r="H100" t="str">
        <f t="shared" si="6"/>
        <v/>
      </c>
      <c r="M100" s="34">
        <f t="shared" si="7"/>
        <v>0</v>
      </c>
    </row>
    <row r="101" spans="7:13" x14ac:dyDescent="0.25">
      <c r="G101" s="10" t="str">
        <f t="shared" si="5"/>
        <v/>
      </c>
      <c r="H101" t="str">
        <f t="shared" si="6"/>
        <v/>
      </c>
      <c r="M101" s="34">
        <f t="shared" si="7"/>
        <v>0</v>
      </c>
    </row>
    <row r="102" spans="7:13" x14ac:dyDescent="0.25">
      <c r="G102" s="10" t="str">
        <f t="shared" si="5"/>
        <v/>
      </c>
      <c r="H102" t="str">
        <f t="shared" si="6"/>
        <v/>
      </c>
      <c r="M102" s="34">
        <f t="shared" si="7"/>
        <v>0</v>
      </c>
    </row>
    <row r="103" spans="7:13" x14ac:dyDescent="0.25">
      <c r="G103" s="10" t="str">
        <f t="shared" si="5"/>
        <v/>
      </c>
      <c r="H103" t="str">
        <f t="shared" si="6"/>
        <v/>
      </c>
      <c r="M103" s="34">
        <f t="shared" si="7"/>
        <v>0</v>
      </c>
    </row>
    <row r="104" spans="7:13" x14ac:dyDescent="0.25">
      <c r="G104" s="10" t="str">
        <f t="shared" si="5"/>
        <v/>
      </c>
      <c r="H104" t="str">
        <f t="shared" si="6"/>
        <v/>
      </c>
      <c r="M104" s="34">
        <f t="shared" si="7"/>
        <v>0</v>
      </c>
    </row>
    <row r="105" spans="7:13" x14ac:dyDescent="0.25">
      <c r="G105" s="10" t="str">
        <f t="shared" si="5"/>
        <v/>
      </c>
      <c r="H105" t="str">
        <f t="shared" si="6"/>
        <v/>
      </c>
      <c r="M105" s="34">
        <f t="shared" si="7"/>
        <v>0</v>
      </c>
    </row>
    <row r="106" spans="7:13" x14ac:dyDescent="0.25">
      <c r="G106" s="10" t="str">
        <f t="shared" si="5"/>
        <v/>
      </c>
      <c r="H106" t="str">
        <f t="shared" si="6"/>
        <v/>
      </c>
      <c r="M106" s="34">
        <f t="shared" si="7"/>
        <v>0</v>
      </c>
    </row>
    <row r="107" spans="7:13" x14ac:dyDescent="0.25">
      <c r="G107" s="10" t="str">
        <f t="shared" si="5"/>
        <v/>
      </c>
      <c r="H107" t="str">
        <f t="shared" si="6"/>
        <v/>
      </c>
      <c r="M107" s="34">
        <f t="shared" si="7"/>
        <v>0</v>
      </c>
    </row>
    <row r="108" spans="7:13" x14ac:dyDescent="0.25">
      <c r="G108" s="10" t="str">
        <f t="shared" si="5"/>
        <v/>
      </c>
      <c r="H108" t="str">
        <f t="shared" si="6"/>
        <v/>
      </c>
      <c r="M108" s="34">
        <f t="shared" si="7"/>
        <v>0</v>
      </c>
    </row>
    <row r="109" spans="7:13" x14ac:dyDescent="0.25">
      <c r="G109" s="10" t="str">
        <f t="shared" si="5"/>
        <v/>
      </c>
      <c r="H109" t="str">
        <f t="shared" si="6"/>
        <v/>
      </c>
      <c r="M109" s="34">
        <f t="shared" si="7"/>
        <v>0</v>
      </c>
    </row>
    <row r="110" spans="7:13" x14ac:dyDescent="0.25">
      <c r="G110" s="10" t="str">
        <f t="shared" si="5"/>
        <v/>
      </c>
      <c r="H110" t="str">
        <f t="shared" si="6"/>
        <v/>
      </c>
      <c r="M110" s="34">
        <f t="shared" si="7"/>
        <v>0</v>
      </c>
    </row>
    <row r="111" spans="7:13" x14ac:dyDescent="0.25">
      <c r="G111" s="10" t="str">
        <f t="shared" si="5"/>
        <v/>
      </c>
      <c r="H111" t="str">
        <f t="shared" si="6"/>
        <v/>
      </c>
      <c r="M111" s="34">
        <f t="shared" si="7"/>
        <v>0</v>
      </c>
    </row>
    <row r="112" spans="7:13" x14ac:dyDescent="0.25">
      <c r="G112" s="10" t="str">
        <f t="shared" si="5"/>
        <v/>
      </c>
      <c r="H112" t="str">
        <f t="shared" si="6"/>
        <v/>
      </c>
      <c r="M112" s="34">
        <f t="shared" si="7"/>
        <v>0</v>
      </c>
    </row>
    <row r="113" spans="7:13" x14ac:dyDescent="0.25">
      <c r="G113" s="10" t="str">
        <f t="shared" si="5"/>
        <v/>
      </c>
      <c r="H113" t="str">
        <f t="shared" si="6"/>
        <v/>
      </c>
      <c r="M113" s="34">
        <f t="shared" si="7"/>
        <v>0</v>
      </c>
    </row>
    <row r="114" spans="7:13" x14ac:dyDescent="0.25">
      <c r="G114" s="10" t="str">
        <f t="shared" si="5"/>
        <v/>
      </c>
      <c r="H114" t="str">
        <f t="shared" si="6"/>
        <v/>
      </c>
      <c r="M114" s="34">
        <f t="shared" si="7"/>
        <v>0</v>
      </c>
    </row>
    <row r="115" spans="7:13" x14ac:dyDescent="0.25">
      <c r="G115" s="10" t="str">
        <f t="shared" si="5"/>
        <v/>
      </c>
      <c r="H115" t="str">
        <f t="shared" si="6"/>
        <v/>
      </c>
      <c r="M115" s="34">
        <f t="shared" si="7"/>
        <v>0</v>
      </c>
    </row>
    <row r="116" spans="7:13" x14ac:dyDescent="0.25">
      <c r="G116" s="10" t="str">
        <f t="shared" si="5"/>
        <v/>
      </c>
      <c r="H116" t="str">
        <f t="shared" si="6"/>
        <v/>
      </c>
      <c r="M116" s="34">
        <f t="shared" si="7"/>
        <v>0</v>
      </c>
    </row>
    <row r="117" spans="7:13" x14ac:dyDescent="0.25">
      <c r="G117" s="10" t="str">
        <f t="shared" si="5"/>
        <v/>
      </c>
      <c r="H117" t="str">
        <f t="shared" si="6"/>
        <v/>
      </c>
      <c r="M117" s="34">
        <f t="shared" si="7"/>
        <v>0</v>
      </c>
    </row>
    <row r="118" spans="7:13" x14ac:dyDescent="0.25">
      <c r="G118" s="10" t="str">
        <f t="shared" si="5"/>
        <v/>
      </c>
      <c r="H118" t="str">
        <f t="shared" si="6"/>
        <v/>
      </c>
      <c r="M118" s="34">
        <f t="shared" si="7"/>
        <v>0</v>
      </c>
    </row>
    <row r="119" spans="7:13" x14ac:dyDescent="0.25">
      <c r="G119" s="10" t="str">
        <f t="shared" si="5"/>
        <v/>
      </c>
      <c r="H119" t="str">
        <f t="shared" si="6"/>
        <v/>
      </c>
      <c r="M119" s="34">
        <f t="shared" si="7"/>
        <v>0</v>
      </c>
    </row>
    <row r="120" spans="7:13" x14ac:dyDescent="0.25">
      <c r="G120" s="10" t="str">
        <f t="shared" si="5"/>
        <v/>
      </c>
      <c r="H120" t="str">
        <f t="shared" si="6"/>
        <v/>
      </c>
      <c r="M120" s="34">
        <f t="shared" si="7"/>
        <v>0</v>
      </c>
    </row>
    <row r="121" spans="7:13" x14ac:dyDescent="0.25">
      <c r="G121" s="10" t="str">
        <f t="shared" si="5"/>
        <v/>
      </c>
      <c r="H121" t="str">
        <f t="shared" si="6"/>
        <v/>
      </c>
      <c r="M121" s="34">
        <f t="shared" si="7"/>
        <v>0</v>
      </c>
    </row>
    <row r="122" spans="7:13" x14ac:dyDescent="0.25">
      <c r="G122" s="10" t="str">
        <f t="shared" si="5"/>
        <v/>
      </c>
      <c r="H122" t="str">
        <f t="shared" si="6"/>
        <v/>
      </c>
      <c r="M122" s="34">
        <f t="shared" si="7"/>
        <v>0</v>
      </c>
    </row>
    <row r="123" spans="7:13" x14ac:dyDescent="0.25">
      <c r="G123" s="10" t="str">
        <f t="shared" si="5"/>
        <v/>
      </c>
      <c r="H123" t="str">
        <f t="shared" si="6"/>
        <v/>
      </c>
      <c r="M123" s="34">
        <f t="shared" si="7"/>
        <v>0</v>
      </c>
    </row>
    <row r="124" spans="7:13" x14ac:dyDescent="0.25">
      <c r="G124" s="10" t="str">
        <f t="shared" si="5"/>
        <v/>
      </c>
      <c r="H124" t="str">
        <f t="shared" si="6"/>
        <v/>
      </c>
      <c r="M124" s="34">
        <f t="shared" si="7"/>
        <v>0</v>
      </c>
    </row>
    <row r="125" spans="7:13" x14ac:dyDescent="0.25">
      <c r="G125" s="10" t="str">
        <f t="shared" si="5"/>
        <v/>
      </c>
      <c r="H125" t="str">
        <f t="shared" si="6"/>
        <v/>
      </c>
      <c r="M125" s="34">
        <f t="shared" si="7"/>
        <v>0</v>
      </c>
    </row>
    <row r="126" spans="7:13" x14ac:dyDescent="0.25">
      <c r="G126" s="10" t="str">
        <f t="shared" si="5"/>
        <v/>
      </c>
      <c r="H126" t="str">
        <f t="shared" si="6"/>
        <v/>
      </c>
      <c r="M126" s="34">
        <f t="shared" si="7"/>
        <v>0</v>
      </c>
    </row>
    <row r="127" spans="7:13" x14ac:dyDescent="0.25">
      <c r="G127" s="10" t="str">
        <f t="shared" si="5"/>
        <v/>
      </c>
      <c r="H127" t="str">
        <f t="shared" si="6"/>
        <v/>
      </c>
      <c r="M127" s="34">
        <f t="shared" si="7"/>
        <v>0</v>
      </c>
    </row>
    <row r="128" spans="7:13" x14ac:dyDescent="0.25">
      <c r="G128" s="10" t="str">
        <f t="shared" si="5"/>
        <v/>
      </c>
      <c r="H128" t="str">
        <f t="shared" si="6"/>
        <v/>
      </c>
      <c r="M128" s="34">
        <f t="shared" si="7"/>
        <v>0</v>
      </c>
    </row>
    <row r="129" spans="7:13" x14ac:dyDescent="0.25">
      <c r="G129" s="10" t="str">
        <f t="shared" si="5"/>
        <v/>
      </c>
      <c r="H129" t="str">
        <f t="shared" si="6"/>
        <v/>
      </c>
      <c r="M129" s="34">
        <f t="shared" si="7"/>
        <v>0</v>
      </c>
    </row>
    <row r="130" spans="7:13" x14ac:dyDescent="0.25">
      <c r="G130" s="10" t="str">
        <f t="shared" ref="G130:G193" si="8">IF(F130&gt;0,"RECETTE",IF(F130&lt;0,"DÉPENSE",""))</f>
        <v/>
      </c>
      <c r="H130" t="str">
        <f t="shared" ref="H130:H193" si="9">+IF(ISNUMBER(D130),D130,"")</f>
        <v/>
      </c>
      <c r="M130" s="34">
        <f t="shared" si="7"/>
        <v>0</v>
      </c>
    </row>
    <row r="131" spans="7:13" x14ac:dyDescent="0.25">
      <c r="G131" s="10" t="str">
        <f t="shared" si="8"/>
        <v/>
      </c>
      <c r="H131" t="str">
        <f t="shared" si="9"/>
        <v/>
      </c>
      <c r="M131" s="34">
        <f t="shared" ref="M131:M194" si="10">IF(AND(E131="Chèque",G131="RECETTE"),F131,0)</f>
        <v>0</v>
      </c>
    </row>
    <row r="132" spans="7:13" x14ac:dyDescent="0.25">
      <c r="G132" s="10" t="str">
        <f t="shared" si="8"/>
        <v/>
      </c>
      <c r="H132" t="str">
        <f t="shared" si="9"/>
        <v/>
      </c>
      <c r="M132" s="34">
        <f t="shared" si="10"/>
        <v>0</v>
      </c>
    </row>
    <row r="133" spans="7:13" x14ac:dyDescent="0.25">
      <c r="G133" s="10" t="str">
        <f t="shared" si="8"/>
        <v/>
      </c>
      <c r="H133" t="str">
        <f t="shared" si="9"/>
        <v/>
      </c>
      <c r="M133" s="34">
        <f t="shared" si="10"/>
        <v>0</v>
      </c>
    </row>
    <row r="134" spans="7:13" x14ac:dyDescent="0.25">
      <c r="G134" s="10" t="str">
        <f t="shared" si="8"/>
        <v/>
      </c>
      <c r="H134" t="str">
        <f t="shared" si="9"/>
        <v/>
      </c>
      <c r="M134" s="34">
        <f t="shared" si="10"/>
        <v>0</v>
      </c>
    </row>
    <row r="135" spans="7:13" x14ac:dyDescent="0.25">
      <c r="G135" s="10" t="str">
        <f t="shared" si="8"/>
        <v/>
      </c>
      <c r="H135" t="str">
        <f t="shared" si="9"/>
        <v/>
      </c>
      <c r="M135" s="34">
        <f t="shared" si="10"/>
        <v>0</v>
      </c>
    </row>
    <row r="136" spans="7:13" x14ac:dyDescent="0.25">
      <c r="G136" s="10" t="str">
        <f t="shared" si="8"/>
        <v/>
      </c>
      <c r="H136" t="str">
        <f t="shared" si="9"/>
        <v/>
      </c>
      <c r="M136" s="34">
        <f t="shared" si="10"/>
        <v>0</v>
      </c>
    </row>
    <row r="137" spans="7:13" x14ac:dyDescent="0.25">
      <c r="G137" s="10" t="str">
        <f t="shared" si="8"/>
        <v/>
      </c>
      <c r="H137" t="str">
        <f t="shared" si="9"/>
        <v/>
      </c>
      <c r="M137" s="34">
        <f t="shared" si="10"/>
        <v>0</v>
      </c>
    </row>
    <row r="138" spans="7:13" x14ac:dyDescent="0.25">
      <c r="G138" s="10" t="str">
        <f t="shared" si="8"/>
        <v/>
      </c>
      <c r="H138" t="str">
        <f t="shared" si="9"/>
        <v/>
      </c>
      <c r="M138" s="34">
        <f t="shared" si="10"/>
        <v>0</v>
      </c>
    </row>
    <row r="139" spans="7:13" x14ac:dyDescent="0.25">
      <c r="G139" s="10" t="str">
        <f t="shared" si="8"/>
        <v/>
      </c>
      <c r="H139" t="str">
        <f t="shared" si="9"/>
        <v/>
      </c>
      <c r="M139" s="34">
        <f t="shared" si="10"/>
        <v>0</v>
      </c>
    </row>
    <row r="140" spans="7:13" x14ac:dyDescent="0.25">
      <c r="G140" s="10" t="str">
        <f t="shared" si="8"/>
        <v/>
      </c>
      <c r="H140" t="str">
        <f t="shared" si="9"/>
        <v/>
      </c>
      <c r="M140" s="34">
        <f t="shared" si="10"/>
        <v>0</v>
      </c>
    </row>
    <row r="141" spans="7:13" x14ac:dyDescent="0.25">
      <c r="G141" s="10" t="str">
        <f t="shared" si="8"/>
        <v/>
      </c>
      <c r="H141" t="str">
        <f t="shared" si="9"/>
        <v/>
      </c>
      <c r="M141" s="34">
        <f t="shared" si="10"/>
        <v>0</v>
      </c>
    </row>
    <row r="142" spans="7:13" x14ac:dyDescent="0.25">
      <c r="G142" s="10" t="str">
        <f t="shared" si="8"/>
        <v/>
      </c>
      <c r="H142" t="str">
        <f t="shared" si="9"/>
        <v/>
      </c>
      <c r="M142" s="34">
        <f t="shared" si="10"/>
        <v>0</v>
      </c>
    </row>
    <row r="143" spans="7:13" x14ac:dyDescent="0.25">
      <c r="G143" s="10" t="str">
        <f t="shared" si="8"/>
        <v/>
      </c>
      <c r="H143" t="str">
        <f t="shared" si="9"/>
        <v/>
      </c>
      <c r="M143" s="34">
        <f t="shared" si="10"/>
        <v>0</v>
      </c>
    </row>
    <row r="144" spans="7:13" x14ac:dyDescent="0.25">
      <c r="G144" s="10" t="str">
        <f t="shared" si="8"/>
        <v/>
      </c>
      <c r="H144" t="str">
        <f t="shared" si="9"/>
        <v/>
      </c>
      <c r="M144" s="34">
        <f t="shared" si="10"/>
        <v>0</v>
      </c>
    </row>
    <row r="145" spans="7:13" x14ac:dyDescent="0.25">
      <c r="G145" s="10" t="str">
        <f t="shared" si="8"/>
        <v/>
      </c>
      <c r="H145" t="str">
        <f t="shared" si="9"/>
        <v/>
      </c>
      <c r="M145" s="34">
        <f t="shared" si="10"/>
        <v>0</v>
      </c>
    </row>
    <row r="146" spans="7:13" x14ac:dyDescent="0.25">
      <c r="G146" s="10" t="str">
        <f t="shared" si="8"/>
        <v/>
      </c>
      <c r="H146" t="str">
        <f t="shared" si="9"/>
        <v/>
      </c>
      <c r="M146" s="34">
        <f t="shared" si="10"/>
        <v>0</v>
      </c>
    </row>
    <row r="147" spans="7:13" x14ac:dyDescent="0.25">
      <c r="G147" s="10" t="str">
        <f t="shared" si="8"/>
        <v/>
      </c>
      <c r="H147" t="str">
        <f t="shared" si="9"/>
        <v/>
      </c>
      <c r="M147" s="34">
        <f t="shared" si="10"/>
        <v>0</v>
      </c>
    </row>
    <row r="148" spans="7:13" x14ac:dyDescent="0.25">
      <c r="G148" s="10" t="str">
        <f t="shared" si="8"/>
        <v/>
      </c>
      <c r="H148" t="str">
        <f t="shared" si="9"/>
        <v/>
      </c>
      <c r="M148" s="34">
        <f t="shared" si="10"/>
        <v>0</v>
      </c>
    </row>
    <row r="149" spans="7:13" x14ac:dyDescent="0.25">
      <c r="G149" s="10" t="str">
        <f t="shared" si="8"/>
        <v/>
      </c>
      <c r="H149" t="str">
        <f t="shared" si="9"/>
        <v/>
      </c>
      <c r="M149" s="34">
        <f t="shared" si="10"/>
        <v>0</v>
      </c>
    </row>
    <row r="150" spans="7:13" x14ac:dyDescent="0.25">
      <c r="G150" s="10" t="str">
        <f t="shared" si="8"/>
        <v/>
      </c>
      <c r="H150" t="str">
        <f t="shared" si="9"/>
        <v/>
      </c>
      <c r="M150" s="34">
        <f t="shared" si="10"/>
        <v>0</v>
      </c>
    </row>
    <row r="151" spans="7:13" x14ac:dyDescent="0.25">
      <c r="G151" s="10" t="str">
        <f t="shared" si="8"/>
        <v/>
      </c>
      <c r="H151" t="str">
        <f t="shared" si="9"/>
        <v/>
      </c>
      <c r="M151" s="34">
        <f t="shared" si="10"/>
        <v>0</v>
      </c>
    </row>
    <row r="152" spans="7:13" x14ac:dyDescent="0.25">
      <c r="G152" s="10" t="str">
        <f t="shared" si="8"/>
        <v/>
      </c>
      <c r="H152" t="str">
        <f t="shared" si="9"/>
        <v/>
      </c>
      <c r="M152" s="34">
        <f t="shared" si="10"/>
        <v>0</v>
      </c>
    </row>
    <row r="153" spans="7:13" x14ac:dyDescent="0.25">
      <c r="G153" s="10" t="str">
        <f t="shared" si="8"/>
        <v/>
      </c>
      <c r="H153" t="str">
        <f t="shared" si="9"/>
        <v/>
      </c>
      <c r="M153" s="34">
        <f t="shared" si="10"/>
        <v>0</v>
      </c>
    </row>
    <row r="154" spans="7:13" x14ac:dyDescent="0.25">
      <c r="G154" s="10" t="str">
        <f t="shared" si="8"/>
        <v/>
      </c>
      <c r="H154" t="str">
        <f t="shared" si="9"/>
        <v/>
      </c>
      <c r="M154" s="34">
        <f t="shared" si="10"/>
        <v>0</v>
      </c>
    </row>
    <row r="155" spans="7:13" x14ac:dyDescent="0.25">
      <c r="G155" s="10" t="str">
        <f t="shared" si="8"/>
        <v/>
      </c>
      <c r="H155" t="str">
        <f t="shared" si="9"/>
        <v/>
      </c>
      <c r="M155" s="34">
        <f t="shared" si="10"/>
        <v>0</v>
      </c>
    </row>
    <row r="156" spans="7:13" x14ac:dyDescent="0.25">
      <c r="G156" s="10" t="str">
        <f t="shared" si="8"/>
        <v/>
      </c>
      <c r="H156" t="str">
        <f t="shared" si="9"/>
        <v/>
      </c>
      <c r="M156" s="34">
        <f t="shared" si="10"/>
        <v>0</v>
      </c>
    </row>
    <row r="157" spans="7:13" x14ac:dyDescent="0.25">
      <c r="G157" s="10" t="str">
        <f t="shared" si="8"/>
        <v/>
      </c>
      <c r="H157" t="str">
        <f t="shared" si="9"/>
        <v/>
      </c>
      <c r="M157" s="34">
        <f t="shared" si="10"/>
        <v>0</v>
      </c>
    </row>
    <row r="158" spans="7:13" x14ac:dyDescent="0.25">
      <c r="G158" s="10" t="str">
        <f t="shared" si="8"/>
        <v/>
      </c>
      <c r="H158" t="str">
        <f t="shared" si="9"/>
        <v/>
      </c>
      <c r="M158" s="34">
        <f t="shared" si="10"/>
        <v>0</v>
      </c>
    </row>
    <row r="159" spans="7:13" x14ac:dyDescent="0.25">
      <c r="G159" s="10" t="str">
        <f t="shared" si="8"/>
        <v/>
      </c>
      <c r="H159" t="str">
        <f t="shared" si="9"/>
        <v/>
      </c>
      <c r="M159" s="34">
        <f t="shared" si="10"/>
        <v>0</v>
      </c>
    </row>
    <row r="160" spans="7:13" x14ac:dyDescent="0.25">
      <c r="G160" s="10" t="str">
        <f t="shared" si="8"/>
        <v/>
      </c>
      <c r="H160" t="str">
        <f t="shared" si="9"/>
        <v/>
      </c>
      <c r="M160" s="34">
        <f t="shared" si="10"/>
        <v>0</v>
      </c>
    </row>
    <row r="161" spans="7:13" x14ac:dyDescent="0.25">
      <c r="G161" s="10" t="str">
        <f t="shared" si="8"/>
        <v/>
      </c>
      <c r="H161" t="str">
        <f t="shared" si="9"/>
        <v/>
      </c>
      <c r="M161" s="34">
        <f t="shared" si="10"/>
        <v>0</v>
      </c>
    </row>
    <row r="162" spans="7:13" x14ac:dyDescent="0.25">
      <c r="G162" s="10" t="str">
        <f t="shared" si="8"/>
        <v/>
      </c>
      <c r="H162" t="str">
        <f t="shared" si="9"/>
        <v/>
      </c>
      <c r="M162" s="34">
        <f t="shared" si="10"/>
        <v>0</v>
      </c>
    </row>
    <row r="163" spans="7:13" x14ac:dyDescent="0.25">
      <c r="G163" s="10" t="str">
        <f t="shared" si="8"/>
        <v/>
      </c>
      <c r="H163" t="str">
        <f t="shared" si="9"/>
        <v/>
      </c>
      <c r="M163" s="34">
        <f t="shared" si="10"/>
        <v>0</v>
      </c>
    </row>
    <row r="164" spans="7:13" x14ac:dyDescent="0.25">
      <c r="G164" s="10" t="str">
        <f t="shared" si="8"/>
        <v/>
      </c>
      <c r="H164" t="str">
        <f t="shared" si="9"/>
        <v/>
      </c>
      <c r="M164" s="34">
        <f t="shared" si="10"/>
        <v>0</v>
      </c>
    </row>
    <row r="165" spans="7:13" x14ac:dyDescent="0.25">
      <c r="G165" s="10" t="str">
        <f t="shared" si="8"/>
        <v/>
      </c>
      <c r="H165" t="str">
        <f t="shared" si="9"/>
        <v/>
      </c>
      <c r="M165" s="34">
        <f t="shared" si="10"/>
        <v>0</v>
      </c>
    </row>
    <row r="166" spans="7:13" x14ac:dyDescent="0.25">
      <c r="G166" s="10" t="str">
        <f t="shared" si="8"/>
        <v/>
      </c>
      <c r="H166" t="str">
        <f t="shared" si="9"/>
        <v/>
      </c>
      <c r="M166" s="34">
        <f t="shared" si="10"/>
        <v>0</v>
      </c>
    </row>
    <row r="167" spans="7:13" x14ac:dyDescent="0.25">
      <c r="G167" s="10" t="str">
        <f t="shared" si="8"/>
        <v/>
      </c>
      <c r="H167" t="str">
        <f t="shared" si="9"/>
        <v/>
      </c>
      <c r="M167" s="34">
        <f t="shared" si="10"/>
        <v>0</v>
      </c>
    </row>
    <row r="168" spans="7:13" x14ac:dyDescent="0.25">
      <c r="G168" s="10" t="str">
        <f t="shared" si="8"/>
        <v/>
      </c>
      <c r="H168" t="str">
        <f t="shared" si="9"/>
        <v/>
      </c>
      <c r="M168" s="34">
        <f t="shared" si="10"/>
        <v>0</v>
      </c>
    </row>
    <row r="169" spans="7:13" x14ac:dyDescent="0.25">
      <c r="G169" s="10" t="str">
        <f t="shared" si="8"/>
        <v/>
      </c>
      <c r="H169" t="str">
        <f t="shared" si="9"/>
        <v/>
      </c>
      <c r="M169" s="34">
        <f t="shared" si="10"/>
        <v>0</v>
      </c>
    </row>
    <row r="170" spans="7:13" x14ac:dyDescent="0.25">
      <c r="G170" s="10" t="str">
        <f t="shared" si="8"/>
        <v/>
      </c>
      <c r="H170" t="str">
        <f t="shared" si="9"/>
        <v/>
      </c>
      <c r="M170" s="34">
        <f t="shared" si="10"/>
        <v>0</v>
      </c>
    </row>
    <row r="171" spans="7:13" x14ac:dyDescent="0.25">
      <c r="G171" s="10" t="str">
        <f t="shared" si="8"/>
        <v/>
      </c>
      <c r="H171" t="str">
        <f t="shared" si="9"/>
        <v/>
      </c>
      <c r="M171" s="34">
        <f t="shared" si="10"/>
        <v>0</v>
      </c>
    </row>
    <row r="172" spans="7:13" x14ac:dyDescent="0.25">
      <c r="G172" s="10" t="str">
        <f t="shared" si="8"/>
        <v/>
      </c>
      <c r="H172" t="str">
        <f t="shared" si="9"/>
        <v/>
      </c>
      <c r="M172" s="34">
        <f t="shared" si="10"/>
        <v>0</v>
      </c>
    </row>
    <row r="173" spans="7:13" x14ac:dyDescent="0.25">
      <c r="G173" s="10" t="str">
        <f t="shared" si="8"/>
        <v/>
      </c>
      <c r="H173" t="str">
        <f t="shared" si="9"/>
        <v/>
      </c>
      <c r="M173" s="34">
        <f t="shared" si="10"/>
        <v>0</v>
      </c>
    </row>
    <row r="174" spans="7:13" x14ac:dyDescent="0.25">
      <c r="G174" s="10" t="str">
        <f t="shared" si="8"/>
        <v/>
      </c>
      <c r="H174" t="str">
        <f t="shared" si="9"/>
        <v/>
      </c>
      <c r="M174" s="34">
        <f t="shared" si="10"/>
        <v>0</v>
      </c>
    </row>
    <row r="175" spans="7:13" x14ac:dyDescent="0.25">
      <c r="G175" s="10" t="str">
        <f t="shared" si="8"/>
        <v/>
      </c>
      <c r="H175" t="str">
        <f t="shared" si="9"/>
        <v/>
      </c>
      <c r="M175" s="34">
        <f t="shared" si="10"/>
        <v>0</v>
      </c>
    </row>
    <row r="176" spans="7:13" x14ac:dyDescent="0.25">
      <c r="G176" s="10" t="str">
        <f t="shared" si="8"/>
        <v/>
      </c>
      <c r="H176" t="str">
        <f t="shared" si="9"/>
        <v/>
      </c>
      <c r="M176" s="34">
        <f t="shared" si="10"/>
        <v>0</v>
      </c>
    </row>
    <row r="177" spans="7:13" x14ac:dyDescent="0.25">
      <c r="G177" s="10" t="str">
        <f t="shared" si="8"/>
        <v/>
      </c>
      <c r="H177" t="str">
        <f t="shared" si="9"/>
        <v/>
      </c>
      <c r="M177" s="34">
        <f t="shared" si="10"/>
        <v>0</v>
      </c>
    </row>
    <row r="178" spans="7:13" x14ac:dyDescent="0.25">
      <c r="G178" s="10" t="str">
        <f t="shared" si="8"/>
        <v/>
      </c>
      <c r="H178" t="str">
        <f t="shared" si="9"/>
        <v/>
      </c>
      <c r="M178" s="34">
        <f t="shared" si="10"/>
        <v>0</v>
      </c>
    </row>
    <row r="179" spans="7:13" x14ac:dyDescent="0.25">
      <c r="G179" s="10" t="str">
        <f t="shared" si="8"/>
        <v/>
      </c>
      <c r="H179" t="str">
        <f t="shared" si="9"/>
        <v/>
      </c>
      <c r="M179" s="34">
        <f t="shared" si="10"/>
        <v>0</v>
      </c>
    </row>
    <row r="180" spans="7:13" x14ac:dyDescent="0.25">
      <c r="G180" s="10" t="str">
        <f t="shared" si="8"/>
        <v/>
      </c>
      <c r="H180" t="str">
        <f t="shared" si="9"/>
        <v/>
      </c>
      <c r="M180" s="34">
        <f t="shared" si="10"/>
        <v>0</v>
      </c>
    </row>
    <row r="181" spans="7:13" x14ac:dyDescent="0.25">
      <c r="G181" s="10" t="str">
        <f t="shared" si="8"/>
        <v/>
      </c>
      <c r="H181" t="str">
        <f t="shared" si="9"/>
        <v/>
      </c>
      <c r="M181" s="34">
        <f t="shared" si="10"/>
        <v>0</v>
      </c>
    </row>
    <row r="182" spans="7:13" x14ac:dyDescent="0.25">
      <c r="G182" s="10" t="str">
        <f t="shared" si="8"/>
        <v/>
      </c>
      <c r="H182" t="str">
        <f t="shared" si="9"/>
        <v/>
      </c>
      <c r="M182" s="34">
        <f t="shared" si="10"/>
        <v>0</v>
      </c>
    </row>
    <row r="183" spans="7:13" x14ac:dyDescent="0.25">
      <c r="G183" s="10" t="str">
        <f t="shared" si="8"/>
        <v/>
      </c>
      <c r="H183" t="str">
        <f t="shared" si="9"/>
        <v/>
      </c>
      <c r="M183" s="34">
        <f t="shared" si="10"/>
        <v>0</v>
      </c>
    </row>
    <row r="184" spans="7:13" x14ac:dyDescent="0.25">
      <c r="G184" s="10" t="str">
        <f t="shared" si="8"/>
        <v/>
      </c>
      <c r="H184" t="str">
        <f t="shared" si="9"/>
        <v/>
      </c>
      <c r="M184" s="34">
        <f t="shared" si="10"/>
        <v>0</v>
      </c>
    </row>
    <row r="185" spans="7:13" x14ac:dyDescent="0.25">
      <c r="G185" s="10" t="str">
        <f t="shared" si="8"/>
        <v/>
      </c>
      <c r="H185" t="str">
        <f t="shared" si="9"/>
        <v/>
      </c>
      <c r="M185" s="34">
        <f t="shared" si="10"/>
        <v>0</v>
      </c>
    </row>
    <row r="186" spans="7:13" x14ac:dyDescent="0.25">
      <c r="G186" s="10" t="str">
        <f t="shared" si="8"/>
        <v/>
      </c>
      <c r="H186" t="str">
        <f t="shared" si="9"/>
        <v/>
      </c>
      <c r="M186" s="34">
        <f t="shared" si="10"/>
        <v>0</v>
      </c>
    </row>
    <row r="187" spans="7:13" x14ac:dyDescent="0.25">
      <c r="G187" s="10" t="str">
        <f t="shared" si="8"/>
        <v/>
      </c>
      <c r="H187" t="str">
        <f t="shared" si="9"/>
        <v/>
      </c>
      <c r="M187" s="34">
        <f t="shared" si="10"/>
        <v>0</v>
      </c>
    </row>
    <row r="188" spans="7:13" x14ac:dyDescent="0.25">
      <c r="G188" s="10" t="str">
        <f t="shared" si="8"/>
        <v/>
      </c>
      <c r="H188" t="str">
        <f t="shared" si="9"/>
        <v/>
      </c>
      <c r="M188" s="34">
        <f t="shared" si="10"/>
        <v>0</v>
      </c>
    </row>
    <row r="189" spans="7:13" x14ac:dyDescent="0.25">
      <c r="G189" s="10" t="str">
        <f t="shared" si="8"/>
        <v/>
      </c>
      <c r="H189" t="str">
        <f t="shared" si="9"/>
        <v/>
      </c>
      <c r="M189" s="34">
        <f t="shared" si="10"/>
        <v>0</v>
      </c>
    </row>
    <row r="190" spans="7:13" x14ac:dyDescent="0.25">
      <c r="G190" s="10" t="str">
        <f t="shared" si="8"/>
        <v/>
      </c>
      <c r="H190" t="str">
        <f t="shared" si="9"/>
        <v/>
      </c>
      <c r="M190" s="34">
        <f t="shared" si="10"/>
        <v>0</v>
      </c>
    </row>
    <row r="191" spans="7:13" x14ac:dyDescent="0.25">
      <c r="G191" s="10" t="str">
        <f t="shared" si="8"/>
        <v/>
      </c>
      <c r="H191" t="str">
        <f t="shared" si="9"/>
        <v/>
      </c>
      <c r="M191" s="34">
        <f t="shared" si="10"/>
        <v>0</v>
      </c>
    </row>
    <row r="192" spans="7:13" x14ac:dyDescent="0.25">
      <c r="G192" s="10" t="str">
        <f t="shared" si="8"/>
        <v/>
      </c>
      <c r="H192" t="str">
        <f t="shared" si="9"/>
        <v/>
      </c>
      <c r="M192" s="34">
        <f t="shared" si="10"/>
        <v>0</v>
      </c>
    </row>
    <row r="193" spans="7:13" x14ac:dyDescent="0.25">
      <c r="G193" s="10" t="str">
        <f t="shared" si="8"/>
        <v/>
      </c>
      <c r="H193" t="str">
        <f t="shared" si="9"/>
        <v/>
      </c>
      <c r="M193" s="34">
        <f t="shared" si="10"/>
        <v>0</v>
      </c>
    </row>
    <row r="194" spans="7:13" x14ac:dyDescent="0.25">
      <c r="G194" s="10" t="str">
        <f t="shared" ref="G194:G257" si="11">IF(F194&gt;0,"RECETTE",IF(F194&lt;0,"DÉPENSE",""))</f>
        <v/>
      </c>
      <c r="H194" t="str">
        <f t="shared" ref="H194:H257" si="12">+IF(ISNUMBER(D194),D194,"")</f>
        <v/>
      </c>
      <c r="M194" s="34">
        <f t="shared" si="10"/>
        <v>0</v>
      </c>
    </row>
    <row r="195" spans="7:13" x14ac:dyDescent="0.25">
      <c r="G195" s="10" t="str">
        <f t="shared" si="11"/>
        <v/>
      </c>
      <c r="H195" t="str">
        <f t="shared" si="12"/>
        <v/>
      </c>
      <c r="M195" s="34">
        <f t="shared" ref="M195:M258" si="13">IF(AND(E195="Chèque",G195="RECETTE"),F195,0)</f>
        <v>0</v>
      </c>
    </row>
    <row r="196" spans="7:13" x14ac:dyDescent="0.25">
      <c r="G196" s="10" t="str">
        <f t="shared" si="11"/>
        <v/>
      </c>
      <c r="H196" t="str">
        <f t="shared" si="12"/>
        <v/>
      </c>
      <c r="M196" s="34">
        <f t="shared" si="13"/>
        <v>0</v>
      </c>
    </row>
    <row r="197" spans="7:13" x14ac:dyDescent="0.25">
      <c r="G197" s="10" t="str">
        <f t="shared" si="11"/>
        <v/>
      </c>
      <c r="H197" t="str">
        <f t="shared" si="12"/>
        <v/>
      </c>
      <c r="M197" s="34">
        <f t="shared" si="13"/>
        <v>0</v>
      </c>
    </row>
    <row r="198" spans="7:13" x14ac:dyDescent="0.25">
      <c r="G198" s="10" t="str">
        <f t="shared" si="11"/>
        <v/>
      </c>
      <c r="H198" t="str">
        <f t="shared" si="12"/>
        <v/>
      </c>
      <c r="M198" s="34">
        <f t="shared" si="13"/>
        <v>0</v>
      </c>
    </row>
    <row r="199" spans="7:13" x14ac:dyDescent="0.25">
      <c r="G199" s="10" t="str">
        <f t="shared" si="11"/>
        <v/>
      </c>
      <c r="H199" t="str">
        <f t="shared" si="12"/>
        <v/>
      </c>
      <c r="M199" s="34">
        <f t="shared" si="13"/>
        <v>0</v>
      </c>
    </row>
    <row r="200" spans="7:13" x14ac:dyDescent="0.25">
      <c r="G200" s="10" t="str">
        <f t="shared" si="11"/>
        <v/>
      </c>
      <c r="H200" t="str">
        <f t="shared" si="12"/>
        <v/>
      </c>
      <c r="M200" s="34">
        <f t="shared" si="13"/>
        <v>0</v>
      </c>
    </row>
    <row r="201" spans="7:13" x14ac:dyDescent="0.25">
      <c r="G201" s="10" t="str">
        <f t="shared" si="11"/>
        <v/>
      </c>
      <c r="H201" t="str">
        <f t="shared" si="12"/>
        <v/>
      </c>
      <c r="M201" s="34">
        <f t="shared" si="13"/>
        <v>0</v>
      </c>
    </row>
    <row r="202" spans="7:13" x14ac:dyDescent="0.25">
      <c r="G202" s="10" t="str">
        <f t="shared" si="11"/>
        <v/>
      </c>
      <c r="H202" t="str">
        <f t="shared" si="12"/>
        <v/>
      </c>
      <c r="M202" s="34">
        <f t="shared" si="13"/>
        <v>0</v>
      </c>
    </row>
    <row r="203" spans="7:13" x14ac:dyDescent="0.25">
      <c r="G203" s="10" t="str">
        <f t="shared" si="11"/>
        <v/>
      </c>
      <c r="H203" t="str">
        <f t="shared" si="12"/>
        <v/>
      </c>
      <c r="M203" s="34">
        <f t="shared" si="13"/>
        <v>0</v>
      </c>
    </row>
    <row r="204" spans="7:13" x14ac:dyDescent="0.25">
      <c r="G204" s="10" t="str">
        <f t="shared" si="11"/>
        <v/>
      </c>
      <c r="H204" t="str">
        <f t="shared" si="12"/>
        <v/>
      </c>
      <c r="M204" s="34">
        <f t="shared" si="13"/>
        <v>0</v>
      </c>
    </row>
    <row r="205" spans="7:13" x14ac:dyDescent="0.25">
      <c r="G205" s="10" t="str">
        <f t="shared" si="11"/>
        <v/>
      </c>
      <c r="H205" t="str">
        <f t="shared" si="12"/>
        <v/>
      </c>
      <c r="M205" s="34">
        <f t="shared" si="13"/>
        <v>0</v>
      </c>
    </row>
    <row r="206" spans="7:13" x14ac:dyDescent="0.25">
      <c r="G206" s="10" t="str">
        <f t="shared" si="11"/>
        <v/>
      </c>
      <c r="H206" t="str">
        <f t="shared" si="12"/>
        <v/>
      </c>
      <c r="M206" s="34">
        <f t="shared" si="13"/>
        <v>0</v>
      </c>
    </row>
    <row r="207" spans="7:13" x14ac:dyDescent="0.25">
      <c r="G207" s="10" t="str">
        <f t="shared" si="11"/>
        <v/>
      </c>
      <c r="H207" t="str">
        <f t="shared" si="12"/>
        <v/>
      </c>
      <c r="M207" s="34">
        <f t="shared" si="13"/>
        <v>0</v>
      </c>
    </row>
    <row r="208" spans="7:13" x14ac:dyDescent="0.25">
      <c r="G208" s="10" t="str">
        <f t="shared" si="11"/>
        <v/>
      </c>
      <c r="H208" t="str">
        <f t="shared" si="12"/>
        <v/>
      </c>
      <c r="M208" s="34">
        <f t="shared" si="13"/>
        <v>0</v>
      </c>
    </row>
    <row r="209" spans="7:13" x14ac:dyDescent="0.25">
      <c r="G209" s="10" t="str">
        <f t="shared" si="11"/>
        <v/>
      </c>
      <c r="H209" t="str">
        <f t="shared" si="12"/>
        <v/>
      </c>
      <c r="M209" s="34">
        <f t="shared" si="13"/>
        <v>0</v>
      </c>
    </row>
    <row r="210" spans="7:13" x14ac:dyDescent="0.25">
      <c r="G210" s="10" t="str">
        <f t="shared" si="11"/>
        <v/>
      </c>
      <c r="H210" t="str">
        <f t="shared" si="12"/>
        <v/>
      </c>
      <c r="M210" s="34">
        <f t="shared" si="13"/>
        <v>0</v>
      </c>
    </row>
    <row r="211" spans="7:13" x14ac:dyDescent="0.25">
      <c r="G211" s="10" t="str">
        <f t="shared" si="11"/>
        <v/>
      </c>
      <c r="H211" t="str">
        <f t="shared" si="12"/>
        <v/>
      </c>
      <c r="M211" s="34">
        <f t="shared" si="13"/>
        <v>0</v>
      </c>
    </row>
    <row r="212" spans="7:13" x14ac:dyDescent="0.25">
      <c r="G212" s="10" t="str">
        <f t="shared" si="11"/>
        <v/>
      </c>
      <c r="H212" t="str">
        <f t="shared" si="12"/>
        <v/>
      </c>
      <c r="M212" s="34">
        <f t="shared" si="13"/>
        <v>0</v>
      </c>
    </row>
    <row r="213" spans="7:13" x14ac:dyDescent="0.25">
      <c r="G213" s="10" t="str">
        <f t="shared" si="11"/>
        <v/>
      </c>
      <c r="H213" t="str">
        <f t="shared" si="12"/>
        <v/>
      </c>
      <c r="M213" s="34">
        <f t="shared" si="13"/>
        <v>0</v>
      </c>
    </row>
    <row r="214" spans="7:13" x14ac:dyDescent="0.25">
      <c r="G214" s="10" t="str">
        <f t="shared" si="11"/>
        <v/>
      </c>
      <c r="H214" t="str">
        <f t="shared" si="12"/>
        <v/>
      </c>
      <c r="M214" s="34">
        <f t="shared" si="13"/>
        <v>0</v>
      </c>
    </row>
    <row r="215" spans="7:13" x14ac:dyDescent="0.25">
      <c r="G215" s="10" t="str">
        <f t="shared" si="11"/>
        <v/>
      </c>
      <c r="H215" t="str">
        <f t="shared" si="12"/>
        <v/>
      </c>
      <c r="M215" s="34">
        <f t="shared" si="13"/>
        <v>0</v>
      </c>
    </row>
    <row r="216" spans="7:13" x14ac:dyDescent="0.25">
      <c r="G216" s="10" t="str">
        <f t="shared" si="11"/>
        <v/>
      </c>
      <c r="H216" t="str">
        <f t="shared" si="12"/>
        <v/>
      </c>
      <c r="M216" s="34">
        <f t="shared" si="13"/>
        <v>0</v>
      </c>
    </row>
    <row r="217" spans="7:13" x14ac:dyDescent="0.25">
      <c r="G217" s="10" t="str">
        <f t="shared" si="11"/>
        <v/>
      </c>
      <c r="H217" t="str">
        <f t="shared" si="12"/>
        <v/>
      </c>
      <c r="M217" s="34">
        <f t="shared" si="13"/>
        <v>0</v>
      </c>
    </row>
    <row r="218" spans="7:13" x14ac:dyDescent="0.25">
      <c r="G218" s="10" t="str">
        <f t="shared" si="11"/>
        <v/>
      </c>
      <c r="H218" t="str">
        <f t="shared" si="12"/>
        <v/>
      </c>
      <c r="M218" s="34">
        <f t="shared" si="13"/>
        <v>0</v>
      </c>
    </row>
    <row r="219" spans="7:13" x14ac:dyDescent="0.25">
      <c r="G219" s="10" t="str">
        <f t="shared" si="11"/>
        <v/>
      </c>
      <c r="H219" t="str">
        <f t="shared" si="12"/>
        <v/>
      </c>
      <c r="M219" s="34">
        <f t="shared" si="13"/>
        <v>0</v>
      </c>
    </row>
    <row r="220" spans="7:13" x14ac:dyDescent="0.25">
      <c r="G220" s="10" t="str">
        <f t="shared" si="11"/>
        <v/>
      </c>
      <c r="H220" t="str">
        <f t="shared" si="12"/>
        <v/>
      </c>
      <c r="M220" s="34">
        <f t="shared" si="13"/>
        <v>0</v>
      </c>
    </row>
    <row r="221" spans="7:13" x14ac:dyDescent="0.25">
      <c r="G221" s="10" t="str">
        <f t="shared" si="11"/>
        <v/>
      </c>
      <c r="H221" t="str">
        <f t="shared" si="12"/>
        <v/>
      </c>
      <c r="M221" s="34">
        <f t="shared" si="13"/>
        <v>0</v>
      </c>
    </row>
    <row r="222" spans="7:13" x14ac:dyDescent="0.25">
      <c r="G222" s="10" t="str">
        <f t="shared" si="11"/>
        <v/>
      </c>
      <c r="H222" t="str">
        <f t="shared" si="12"/>
        <v/>
      </c>
      <c r="M222" s="34">
        <f t="shared" si="13"/>
        <v>0</v>
      </c>
    </row>
    <row r="223" spans="7:13" x14ac:dyDescent="0.25">
      <c r="G223" s="10" t="str">
        <f t="shared" si="11"/>
        <v/>
      </c>
      <c r="H223" t="str">
        <f t="shared" si="12"/>
        <v/>
      </c>
      <c r="M223" s="34">
        <f t="shared" si="13"/>
        <v>0</v>
      </c>
    </row>
    <row r="224" spans="7:13" x14ac:dyDescent="0.25">
      <c r="G224" s="10" t="str">
        <f t="shared" si="11"/>
        <v/>
      </c>
      <c r="H224" t="str">
        <f t="shared" si="12"/>
        <v/>
      </c>
      <c r="M224" s="34">
        <f t="shared" si="13"/>
        <v>0</v>
      </c>
    </row>
    <row r="225" spans="7:13" x14ac:dyDescent="0.25">
      <c r="G225" s="10" t="str">
        <f t="shared" si="11"/>
        <v/>
      </c>
      <c r="H225" t="str">
        <f t="shared" si="12"/>
        <v/>
      </c>
      <c r="M225" s="34">
        <f t="shared" si="13"/>
        <v>0</v>
      </c>
    </row>
    <row r="226" spans="7:13" x14ac:dyDescent="0.25">
      <c r="G226" s="10" t="str">
        <f t="shared" si="11"/>
        <v/>
      </c>
      <c r="H226" t="str">
        <f t="shared" si="12"/>
        <v/>
      </c>
      <c r="M226" s="34">
        <f t="shared" si="13"/>
        <v>0</v>
      </c>
    </row>
    <row r="227" spans="7:13" x14ac:dyDescent="0.25">
      <c r="G227" s="10" t="str">
        <f t="shared" si="11"/>
        <v/>
      </c>
      <c r="H227" t="str">
        <f t="shared" si="12"/>
        <v/>
      </c>
      <c r="M227" s="34">
        <f t="shared" si="13"/>
        <v>0</v>
      </c>
    </row>
    <row r="228" spans="7:13" x14ac:dyDescent="0.25">
      <c r="G228" s="10" t="str">
        <f t="shared" si="11"/>
        <v/>
      </c>
      <c r="H228" t="str">
        <f t="shared" si="12"/>
        <v/>
      </c>
      <c r="M228" s="34">
        <f t="shared" si="13"/>
        <v>0</v>
      </c>
    </row>
    <row r="229" spans="7:13" x14ac:dyDescent="0.25">
      <c r="G229" s="10" t="str">
        <f t="shared" si="11"/>
        <v/>
      </c>
      <c r="H229" t="str">
        <f t="shared" si="12"/>
        <v/>
      </c>
      <c r="M229" s="34">
        <f t="shared" si="13"/>
        <v>0</v>
      </c>
    </row>
    <row r="230" spans="7:13" x14ac:dyDescent="0.25">
      <c r="G230" s="10" t="str">
        <f t="shared" si="11"/>
        <v/>
      </c>
      <c r="H230" t="str">
        <f t="shared" si="12"/>
        <v/>
      </c>
      <c r="M230" s="34">
        <f t="shared" si="13"/>
        <v>0</v>
      </c>
    </row>
    <row r="231" spans="7:13" x14ac:dyDescent="0.25">
      <c r="G231" s="10" t="str">
        <f t="shared" si="11"/>
        <v/>
      </c>
      <c r="H231" t="str">
        <f t="shared" si="12"/>
        <v/>
      </c>
      <c r="M231" s="34">
        <f t="shared" si="13"/>
        <v>0</v>
      </c>
    </row>
    <row r="232" spans="7:13" x14ac:dyDescent="0.25">
      <c r="G232" s="10" t="str">
        <f t="shared" si="11"/>
        <v/>
      </c>
      <c r="H232" t="str">
        <f t="shared" si="12"/>
        <v/>
      </c>
      <c r="M232" s="34">
        <f t="shared" si="13"/>
        <v>0</v>
      </c>
    </row>
    <row r="233" spans="7:13" x14ac:dyDescent="0.25">
      <c r="G233" s="10" t="str">
        <f t="shared" si="11"/>
        <v/>
      </c>
      <c r="H233" t="str">
        <f t="shared" si="12"/>
        <v/>
      </c>
      <c r="M233" s="34">
        <f t="shared" si="13"/>
        <v>0</v>
      </c>
    </row>
    <row r="234" spans="7:13" x14ac:dyDescent="0.25">
      <c r="G234" s="10" t="str">
        <f t="shared" si="11"/>
        <v/>
      </c>
      <c r="H234" t="str">
        <f t="shared" si="12"/>
        <v/>
      </c>
      <c r="M234" s="34">
        <f t="shared" si="13"/>
        <v>0</v>
      </c>
    </row>
    <row r="235" spans="7:13" x14ac:dyDescent="0.25">
      <c r="G235" s="10" t="str">
        <f t="shared" si="11"/>
        <v/>
      </c>
      <c r="H235" t="str">
        <f t="shared" si="12"/>
        <v/>
      </c>
      <c r="M235" s="34">
        <f t="shared" si="13"/>
        <v>0</v>
      </c>
    </row>
    <row r="236" spans="7:13" x14ac:dyDescent="0.25">
      <c r="G236" s="10" t="str">
        <f t="shared" si="11"/>
        <v/>
      </c>
      <c r="H236" t="str">
        <f t="shared" si="12"/>
        <v/>
      </c>
      <c r="M236" s="34">
        <f t="shared" si="13"/>
        <v>0</v>
      </c>
    </row>
    <row r="237" spans="7:13" x14ac:dyDescent="0.25">
      <c r="G237" s="10" t="str">
        <f t="shared" si="11"/>
        <v/>
      </c>
      <c r="H237" t="str">
        <f t="shared" si="12"/>
        <v/>
      </c>
      <c r="M237" s="34">
        <f t="shared" si="13"/>
        <v>0</v>
      </c>
    </row>
    <row r="238" spans="7:13" x14ac:dyDescent="0.25">
      <c r="G238" s="10" t="str">
        <f t="shared" si="11"/>
        <v/>
      </c>
      <c r="H238" t="str">
        <f t="shared" si="12"/>
        <v/>
      </c>
      <c r="M238" s="34">
        <f t="shared" si="13"/>
        <v>0</v>
      </c>
    </row>
    <row r="239" spans="7:13" x14ac:dyDescent="0.25">
      <c r="G239" s="10" t="str">
        <f t="shared" si="11"/>
        <v/>
      </c>
      <c r="H239" t="str">
        <f t="shared" si="12"/>
        <v/>
      </c>
      <c r="M239" s="34">
        <f t="shared" si="13"/>
        <v>0</v>
      </c>
    </row>
    <row r="240" spans="7:13" x14ac:dyDescent="0.25">
      <c r="G240" s="10" t="str">
        <f t="shared" si="11"/>
        <v/>
      </c>
      <c r="H240" t="str">
        <f t="shared" si="12"/>
        <v/>
      </c>
      <c r="M240" s="34">
        <f t="shared" si="13"/>
        <v>0</v>
      </c>
    </row>
    <row r="241" spans="7:13" x14ac:dyDescent="0.25">
      <c r="G241" s="10" t="str">
        <f t="shared" si="11"/>
        <v/>
      </c>
      <c r="H241" t="str">
        <f t="shared" si="12"/>
        <v/>
      </c>
      <c r="M241" s="34">
        <f t="shared" si="13"/>
        <v>0</v>
      </c>
    </row>
    <row r="242" spans="7:13" x14ac:dyDescent="0.25">
      <c r="G242" s="10" t="str">
        <f t="shared" si="11"/>
        <v/>
      </c>
      <c r="H242" t="str">
        <f t="shared" si="12"/>
        <v/>
      </c>
      <c r="M242" s="34">
        <f t="shared" si="13"/>
        <v>0</v>
      </c>
    </row>
    <row r="243" spans="7:13" x14ac:dyDescent="0.25">
      <c r="G243" s="10" t="str">
        <f t="shared" si="11"/>
        <v/>
      </c>
      <c r="H243" t="str">
        <f t="shared" si="12"/>
        <v/>
      </c>
      <c r="M243" s="34">
        <f t="shared" si="13"/>
        <v>0</v>
      </c>
    </row>
    <row r="244" spans="7:13" x14ac:dyDescent="0.25">
      <c r="G244" s="10" t="str">
        <f t="shared" si="11"/>
        <v/>
      </c>
      <c r="H244" t="str">
        <f t="shared" si="12"/>
        <v/>
      </c>
      <c r="M244" s="34">
        <f t="shared" si="13"/>
        <v>0</v>
      </c>
    </row>
    <row r="245" spans="7:13" x14ac:dyDescent="0.25">
      <c r="G245" s="10" t="str">
        <f t="shared" si="11"/>
        <v/>
      </c>
      <c r="H245" t="str">
        <f t="shared" si="12"/>
        <v/>
      </c>
      <c r="M245" s="34">
        <f t="shared" si="13"/>
        <v>0</v>
      </c>
    </row>
    <row r="246" spans="7:13" x14ac:dyDescent="0.25">
      <c r="G246" s="10" t="str">
        <f t="shared" si="11"/>
        <v/>
      </c>
      <c r="H246" t="str">
        <f t="shared" si="12"/>
        <v/>
      </c>
      <c r="M246" s="34">
        <f t="shared" si="13"/>
        <v>0</v>
      </c>
    </row>
    <row r="247" spans="7:13" x14ac:dyDescent="0.25">
      <c r="G247" s="10" t="str">
        <f t="shared" si="11"/>
        <v/>
      </c>
      <c r="H247" t="str">
        <f t="shared" si="12"/>
        <v/>
      </c>
      <c r="M247" s="34">
        <f t="shared" si="13"/>
        <v>0</v>
      </c>
    </row>
    <row r="248" spans="7:13" x14ac:dyDescent="0.25">
      <c r="G248" s="10" t="str">
        <f t="shared" si="11"/>
        <v/>
      </c>
      <c r="H248" t="str">
        <f t="shared" si="12"/>
        <v/>
      </c>
      <c r="M248" s="34">
        <f t="shared" si="13"/>
        <v>0</v>
      </c>
    </row>
    <row r="249" spans="7:13" x14ac:dyDescent="0.25">
      <c r="G249" s="10" t="str">
        <f t="shared" si="11"/>
        <v/>
      </c>
      <c r="H249" t="str">
        <f t="shared" si="12"/>
        <v/>
      </c>
      <c r="M249" s="34">
        <f t="shared" si="13"/>
        <v>0</v>
      </c>
    </row>
    <row r="250" spans="7:13" x14ac:dyDescent="0.25">
      <c r="G250" s="10" t="str">
        <f t="shared" si="11"/>
        <v/>
      </c>
      <c r="H250" t="str">
        <f t="shared" si="12"/>
        <v/>
      </c>
      <c r="M250" s="34">
        <f t="shared" si="13"/>
        <v>0</v>
      </c>
    </row>
    <row r="251" spans="7:13" x14ac:dyDescent="0.25">
      <c r="G251" s="10" t="str">
        <f t="shared" si="11"/>
        <v/>
      </c>
      <c r="H251" t="str">
        <f t="shared" si="12"/>
        <v/>
      </c>
      <c r="M251" s="34">
        <f t="shared" si="13"/>
        <v>0</v>
      </c>
    </row>
    <row r="252" spans="7:13" x14ac:dyDescent="0.25">
      <c r="G252" s="10" t="str">
        <f t="shared" si="11"/>
        <v/>
      </c>
      <c r="H252" t="str">
        <f t="shared" si="12"/>
        <v/>
      </c>
      <c r="M252" s="34">
        <f t="shared" si="13"/>
        <v>0</v>
      </c>
    </row>
    <row r="253" spans="7:13" x14ac:dyDescent="0.25">
      <c r="G253" s="10" t="str">
        <f t="shared" si="11"/>
        <v/>
      </c>
      <c r="H253" t="str">
        <f t="shared" si="12"/>
        <v/>
      </c>
      <c r="M253" s="34">
        <f t="shared" si="13"/>
        <v>0</v>
      </c>
    </row>
    <row r="254" spans="7:13" x14ac:dyDescent="0.25">
      <c r="G254" s="10" t="str">
        <f t="shared" si="11"/>
        <v/>
      </c>
      <c r="H254" t="str">
        <f t="shared" si="12"/>
        <v/>
      </c>
      <c r="M254" s="34">
        <f t="shared" si="13"/>
        <v>0</v>
      </c>
    </row>
    <row r="255" spans="7:13" x14ac:dyDescent="0.25">
      <c r="G255" s="10" t="str">
        <f t="shared" si="11"/>
        <v/>
      </c>
      <c r="H255" t="str">
        <f t="shared" si="12"/>
        <v/>
      </c>
      <c r="M255" s="34">
        <f t="shared" si="13"/>
        <v>0</v>
      </c>
    </row>
    <row r="256" spans="7:13" x14ac:dyDescent="0.25">
      <c r="G256" s="10" t="str">
        <f t="shared" si="11"/>
        <v/>
      </c>
      <c r="H256" t="str">
        <f t="shared" si="12"/>
        <v/>
      </c>
      <c r="M256" s="34">
        <f t="shared" si="13"/>
        <v>0</v>
      </c>
    </row>
    <row r="257" spans="7:13" x14ac:dyDescent="0.25">
      <c r="G257" s="10" t="str">
        <f t="shared" si="11"/>
        <v/>
      </c>
      <c r="H257" t="str">
        <f t="shared" si="12"/>
        <v/>
      </c>
      <c r="M257" s="34">
        <f t="shared" si="13"/>
        <v>0</v>
      </c>
    </row>
    <row r="258" spans="7:13" x14ac:dyDescent="0.25">
      <c r="G258" s="10" t="str">
        <f t="shared" ref="G258:G321" si="14">IF(F258&gt;0,"RECETTE",IF(F258&lt;0,"DÉPENSE",""))</f>
        <v/>
      </c>
      <c r="H258" t="str">
        <f t="shared" ref="H258:H321" si="15">+IF(ISNUMBER(D258),D258,"")</f>
        <v/>
      </c>
      <c r="M258" s="34">
        <f t="shared" si="13"/>
        <v>0</v>
      </c>
    </row>
    <row r="259" spans="7:13" x14ac:dyDescent="0.25">
      <c r="G259" s="10" t="str">
        <f t="shared" si="14"/>
        <v/>
      </c>
      <c r="H259" t="str">
        <f t="shared" si="15"/>
        <v/>
      </c>
      <c r="M259" s="34">
        <f t="shared" ref="M259:M322" si="16">IF(AND(E259="Chèque",G259="RECETTE"),F259,0)</f>
        <v>0</v>
      </c>
    </row>
    <row r="260" spans="7:13" x14ac:dyDescent="0.25">
      <c r="G260" s="10" t="str">
        <f t="shared" si="14"/>
        <v/>
      </c>
      <c r="H260" t="str">
        <f t="shared" si="15"/>
        <v/>
      </c>
      <c r="M260" s="34">
        <f t="shared" si="16"/>
        <v>0</v>
      </c>
    </row>
    <row r="261" spans="7:13" x14ac:dyDescent="0.25">
      <c r="G261" s="10" t="str">
        <f t="shared" si="14"/>
        <v/>
      </c>
      <c r="H261" t="str">
        <f t="shared" si="15"/>
        <v/>
      </c>
      <c r="M261" s="34">
        <f t="shared" si="16"/>
        <v>0</v>
      </c>
    </row>
    <row r="262" spans="7:13" x14ac:dyDescent="0.25">
      <c r="G262" s="10" t="str">
        <f t="shared" si="14"/>
        <v/>
      </c>
      <c r="H262" t="str">
        <f t="shared" si="15"/>
        <v/>
      </c>
      <c r="M262" s="34">
        <f t="shared" si="16"/>
        <v>0</v>
      </c>
    </row>
    <row r="263" spans="7:13" x14ac:dyDescent="0.25">
      <c r="G263" s="10" t="str">
        <f t="shared" si="14"/>
        <v/>
      </c>
      <c r="H263" t="str">
        <f t="shared" si="15"/>
        <v/>
      </c>
      <c r="M263" s="34">
        <f t="shared" si="16"/>
        <v>0</v>
      </c>
    </row>
    <row r="264" spans="7:13" x14ac:dyDescent="0.25">
      <c r="G264" s="10" t="str">
        <f t="shared" si="14"/>
        <v/>
      </c>
      <c r="H264" t="str">
        <f t="shared" si="15"/>
        <v/>
      </c>
      <c r="M264" s="34">
        <f t="shared" si="16"/>
        <v>0</v>
      </c>
    </row>
    <row r="265" spans="7:13" x14ac:dyDescent="0.25">
      <c r="G265" s="10" t="str">
        <f t="shared" si="14"/>
        <v/>
      </c>
      <c r="H265" t="str">
        <f t="shared" si="15"/>
        <v/>
      </c>
      <c r="M265" s="34">
        <f t="shared" si="16"/>
        <v>0</v>
      </c>
    </row>
    <row r="266" spans="7:13" x14ac:dyDescent="0.25">
      <c r="G266" s="10" t="str">
        <f t="shared" si="14"/>
        <v/>
      </c>
      <c r="H266" t="str">
        <f t="shared" si="15"/>
        <v/>
      </c>
      <c r="M266" s="34">
        <f t="shared" si="16"/>
        <v>0</v>
      </c>
    </row>
    <row r="267" spans="7:13" x14ac:dyDescent="0.25">
      <c r="G267" s="10" t="str">
        <f t="shared" si="14"/>
        <v/>
      </c>
      <c r="H267" t="str">
        <f t="shared" si="15"/>
        <v/>
      </c>
      <c r="M267" s="34">
        <f t="shared" si="16"/>
        <v>0</v>
      </c>
    </row>
    <row r="268" spans="7:13" x14ac:dyDescent="0.25">
      <c r="G268" s="10" t="str">
        <f t="shared" si="14"/>
        <v/>
      </c>
      <c r="H268" t="str">
        <f t="shared" si="15"/>
        <v/>
      </c>
      <c r="M268" s="34">
        <f t="shared" si="16"/>
        <v>0</v>
      </c>
    </row>
    <row r="269" spans="7:13" x14ac:dyDescent="0.25">
      <c r="G269" s="10" t="str">
        <f t="shared" si="14"/>
        <v/>
      </c>
      <c r="H269" t="str">
        <f t="shared" si="15"/>
        <v/>
      </c>
      <c r="M269" s="34">
        <f t="shared" si="16"/>
        <v>0</v>
      </c>
    </row>
    <row r="270" spans="7:13" x14ac:dyDescent="0.25">
      <c r="G270" s="10" t="str">
        <f t="shared" si="14"/>
        <v/>
      </c>
      <c r="H270" t="str">
        <f t="shared" si="15"/>
        <v/>
      </c>
      <c r="M270" s="34">
        <f t="shared" si="16"/>
        <v>0</v>
      </c>
    </row>
    <row r="271" spans="7:13" x14ac:dyDescent="0.25">
      <c r="G271" s="10" t="str">
        <f t="shared" si="14"/>
        <v/>
      </c>
      <c r="H271" t="str">
        <f t="shared" si="15"/>
        <v/>
      </c>
      <c r="M271" s="34">
        <f t="shared" si="16"/>
        <v>0</v>
      </c>
    </row>
    <row r="272" spans="7:13" x14ac:dyDescent="0.25">
      <c r="G272" s="10" t="str">
        <f t="shared" si="14"/>
        <v/>
      </c>
      <c r="H272" t="str">
        <f t="shared" si="15"/>
        <v/>
      </c>
      <c r="M272" s="34">
        <f t="shared" si="16"/>
        <v>0</v>
      </c>
    </row>
    <row r="273" spans="7:13" x14ac:dyDescent="0.25">
      <c r="G273" s="10" t="str">
        <f t="shared" si="14"/>
        <v/>
      </c>
      <c r="H273" t="str">
        <f t="shared" si="15"/>
        <v/>
      </c>
      <c r="M273" s="34">
        <f t="shared" si="16"/>
        <v>0</v>
      </c>
    </row>
    <row r="274" spans="7:13" x14ac:dyDescent="0.25">
      <c r="G274" s="10" t="str">
        <f t="shared" si="14"/>
        <v/>
      </c>
      <c r="H274" t="str">
        <f t="shared" si="15"/>
        <v/>
      </c>
      <c r="M274" s="34">
        <f t="shared" si="16"/>
        <v>0</v>
      </c>
    </row>
    <row r="275" spans="7:13" x14ac:dyDescent="0.25">
      <c r="G275" s="10" t="str">
        <f t="shared" si="14"/>
        <v/>
      </c>
      <c r="H275" t="str">
        <f t="shared" si="15"/>
        <v/>
      </c>
      <c r="M275" s="34">
        <f t="shared" si="16"/>
        <v>0</v>
      </c>
    </row>
    <row r="276" spans="7:13" x14ac:dyDescent="0.25">
      <c r="G276" s="10" t="str">
        <f t="shared" si="14"/>
        <v/>
      </c>
      <c r="H276" t="str">
        <f t="shared" si="15"/>
        <v/>
      </c>
      <c r="M276" s="34">
        <f t="shared" si="16"/>
        <v>0</v>
      </c>
    </row>
    <row r="277" spans="7:13" x14ac:dyDescent="0.25">
      <c r="G277" s="10" t="str">
        <f t="shared" si="14"/>
        <v/>
      </c>
      <c r="H277" t="str">
        <f t="shared" si="15"/>
        <v/>
      </c>
      <c r="M277" s="34">
        <f t="shared" si="16"/>
        <v>0</v>
      </c>
    </row>
    <row r="278" spans="7:13" x14ac:dyDescent="0.25">
      <c r="G278" s="10" t="str">
        <f t="shared" si="14"/>
        <v/>
      </c>
      <c r="H278" t="str">
        <f t="shared" si="15"/>
        <v/>
      </c>
      <c r="M278" s="34">
        <f t="shared" si="16"/>
        <v>0</v>
      </c>
    </row>
    <row r="279" spans="7:13" x14ac:dyDescent="0.25">
      <c r="G279" s="10" t="str">
        <f t="shared" si="14"/>
        <v/>
      </c>
      <c r="H279" t="str">
        <f t="shared" si="15"/>
        <v/>
      </c>
      <c r="M279" s="34">
        <f t="shared" si="16"/>
        <v>0</v>
      </c>
    </row>
    <row r="280" spans="7:13" x14ac:dyDescent="0.25">
      <c r="G280" s="10" t="str">
        <f t="shared" si="14"/>
        <v/>
      </c>
      <c r="H280" t="str">
        <f t="shared" si="15"/>
        <v/>
      </c>
      <c r="M280" s="34">
        <f t="shared" si="16"/>
        <v>0</v>
      </c>
    </row>
    <row r="281" spans="7:13" x14ac:dyDescent="0.25">
      <c r="G281" s="10" t="str">
        <f t="shared" si="14"/>
        <v/>
      </c>
      <c r="H281" t="str">
        <f t="shared" si="15"/>
        <v/>
      </c>
      <c r="M281" s="34">
        <f t="shared" si="16"/>
        <v>0</v>
      </c>
    </row>
    <row r="282" spans="7:13" x14ac:dyDescent="0.25">
      <c r="G282" s="10" t="str">
        <f t="shared" si="14"/>
        <v/>
      </c>
      <c r="H282" t="str">
        <f t="shared" si="15"/>
        <v/>
      </c>
      <c r="M282" s="34">
        <f t="shared" si="16"/>
        <v>0</v>
      </c>
    </row>
    <row r="283" spans="7:13" x14ac:dyDescent="0.25">
      <c r="G283" s="10" t="str">
        <f t="shared" si="14"/>
        <v/>
      </c>
      <c r="H283" t="str">
        <f t="shared" si="15"/>
        <v/>
      </c>
      <c r="M283" s="34">
        <f t="shared" si="16"/>
        <v>0</v>
      </c>
    </row>
    <row r="284" spans="7:13" x14ac:dyDescent="0.25">
      <c r="G284" s="10" t="str">
        <f t="shared" si="14"/>
        <v/>
      </c>
      <c r="H284" t="str">
        <f t="shared" si="15"/>
        <v/>
      </c>
      <c r="M284" s="34">
        <f t="shared" si="16"/>
        <v>0</v>
      </c>
    </row>
    <row r="285" spans="7:13" x14ac:dyDescent="0.25">
      <c r="G285" s="10" t="str">
        <f t="shared" si="14"/>
        <v/>
      </c>
      <c r="H285" t="str">
        <f t="shared" si="15"/>
        <v/>
      </c>
      <c r="M285" s="34">
        <f t="shared" si="16"/>
        <v>0</v>
      </c>
    </row>
    <row r="286" spans="7:13" x14ac:dyDescent="0.25">
      <c r="G286" s="10" t="str">
        <f t="shared" si="14"/>
        <v/>
      </c>
      <c r="H286" t="str">
        <f t="shared" si="15"/>
        <v/>
      </c>
      <c r="M286" s="34">
        <f t="shared" si="16"/>
        <v>0</v>
      </c>
    </row>
    <row r="287" spans="7:13" x14ac:dyDescent="0.25">
      <c r="G287" s="10" t="str">
        <f t="shared" si="14"/>
        <v/>
      </c>
      <c r="H287" t="str">
        <f t="shared" si="15"/>
        <v/>
      </c>
      <c r="M287" s="34">
        <f t="shared" si="16"/>
        <v>0</v>
      </c>
    </row>
    <row r="288" spans="7:13" x14ac:dyDescent="0.25">
      <c r="G288" s="10" t="str">
        <f t="shared" si="14"/>
        <v/>
      </c>
      <c r="H288" t="str">
        <f t="shared" si="15"/>
        <v/>
      </c>
      <c r="M288" s="34">
        <f t="shared" si="16"/>
        <v>0</v>
      </c>
    </row>
    <row r="289" spans="7:13" x14ac:dyDescent="0.25">
      <c r="G289" s="10" t="str">
        <f t="shared" si="14"/>
        <v/>
      </c>
      <c r="H289" t="str">
        <f t="shared" si="15"/>
        <v/>
      </c>
      <c r="M289" s="34">
        <f t="shared" si="16"/>
        <v>0</v>
      </c>
    </row>
    <row r="290" spans="7:13" x14ac:dyDescent="0.25">
      <c r="G290" s="10" t="str">
        <f t="shared" si="14"/>
        <v/>
      </c>
      <c r="H290" t="str">
        <f t="shared" si="15"/>
        <v/>
      </c>
      <c r="M290" s="34">
        <f t="shared" si="16"/>
        <v>0</v>
      </c>
    </row>
    <row r="291" spans="7:13" x14ac:dyDescent="0.25">
      <c r="G291" s="10" t="str">
        <f t="shared" si="14"/>
        <v/>
      </c>
      <c r="H291" t="str">
        <f t="shared" si="15"/>
        <v/>
      </c>
      <c r="M291" s="34">
        <f t="shared" si="16"/>
        <v>0</v>
      </c>
    </row>
    <row r="292" spans="7:13" x14ac:dyDescent="0.25">
      <c r="G292" s="10" t="str">
        <f t="shared" si="14"/>
        <v/>
      </c>
      <c r="H292" t="str">
        <f t="shared" si="15"/>
        <v/>
      </c>
      <c r="M292" s="34">
        <f t="shared" si="16"/>
        <v>0</v>
      </c>
    </row>
    <row r="293" spans="7:13" x14ac:dyDescent="0.25">
      <c r="G293" s="10" t="str">
        <f t="shared" si="14"/>
        <v/>
      </c>
      <c r="H293" t="str">
        <f t="shared" si="15"/>
        <v/>
      </c>
      <c r="M293" s="34">
        <f t="shared" si="16"/>
        <v>0</v>
      </c>
    </row>
    <row r="294" spans="7:13" x14ac:dyDescent="0.25">
      <c r="G294" s="10" t="str">
        <f t="shared" si="14"/>
        <v/>
      </c>
      <c r="H294" t="str">
        <f t="shared" si="15"/>
        <v/>
      </c>
      <c r="M294" s="34">
        <f t="shared" si="16"/>
        <v>0</v>
      </c>
    </row>
    <row r="295" spans="7:13" x14ac:dyDescent="0.25">
      <c r="G295" s="10" t="str">
        <f t="shared" si="14"/>
        <v/>
      </c>
      <c r="H295" t="str">
        <f t="shared" si="15"/>
        <v/>
      </c>
      <c r="M295" s="34">
        <f t="shared" si="16"/>
        <v>0</v>
      </c>
    </row>
    <row r="296" spans="7:13" x14ac:dyDescent="0.25">
      <c r="G296" s="10" t="str">
        <f t="shared" si="14"/>
        <v/>
      </c>
      <c r="H296" t="str">
        <f t="shared" si="15"/>
        <v/>
      </c>
      <c r="M296" s="34">
        <f t="shared" si="16"/>
        <v>0</v>
      </c>
    </row>
    <row r="297" spans="7:13" x14ac:dyDescent="0.25">
      <c r="G297" s="10" t="str">
        <f t="shared" si="14"/>
        <v/>
      </c>
      <c r="H297" t="str">
        <f t="shared" si="15"/>
        <v/>
      </c>
      <c r="M297" s="34">
        <f t="shared" si="16"/>
        <v>0</v>
      </c>
    </row>
    <row r="298" spans="7:13" x14ac:dyDescent="0.25">
      <c r="G298" s="10" t="str">
        <f t="shared" si="14"/>
        <v/>
      </c>
      <c r="H298" t="str">
        <f t="shared" si="15"/>
        <v/>
      </c>
      <c r="M298" s="34">
        <f t="shared" si="16"/>
        <v>0</v>
      </c>
    </row>
    <row r="299" spans="7:13" x14ac:dyDescent="0.25">
      <c r="G299" s="10" t="str">
        <f t="shared" si="14"/>
        <v/>
      </c>
      <c r="H299" t="str">
        <f t="shared" si="15"/>
        <v/>
      </c>
      <c r="M299" s="34">
        <f t="shared" si="16"/>
        <v>0</v>
      </c>
    </row>
    <row r="300" spans="7:13" x14ac:dyDescent="0.25">
      <c r="G300" s="10" t="str">
        <f t="shared" si="14"/>
        <v/>
      </c>
      <c r="H300" t="str">
        <f t="shared" si="15"/>
        <v/>
      </c>
      <c r="M300" s="34">
        <f t="shared" si="16"/>
        <v>0</v>
      </c>
    </row>
    <row r="301" spans="7:13" x14ac:dyDescent="0.25">
      <c r="G301" s="10" t="str">
        <f t="shared" si="14"/>
        <v/>
      </c>
      <c r="H301" t="str">
        <f t="shared" si="15"/>
        <v/>
      </c>
      <c r="M301" s="34">
        <f t="shared" si="16"/>
        <v>0</v>
      </c>
    </row>
    <row r="302" spans="7:13" x14ac:dyDescent="0.25">
      <c r="G302" s="10" t="str">
        <f t="shared" si="14"/>
        <v/>
      </c>
      <c r="H302" t="str">
        <f t="shared" si="15"/>
        <v/>
      </c>
      <c r="M302" s="34">
        <f t="shared" si="16"/>
        <v>0</v>
      </c>
    </row>
    <row r="303" spans="7:13" x14ac:dyDescent="0.25">
      <c r="G303" s="10" t="str">
        <f t="shared" si="14"/>
        <v/>
      </c>
      <c r="H303" t="str">
        <f t="shared" si="15"/>
        <v/>
      </c>
      <c r="M303" s="34">
        <f t="shared" si="16"/>
        <v>0</v>
      </c>
    </row>
    <row r="304" spans="7:13" x14ac:dyDescent="0.25">
      <c r="G304" s="10" t="str">
        <f t="shared" si="14"/>
        <v/>
      </c>
      <c r="H304" t="str">
        <f t="shared" si="15"/>
        <v/>
      </c>
      <c r="M304" s="34">
        <f t="shared" si="16"/>
        <v>0</v>
      </c>
    </row>
    <row r="305" spans="7:13" x14ac:dyDescent="0.25">
      <c r="G305" s="10" t="str">
        <f t="shared" si="14"/>
        <v/>
      </c>
      <c r="H305" t="str">
        <f t="shared" si="15"/>
        <v/>
      </c>
      <c r="M305" s="34">
        <f t="shared" si="16"/>
        <v>0</v>
      </c>
    </row>
    <row r="306" spans="7:13" x14ac:dyDescent="0.25">
      <c r="G306" s="10" t="str">
        <f t="shared" si="14"/>
        <v/>
      </c>
      <c r="H306" t="str">
        <f t="shared" si="15"/>
        <v/>
      </c>
      <c r="M306" s="34">
        <f t="shared" si="16"/>
        <v>0</v>
      </c>
    </row>
    <row r="307" spans="7:13" x14ac:dyDescent="0.25">
      <c r="G307" s="10" t="str">
        <f t="shared" si="14"/>
        <v/>
      </c>
      <c r="H307" t="str">
        <f t="shared" si="15"/>
        <v/>
      </c>
      <c r="M307" s="34">
        <f t="shared" si="16"/>
        <v>0</v>
      </c>
    </row>
    <row r="308" spans="7:13" x14ac:dyDescent="0.25">
      <c r="G308" s="10" t="str">
        <f t="shared" si="14"/>
        <v/>
      </c>
      <c r="H308" t="str">
        <f t="shared" si="15"/>
        <v/>
      </c>
      <c r="M308" s="34">
        <f t="shared" si="16"/>
        <v>0</v>
      </c>
    </row>
    <row r="309" spans="7:13" x14ac:dyDescent="0.25">
      <c r="G309" s="10" t="str">
        <f t="shared" si="14"/>
        <v/>
      </c>
      <c r="H309" t="str">
        <f t="shared" si="15"/>
        <v/>
      </c>
      <c r="M309" s="34">
        <f t="shared" si="16"/>
        <v>0</v>
      </c>
    </row>
    <row r="310" spans="7:13" x14ac:dyDescent="0.25">
      <c r="G310" s="10" t="str">
        <f t="shared" si="14"/>
        <v/>
      </c>
      <c r="H310" t="str">
        <f t="shared" si="15"/>
        <v/>
      </c>
      <c r="M310" s="34">
        <f t="shared" si="16"/>
        <v>0</v>
      </c>
    </row>
    <row r="311" spans="7:13" x14ac:dyDescent="0.25">
      <c r="G311" s="10" t="str">
        <f t="shared" si="14"/>
        <v/>
      </c>
      <c r="H311" t="str">
        <f t="shared" si="15"/>
        <v/>
      </c>
      <c r="M311" s="34">
        <f t="shared" si="16"/>
        <v>0</v>
      </c>
    </row>
    <row r="312" spans="7:13" x14ac:dyDescent="0.25">
      <c r="G312" s="10" t="str">
        <f t="shared" si="14"/>
        <v/>
      </c>
      <c r="H312" t="str">
        <f t="shared" si="15"/>
        <v/>
      </c>
      <c r="M312" s="34">
        <f t="shared" si="16"/>
        <v>0</v>
      </c>
    </row>
    <row r="313" spans="7:13" x14ac:dyDescent="0.25">
      <c r="G313" s="10" t="str">
        <f t="shared" si="14"/>
        <v/>
      </c>
      <c r="H313" t="str">
        <f t="shared" si="15"/>
        <v/>
      </c>
      <c r="M313" s="34">
        <f t="shared" si="16"/>
        <v>0</v>
      </c>
    </row>
    <row r="314" spans="7:13" x14ac:dyDescent="0.25">
      <c r="G314" s="10" t="str">
        <f t="shared" si="14"/>
        <v/>
      </c>
      <c r="H314" t="str">
        <f t="shared" si="15"/>
        <v/>
      </c>
      <c r="M314" s="34">
        <f t="shared" si="16"/>
        <v>0</v>
      </c>
    </row>
    <row r="315" spans="7:13" x14ac:dyDescent="0.25">
      <c r="G315" s="10" t="str">
        <f t="shared" si="14"/>
        <v/>
      </c>
      <c r="H315" t="str">
        <f t="shared" si="15"/>
        <v/>
      </c>
      <c r="M315" s="34">
        <f t="shared" si="16"/>
        <v>0</v>
      </c>
    </row>
    <row r="316" spans="7:13" x14ac:dyDescent="0.25">
      <c r="G316" s="10" t="str">
        <f t="shared" si="14"/>
        <v/>
      </c>
      <c r="H316" t="str">
        <f t="shared" si="15"/>
        <v/>
      </c>
      <c r="M316" s="34">
        <f t="shared" si="16"/>
        <v>0</v>
      </c>
    </row>
    <row r="317" spans="7:13" x14ac:dyDescent="0.25">
      <c r="G317" s="10" t="str">
        <f t="shared" si="14"/>
        <v/>
      </c>
      <c r="H317" t="str">
        <f t="shared" si="15"/>
        <v/>
      </c>
      <c r="M317" s="34">
        <f t="shared" si="16"/>
        <v>0</v>
      </c>
    </row>
    <row r="318" spans="7:13" x14ac:dyDescent="0.25">
      <c r="G318" s="10" t="str">
        <f t="shared" si="14"/>
        <v/>
      </c>
      <c r="H318" t="str">
        <f t="shared" si="15"/>
        <v/>
      </c>
      <c r="M318" s="34">
        <f t="shared" si="16"/>
        <v>0</v>
      </c>
    </row>
    <row r="319" spans="7:13" x14ac:dyDescent="0.25">
      <c r="G319" s="10" t="str">
        <f t="shared" si="14"/>
        <v/>
      </c>
      <c r="H319" t="str">
        <f t="shared" si="15"/>
        <v/>
      </c>
      <c r="M319" s="34">
        <f t="shared" si="16"/>
        <v>0</v>
      </c>
    </row>
    <row r="320" spans="7:13" x14ac:dyDescent="0.25">
      <c r="G320" s="10" t="str">
        <f t="shared" si="14"/>
        <v/>
      </c>
      <c r="H320" t="str">
        <f t="shared" si="15"/>
        <v/>
      </c>
      <c r="M320" s="34">
        <f t="shared" si="16"/>
        <v>0</v>
      </c>
    </row>
    <row r="321" spans="7:13" x14ac:dyDescent="0.25">
      <c r="G321" s="10" t="str">
        <f t="shared" si="14"/>
        <v/>
      </c>
      <c r="H321" t="str">
        <f t="shared" si="15"/>
        <v/>
      </c>
      <c r="M321" s="34">
        <f t="shared" si="16"/>
        <v>0</v>
      </c>
    </row>
    <row r="322" spans="7:13" x14ac:dyDescent="0.25">
      <c r="G322" s="10" t="str">
        <f t="shared" ref="G322:G385" si="17">IF(F322&gt;0,"RECETTE",IF(F322&lt;0,"DÉPENSE",""))</f>
        <v/>
      </c>
      <c r="H322" t="str">
        <f t="shared" ref="H322:H385" si="18">+IF(ISNUMBER(D322),D322,"")</f>
        <v/>
      </c>
      <c r="M322" s="34">
        <f t="shared" si="16"/>
        <v>0</v>
      </c>
    </row>
    <row r="323" spans="7:13" x14ac:dyDescent="0.25">
      <c r="G323" s="10" t="str">
        <f t="shared" si="17"/>
        <v/>
      </c>
      <c r="H323" t="str">
        <f t="shared" si="18"/>
        <v/>
      </c>
      <c r="M323" s="34">
        <f t="shared" ref="M323:M386" si="19">IF(AND(E323="Chèque",G323="RECETTE"),F323,0)</f>
        <v>0</v>
      </c>
    </row>
    <row r="324" spans="7:13" x14ac:dyDescent="0.25">
      <c r="G324" s="10" t="str">
        <f t="shared" si="17"/>
        <v/>
      </c>
      <c r="H324" t="str">
        <f t="shared" si="18"/>
        <v/>
      </c>
      <c r="M324" s="34">
        <f t="shared" si="19"/>
        <v>0</v>
      </c>
    </row>
    <row r="325" spans="7:13" x14ac:dyDescent="0.25">
      <c r="G325" s="10" t="str">
        <f t="shared" si="17"/>
        <v/>
      </c>
      <c r="H325" t="str">
        <f t="shared" si="18"/>
        <v/>
      </c>
      <c r="M325" s="34">
        <f t="shared" si="19"/>
        <v>0</v>
      </c>
    </row>
    <row r="326" spans="7:13" x14ac:dyDescent="0.25">
      <c r="G326" s="10" t="str">
        <f t="shared" si="17"/>
        <v/>
      </c>
      <c r="H326" t="str">
        <f t="shared" si="18"/>
        <v/>
      </c>
      <c r="M326" s="34">
        <f t="shared" si="19"/>
        <v>0</v>
      </c>
    </row>
    <row r="327" spans="7:13" x14ac:dyDescent="0.25">
      <c r="G327" s="10" t="str">
        <f t="shared" si="17"/>
        <v/>
      </c>
      <c r="H327" t="str">
        <f t="shared" si="18"/>
        <v/>
      </c>
      <c r="M327" s="34">
        <f t="shared" si="19"/>
        <v>0</v>
      </c>
    </row>
    <row r="328" spans="7:13" x14ac:dyDescent="0.25">
      <c r="G328" s="10" t="str">
        <f t="shared" si="17"/>
        <v/>
      </c>
      <c r="H328" t="str">
        <f t="shared" si="18"/>
        <v/>
      </c>
      <c r="M328" s="34">
        <f t="shared" si="19"/>
        <v>0</v>
      </c>
    </row>
    <row r="329" spans="7:13" x14ac:dyDescent="0.25">
      <c r="G329" s="10" t="str">
        <f t="shared" si="17"/>
        <v/>
      </c>
      <c r="H329" t="str">
        <f t="shared" si="18"/>
        <v/>
      </c>
      <c r="M329" s="34">
        <f t="shared" si="19"/>
        <v>0</v>
      </c>
    </row>
    <row r="330" spans="7:13" x14ac:dyDescent="0.25">
      <c r="G330" s="10" t="str">
        <f t="shared" si="17"/>
        <v/>
      </c>
      <c r="H330" t="str">
        <f t="shared" si="18"/>
        <v/>
      </c>
      <c r="M330" s="34">
        <f t="shared" si="19"/>
        <v>0</v>
      </c>
    </row>
    <row r="331" spans="7:13" x14ac:dyDescent="0.25">
      <c r="G331" s="10" t="str">
        <f t="shared" si="17"/>
        <v/>
      </c>
      <c r="H331" t="str">
        <f t="shared" si="18"/>
        <v/>
      </c>
      <c r="M331" s="34">
        <f t="shared" si="19"/>
        <v>0</v>
      </c>
    </row>
    <row r="332" spans="7:13" x14ac:dyDescent="0.25">
      <c r="G332" s="10" t="str">
        <f t="shared" si="17"/>
        <v/>
      </c>
      <c r="H332" t="str">
        <f t="shared" si="18"/>
        <v/>
      </c>
      <c r="M332" s="34">
        <f t="shared" si="19"/>
        <v>0</v>
      </c>
    </row>
    <row r="333" spans="7:13" x14ac:dyDescent="0.25">
      <c r="G333" s="10" t="str">
        <f t="shared" si="17"/>
        <v/>
      </c>
      <c r="H333" t="str">
        <f t="shared" si="18"/>
        <v/>
      </c>
      <c r="M333" s="34">
        <f t="shared" si="19"/>
        <v>0</v>
      </c>
    </row>
    <row r="334" spans="7:13" x14ac:dyDescent="0.25">
      <c r="G334" s="10" t="str">
        <f t="shared" si="17"/>
        <v/>
      </c>
      <c r="H334" t="str">
        <f t="shared" si="18"/>
        <v/>
      </c>
      <c r="M334" s="34">
        <f t="shared" si="19"/>
        <v>0</v>
      </c>
    </row>
    <row r="335" spans="7:13" x14ac:dyDescent="0.25">
      <c r="G335" s="10" t="str">
        <f t="shared" si="17"/>
        <v/>
      </c>
      <c r="H335" t="str">
        <f t="shared" si="18"/>
        <v/>
      </c>
      <c r="M335" s="34">
        <f t="shared" si="19"/>
        <v>0</v>
      </c>
    </row>
    <row r="336" spans="7:13" x14ac:dyDescent="0.25">
      <c r="G336" s="10" t="str">
        <f t="shared" si="17"/>
        <v/>
      </c>
      <c r="H336" t="str">
        <f t="shared" si="18"/>
        <v/>
      </c>
      <c r="M336" s="34">
        <f t="shared" si="19"/>
        <v>0</v>
      </c>
    </row>
    <row r="337" spans="7:13" x14ac:dyDescent="0.25">
      <c r="G337" s="10" t="str">
        <f t="shared" si="17"/>
        <v/>
      </c>
      <c r="H337" t="str">
        <f t="shared" si="18"/>
        <v/>
      </c>
      <c r="M337" s="34">
        <f t="shared" si="19"/>
        <v>0</v>
      </c>
    </row>
    <row r="338" spans="7:13" x14ac:dyDescent="0.25">
      <c r="G338" s="10" t="str">
        <f t="shared" si="17"/>
        <v/>
      </c>
      <c r="H338" t="str">
        <f t="shared" si="18"/>
        <v/>
      </c>
      <c r="M338" s="34">
        <f t="shared" si="19"/>
        <v>0</v>
      </c>
    </row>
    <row r="339" spans="7:13" x14ac:dyDescent="0.25">
      <c r="G339" s="10" t="str">
        <f t="shared" si="17"/>
        <v/>
      </c>
      <c r="H339" t="str">
        <f t="shared" si="18"/>
        <v/>
      </c>
      <c r="M339" s="34">
        <f t="shared" si="19"/>
        <v>0</v>
      </c>
    </row>
    <row r="340" spans="7:13" x14ac:dyDescent="0.25">
      <c r="G340" s="10" t="str">
        <f t="shared" si="17"/>
        <v/>
      </c>
      <c r="H340" t="str">
        <f t="shared" si="18"/>
        <v/>
      </c>
      <c r="M340" s="34">
        <f t="shared" si="19"/>
        <v>0</v>
      </c>
    </row>
    <row r="341" spans="7:13" x14ac:dyDescent="0.25">
      <c r="G341" s="10" t="str">
        <f t="shared" si="17"/>
        <v/>
      </c>
      <c r="H341" t="str">
        <f t="shared" si="18"/>
        <v/>
      </c>
      <c r="M341" s="34">
        <f t="shared" si="19"/>
        <v>0</v>
      </c>
    </row>
    <row r="342" spans="7:13" x14ac:dyDescent="0.25">
      <c r="G342" s="10" t="str">
        <f t="shared" si="17"/>
        <v/>
      </c>
      <c r="H342" t="str">
        <f t="shared" si="18"/>
        <v/>
      </c>
      <c r="M342" s="34">
        <f t="shared" si="19"/>
        <v>0</v>
      </c>
    </row>
    <row r="343" spans="7:13" x14ac:dyDescent="0.25">
      <c r="G343" s="10" t="str">
        <f t="shared" si="17"/>
        <v/>
      </c>
      <c r="H343" t="str">
        <f t="shared" si="18"/>
        <v/>
      </c>
      <c r="M343" s="34">
        <f t="shared" si="19"/>
        <v>0</v>
      </c>
    </row>
    <row r="344" spans="7:13" x14ac:dyDescent="0.25">
      <c r="G344" s="10" t="str">
        <f t="shared" si="17"/>
        <v/>
      </c>
      <c r="H344" t="str">
        <f t="shared" si="18"/>
        <v/>
      </c>
      <c r="M344" s="34">
        <f t="shared" si="19"/>
        <v>0</v>
      </c>
    </row>
    <row r="345" spans="7:13" x14ac:dyDescent="0.25">
      <c r="G345" s="10" t="str">
        <f t="shared" si="17"/>
        <v/>
      </c>
      <c r="H345" t="str">
        <f t="shared" si="18"/>
        <v/>
      </c>
      <c r="M345" s="34">
        <f t="shared" si="19"/>
        <v>0</v>
      </c>
    </row>
    <row r="346" spans="7:13" x14ac:dyDescent="0.25">
      <c r="G346" s="10" t="str">
        <f t="shared" si="17"/>
        <v/>
      </c>
      <c r="H346" t="str">
        <f t="shared" si="18"/>
        <v/>
      </c>
      <c r="M346" s="34">
        <f t="shared" si="19"/>
        <v>0</v>
      </c>
    </row>
    <row r="347" spans="7:13" x14ac:dyDescent="0.25">
      <c r="G347" s="10" t="str">
        <f t="shared" si="17"/>
        <v/>
      </c>
      <c r="H347" t="str">
        <f t="shared" si="18"/>
        <v/>
      </c>
      <c r="M347" s="34">
        <f t="shared" si="19"/>
        <v>0</v>
      </c>
    </row>
    <row r="348" spans="7:13" x14ac:dyDescent="0.25">
      <c r="G348" s="10" t="str">
        <f t="shared" si="17"/>
        <v/>
      </c>
      <c r="H348" t="str">
        <f t="shared" si="18"/>
        <v/>
      </c>
      <c r="M348" s="34">
        <f t="shared" si="19"/>
        <v>0</v>
      </c>
    </row>
    <row r="349" spans="7:13" x14ac:dyDescent="0.25">
      <c r="G349" s="10" t="str">
        <f t="shared" si="17"/>
        <v/>
      </c>
      <c r="H349" t="str">
        <f t="shared" si="18"/>
        <v/>
      </c>
      <c r="M349" s="34">
        <f t="shared" si="19"/>
        <v>0</v>
      </c>
    </row>
    <row r="350" spans="7:13" x14ac:dyDescent="0.25">
      <c r="G350" s="10" t="str">
        <f t="shared" si="17"/>
        <v/>
      </c>
      <c r="H350" t="str">
        <f t="shared" si="18"/>
        <v/>
      </c>
      <c r="M350" s="34">
        <f t="shared" si="19"/>
        <v>0</v>
      </c>
    </row>
    <row r="351" spans="7:13" x14ac:dyDescent="0.25">
      <c r="G351" s="10" t="str">
        <f t="shared" si="17"/>
        <v/>
      </c>
      <c r="H351" t="str">
        <f t="shared" si="18"/>
        <v/>
      </c>
      <c r="M351" s="34">
        <f t="shared" si="19"/>
        <v>0</v>
      </c>
    </row>
    <row r="352" spans="7:13" x14ac:dyDescent="0.25">
      <c r="G352" s="10" t="str">
        <f t="shared" si="17"/>
        <v/>
      </c>
      <c r="H352" t="str">
        <f t="shared" si="18"/>
        <v/>
      </c>
      <c r="M352" s="34">
        <f t="shared" si="19"/>
        <v>0</v>
      </c>
    </row>
    <row r="353" spans="7:13" x14ac:dyDescent="0.25">
      <c r="G353" s="10" t="str">
        <f t="shared" si="17"/>
        <v/>
      </c>
      <c r="H353" t="str">
        <f t="shared" si="18"/>
        <v/>
      </c>
      <c r="M353" s="34">
        <f t="shared" si="19"/>
        <v>0</v>
      </c>
    </row>
    <row r="354" spans="7:13" x14ac:dyDescent="0.25">
      <c r="G354" s="10" t="str">
        <f t="shared" si="17"/>
        <v/>
      </c>
      <c r="H354" t="str">
        <f t="shared" si="18"/>
        <v/>
      </c>
      <c r="M354" s="34">
        <f t="shared" si="19"/>
        <v>0</v>
      </c>
    </row>
    <row r="355" spans="7:13" x14ac:dyDescent="0.25">
      <c r="G355" s="10" t="str">
        <f t="shared" si="17"/>
        <v/>
      </c>
      <c r="H355" t="str">
        <f t="shared" si="18"/>
        <v/>
      </c>
      <c r="M355" s="34">
        <f t="shared" si="19"/>
        <v>0</v>
      </c>
    </row>
    <row r="356" spans="7:13" x14ac:dyDescent="0.25">
      <c r="G356" s="10" t="str">
        <f t="shared" si="17"/>
        <v/>
      </c>
      <c r="H356" t="str">
        <f t="shared" si="18"/>
        <v/>
      </c>
      <c r="M356" s="34">
        <f t="shared" si="19"/>
        <v>0</v>
      </c>
    </row>
    <row r="357" spans="7:13" x14ac:dyDescent="0.25">
      <c r="G357" s="10" t="str">
        <f t="shared" si="17"/>
        <v/>
      </c>
      <c r="H357" t="str">
        <f t="shared" si="18"/>
        <v/>
      </c>
      <c r="M357" s="34">
        <f t="shared" si="19"/>
        <v>0</v>
      </c>
    </row>
    <row r="358" spans="7:13" x14ac:dyDescent="0.25">
      <c r="G358" s="10" t="str">
        <f t="shared" si="17"/>
        <v/>
      </c>
      <c r="H358" t="str">
        <f t="shared" si="18"/>
        <v/>
      </c>
      <c r="M358" s="34">
        <f t="shared" si="19"/>
        <v>0</v>
      </c>
    </row>
    <row r="359" spans="7:13" x14ac:dyDescent="0.25">
      <c r="G359" s="10" t="str">
        <f t="shared" si="17"/>
        <v/>
      </c>
      <c r="H359" t="str">
        <f t="shared" si="18"/>
        <v/>
      </c>
      <c r="M359" s="34">
        <f t="shared" si="19"/>
        <v>0</v>
      </c>
    </row>
    <row r="360" spans="7:13" x14ac:dyDescent="0.25">
      <c r="G360" s="10" t="str">
        <f t="shared" si="17"/>
        <v/>
      </c>
      <c r="H360" t="str">
        <f t="shared" si="18"/>
        <v/>
      </c>
      <c r="M360" s="34">
        <f t="shared" si="19"/>
        <v>0</v>
      </c>
    </row>
    <row r="361" spans="7:13" x14ac:dyDescent="0.25">
      <c r="G361" s="10" t="str">
        <f t="shared" si="17"/>
        <v/>
      </c>
      <c r="H361" t="str">
        <f t="shared" si="18"/>
        <v/>
      </c>
      <c r="M361" s="34">
        <f t="shared" si="19"/>
        <v>0</v>
      </c>
    </row>
    <row r="362" spans="7:13" x14ac:dyDescent="0.25">
      <c r="G362" s="10" t="str">
        <f t="shared" si="17"/>
        <v/>
      </c>
      <c r="H362" t="str">
        <f t="shared" si="18"/>
        <v/>
      </c>
      <c r="M362" s="34">
        <f t="shared" si="19"/>
        <v>0</v>
      </c>
    </row>
    <row r="363" spans="7:13" x14ac:dyDescent="0.25">
      <c r="G363" s="10" t="str">
        <f t="shared" si="17"/>
        <v/>
      </c>
      <c r="H363" t="str">
        <f t="shared" si="18"/>
        <v/>
      </c>
      <c r="M363" s="34">
        <f t="shared" si="19"/>
        <v>0</v>
      </c>
    </row>
    <row r="364" spans="7:13" x14ac:dyDescent="0.25">
      <c r="G364" s="10" t="str">
        <f t="shared" si="17"/>
        <v/>
      </c>
      <c r="H364" t="str">
        <f t="shared" si="18"/>
        <v/>
      </c>
      <c r="M364" s="34">
        <f t="shared" si="19"/>
        <v>0</v>
      </c>
    </row>
    <row r="365" spans="7:13" x14ac:dyDescent="0.25">
      <c r="G365" s="10" t="str">
        <f t="shared" si="17"/>
        <v/>
      </c>
      <c r="H365" t="str">
        <f t="shared" si="18"/>
        <v/>
      </c>
      <c r="M365" s="34">
        <f t="shared" si="19"/>
        <v>0</v>
      </c>
    </row>
    <row r="366" spans="7:13" x14ac:dyDescent="0.25">
      <c r="G366" s="10" t="str">
        <f t="shared" si="17"/>
        <v/>
      </c>
      <c r="H366" t="str">
        <f t="shared" si="18"/>
        <v/>
      </c>
      <c r="M366" s="34">
        <f t="shared" si="19"/>
        <v>0</v>
      </c>
    </row>
    <row r="367" spans="7:13" x14ac:dyDescent="0.25">
      <c r="G367" s="10" t="str">
        <f t="shared" si="17"/>
        <v/>
      </c>
      <c r="H367" t="str">
        <f t="shared" si="18"/>
        <v/>
      </c>
      <c r="M367" s="34">
        <f t="shared" si="19"/>
        <v>0</v>
      </c>
    </row>
    <row r="368" spans="7:13" x14ac:dyDescent="0.25">
      <c r="G368" s="10" t="str">
        <f t="shared" si="17"/>
        <v/>
      </c>
      <c r="H368" t="str">
        <f t="shared" si="18"/>
        <v/>
      </c>
      <c r="M368" s="34">
        <f t="shared" si="19"/>
        <v>0</v>
      </c>
    </row>
    <row r="369" spans="7:13" x14ac:dyDescent="0.25">
      <c r="G369" s="10" t="str">
        <f t="shared" si="17"/>
        <v/>
      </c>
      <c r="H369" t="str">
        <f t="shared" si="18"/>
        <v/>
      </c>
      <c r="M369" s="34">
        <f t="shared" si="19"/>
        <v>0</v>
      </c>
    </row>
    <row r="370" spans="7:13" x14ac:dyDescent="0.25">
      <c r="G370" s="10" t="str">
        <f t="shared" si="17"/>
        <v/>
      </c>
      <c r="H370" t="str">
        <f t="shared" si="18"/>
        <v/>
      </c>
      <c r="M370" s="34">
        <f t="shared" si="19"/>
        <v>0</v>
      </c>
    </row>
    <row r="371" spans="7:13" x14ac:dyDescent="0.25">
      <c r="G371" s="10" t="str">
        <f t="shared" si="17"/>
        <v/>
      </c>
      <c r="H371" t="str">
        <f t="shared" si="18"/>
        <v/>
      </c>
      <c r="M371" s="34">
        <f t="shared" si="19"/>
        <v>0</v>
      </c>
    </row>
    <row r="372" spans="7:13" x14ac:dyDescent="0.25">
      <c r="G372" s="10" t="str">
        <f t="shared" si="17"/>
        <v/>
      </c>
      <c r="H372" t="str">
        <f t="shared" si="18"/>
        <v/>
      </c>
      <c r="M372" s="34">
        <f t="shared" si="19"/>
        <v>0</v>
      </c>
    </row>
    <row r="373" spans="7:13" x14ac:dyDescent="0.25">
      <c r="G373" s="10" t="str">
        <f t="shared" si="17"/>
        <v/>
      </c>
      <c r="H373" t="str">
        <f t="shared" si="18"/>
        <v/>
      </c>
      <c r="M373" s="34">
        <f t="shared" si="19"/>
        <v>0</v>
      </c>
    </row>
    <row r="374" spans="7:13" x14ac:dyDescent="0.25">
      <c r="G374" s="10" t="str">
        <f t="shared" si="17"/>
        <v/>
      </c>
      <c r="H374" t="str">
        <f t="shared" si="18"/>
        <v/>
      </c>
      <c r="M374" s="34">
        <f t="shared" si="19"/>
        <v>0</v>
      </c>
    </row>
    <row r="375" spans="7:13" x14ac:dyDescent="0.25">
      <c r="G375" s="10" t="str">
        <f t="shared" si="17"/>
        <v/>
      </c>
      <c r="H375" t="str">
        <f t="shared" si="18"/>
        <v/>
      </c>
      <c r="M375" s="34">
        <f t="shared" si="19"/>
        <v>0</v>
      </c>
    </row>
    <row r="376" spans="7:13" x14ac:dyDescent="0.25">
      <c r="G376" s="10" t="str">
        <f t="shared" si="17"/>
        <v/>
      </c>
      <c r="H376" t="str">
        <f t="shared" si="18"/>
        <v/>
      </c>
      <c r="M376" s="34">
        <f t="shared" si="19"/>
        <v>0</v>
      </c>
    </row>
    <row r="377" spans="7:13" x14ac:dyDescent="0.25">
      <c r="G377" s="10" t="str">
        <f t="shared" si="17"/>
        <v/>
      </c>
      <c r="H377" t="str">
        <f t="shared" si="18"/>
        <v/>
      </c>
      <c r="M377" s="34">
        <f t="shared" si="19"/>
        <v>0</v>
      </c>
    </row>
    <row r="378" spans="7:13" x14ac:dyDescent="0.25">
      <c r="G378" s="10" t="str">
        <f t="shared" si="17"/>
        <v/>
      </c>
      <c r="H378" t="str">
        <f t="shared" si="18"/>
        <v/>
      </c>
      <c r="M378" s="34">
        <f t="shared" si="19"/>
        <v>0</v>
      </c>
    </row>
    <row r="379" spans="7:13" x14ac:dyDescent="0.25">
      <c r="G379" s="10" t="str">
        <f t="shared" si="17"/>
        <v/>
      </c>
      <c r="H379" t="str">
        <f t="shared" si="18"/>
        <v/>
      </c>
      <c r="M379" s="34">
        <f t="shared" si="19"/>
        <v>0</v>
      </c>
    </row>
    <row r="380" spans="7:13" x14ac:dyDescent="0.25">
      <c r="G380" s="10" t="str">
        <f t="shared" si="17"/>
        <v/>
      </c>
      <c r="H380" t="str">
        <f t="shared" si="18"/>
        <v/>
      </c>
      <c r="M380" s="34">
        <f t="shared" si="19"/>
        <v>0</v>
      </c>
    </row>
    <row r="381" spans="7:13" x14ac:dyDescent="0.25">
      <c r="G381" s="10" t="str">
        <f t="shared" si="17"/>
        <v/>
      </c>
      <c r="H381" t="str">
        <f t="shared" si="18"/>
        <v/>
      </c>
      <c r="M381" s="34">
        <f t="shared" si="19"/>
        <v>0</v>
      </c>
    </row>
    <row r="382" spans="7:13" x14ac:dyDescent="0.25">
      <c r="G382" s="10" t="str">
        <f t="shared" si="17"/>
        <v/>
      </c>
      <c r="H382" t="str">
        <f t="shared" si="18"/>
        <v/>
      </c>
      <c r="M382" s="34">
        <f t="shared" si="19"/>
        <v>0</v>
      </c>
    </row>
    <row r="383" spans="7:13" x14ac:dyDescent="0.25">
      <c r="G383" s="10" t="str">
        <f t="shared" si="17"/>
        <v/>
      </c>
      <c r="H383" t="str">
        <f t="shared" si="18"/>
        <v/>
      </c>
      <c r="M383" s="34">
        <f t="shared" si="19"/>
        <v>0</v>
      </c>
    </row>
    <row r="384" spans="7:13" x14ac:dyDescent="0.25">
      <c r="G384" s="10" t="str">
        <f t="shared" si="17"/>
        <v/>
      </c>
      <c r="H384" t="str">
        <f t="shared" si="18"/>
        <v/>
      </c>
      <c r="M384" s="34">
        <f t="shared" si="19"/>
        <v>0</v>
      </c>
    </row>
    <row r="385" spans="7:13" x14ac:dyDescent="0.25">
      <c r="G385" s="10" t="str">
        <f t="shared" si="17"/>
        <v/>
      </c>
      <c r="H385" t="str">
        <f t="shared" si="18"/>
        <v/>
      </c>
      <c r="M385" s="34">
        <f t="shared" si="19"/>
        <v>0</v>
      </c>
    </row>
    <row r="386" spans="7:13" x14ac:dyDescent="0.25">
      <c r="G386" s="10" t="str">
        <f t="shared" ref="G386:G449" si="20">IF(F386&gt;0,"RECETTE",IF(F386&lt;0,"DÉPENSE",""))</f>
        <v/>
      </c>
      <c r="H386" t="str">
        <f t="shared" ref="H386:H449" si="21">+IF(ISNUMBER(D386),D386,"")</f>
        <v/>
      </c>
      <c r="M386" s="34">
        <f t="shared" si="19"/>
        <v>0</v>
      </c>
    </row>
    <row r="387" spans="7:13" x14ac:dyDescent="0.25">
      <c r="G387" s="10" t="str">
        <f t="shared" si="20"/>
        <v/>
      </c>
      <c r="H387" t="str">
        <f t="shared" si="21"/>
        <v/>
      </c>
      <c r="M387" s="34">
        <f t="shared" ref="M387:M450" si="22">IF(AND(E387="Chèque",G387="RECETTE"),F387,0)</f>
        <v>0</v>
      </c>
    </row>
    <row r="388" spans="7:13" x14ac:dyDescent="0.25">
      <c r="G388" s="10" t="str">
        <f t="shared" si="20"/>
        <v/>
      </c>
      <c r="H388" t="str">
        <f t="shared" si="21"/>
        <v/>
      </c>
      <c r="M388" s="34">
        <f t="shared" si="22"/>
        <v>0</v>
      </c>
    </row>
    <row r="389" spans="7:13" x14ac:dyDescent="0.25">
      <c r="G389" s="10" t="str">
        <f t="shared" si="20"/>
        <v/>
      </c>
      <c r="H389" t="str">
        <f t="shared" si="21"/>
        <v/>
      </c>
      <c r="M389" s="34">
        <f t="shared" si="22"/>
        <v>0</v>
      </c>
    </row>
    <row r="390" spans="7:13" x14ac:dyDescent="0.25">
      <c r="G390" s="10" t="str">
        <f t="shared" si="20"/>
        <v/>
      </c>
      <c r="H390" t="str">
        <f t="shared" si="21"/>
        <v/>
      </c>
      <c r="M390" s="34">
        <f t="shared" si="22"/>
        <v>0</v>
      </c>
    </row>
    <row r="391" spans="7:13" x14ac:dyDescent="0.25">
      <c r="G391" s="10" t="str">
        <f t="shared" si="20"/>
        <v/>
      </c>
      <c r="H391" t="str">
        <f t="shared" si="21"/>
        <v/>
      </c>
      <c r="M391" s="34">
        <f t="shared" si="22"/>
        <v>0</v>
      </c>
    </row>
    <row r="392" spans="7:13" x14ac:dyDescent="0.25">
      <c r="G392" s="10" t="str">
        <f t="shared" si="20"/>
        <v/>
      </c>
      <c r="H392" t="str">
        <f t="shared" si="21"/>
        <v/>
      </c>
      <c r="M392" s="34">
        <f t="shared" si="22"/>
        <v>0</v>
      </c>
    </row>
    <row r="393" spans="7:13" x14ac:dyDescent="0.25">
      <c r="G393" s="10" t="str">
        <f t="shared" si="20"/>
        <v/>
      </c>
      <c r="H393" t="str">
        <f t="shared" si="21"/>
        <v/>
      </c>
      <c r="M393" s="34">
        <f t="shared" si="22"/>
        <v>0</v>
      </c>
    </row>
    <row r="394" spans="7:13" x14ac:dyDescent="0.25">
      <c r="G394" s="10" t="str">
        <f t="shared" si="20"/>
        <v/>
      </c>
      <c r="H394" t="str">
        <f t="shared" si="21"/>
        <v/>
      </c>
      <c r="M394" s="34">
        <f t="shared" si="22"/>
        <v>0</v>
      </c>
    </row>
    <row r="395" spans="7:13" x14ac:dyDescent="0.25">
      <c r="G395" s="10" t="str">
        <f t="shared" si="20"/>
        <v/>
      </c>
      <c r="H395" t="str">
        <f t="shared" si="21"/>
        <v/>
      </c>
      <c r="M395" s="34">
        <f t="shared" si="22"/>
        <v>0</v>
      </c>
    </row>
    <row r="396" spans="7:13" x14ac:dyDescent="0.25">
      <c r="G396" s="10" t="str">
        <f t="shared" si="20"/>
        <v/>
      </c>
      <c r="H396" t="str">
        <f t="shared" si="21"/>
        <v/>
      </c>
      <c r="M396" s="34">
        <f t="shared" si="22"/>
        <v>0</v>
      </c>
    </row>
    <row r="397" spans="7:13" x14ac:dyDescent="0.25">
      <c r="G397" s="10" t="str">
        <f t="shared" si="20"/>
        <v/>
      </c>
      <c r="H397" t="str">
        <f t="shared" si="21"/>
        <v/>
      </c>
      <c r="M397" s="34">
        <f t="shared" si="22"/>
        <v>0</v>
      </c>
    </row>
    <row r="398" spans="7:13" x14ac:dyDescent="0.25">
      <c r="G398" s="10" t="str">
        <f t="shared" si="20"/>
        <v/>
      </c>
      <c r="H398" t="str">
        <f t="shared" si="21"/>
        <v/>
      </c>
      <c r="M398" s="34">
        <f t="shared" si="22"/>
        <v>0</v>
      </c>
    </row>
    <row r="399" spans="7:13" x14ac:dyDescent="0.25">
      <c r="G399" s="10" t="str">
        <f t="shared" si="20"/>
        <v/>
      </c>
      <c r="H399" t="str">
        <f t="shared" si="21"/>
        <v/>
      </c>
      <c r="M399" s="34">
        <f t="shared" si="22"/>
        <v>0</v>
      </c>
    </row>
    <row r="400" spans="7:13" x14ac:dyDescent="0.25">
      <c r="G400" s="10" t="str">
        <f t="shared" si="20"/>
        <v/>
      </c>
      <c r="H400" t="str">
        <f t="shared" si="21"/>
        <v/>
      </c>
      <c r="M400" s="34">
        <f t="shared" si="22"/>
        <v>0</v>
      </c>
    </row>
    <row r="401" spans="7:13" x14ac:dyDescent="0.25">
      <c r="G401" s="10" t="str">
        <f t="shared" si="20"/>
        <v/>
      </c>
      <c r="H401" t="str">
        <f t="shared" si="21"/>
        <v/>
      </c>
      <c r="M401" s="34">
        <f t="shared" si="22"/>
        <v>0</v>
      </c>
    </row>
    <row r="402" spans="7:13" x14ac:dyDescent="0.25">
      <c r="G402" s="10" t="str">
        <f t="shared" si="20"/>
        <v/>
      </c>
      <c r="H402" t="str">
        <f t="shared" si="21"/>
        <v/>
      </c>
      <c r="M402" s="34">
        <f t="shared" si="22"/>
        <v>0</v>
      </c>
    </row>
    <row r="403" spans="7:13" x14ac:dyDescent="0.25">
      <c r="G403" s="10" t="str">
        <f t="shared" si="20"/>
        <v/>
      </c>
      <c r="H403" t="str">
        <f t="shared" si="21"/>
        <v/>
      </c>
      <c r="M403" s="34">
        <f t="shared" si="22"/>
        <v>0</v>
      </c>
    </row>
    <row r="404" spans="7:13" x14ac:dyDescent="0.25">
      <c r="G404" s="10" t="str">
        <f t="shared" si="20"/>
        <v/>
      </c>
      <c r="H404" t="str">
        <f t="shared" si="21"/>
        <v/>
      </c>
      <c r="M404" s="34">
        <f t="shared" si="22"/>
        <v>0</v>
      </c>
    </row>
    <row r="405" spans="7:13" x14ac:dyDescent="0.25">
      <c r="G405" s="10" t="str">
        <f t="shared" si="20"/>
        <v/>
      </c>
      <c r="H405" t="str">
        <f t="shared" si="21"/>
        <v/>
      </c>
      <c r="M405" s="34">
        <f t="shared" si="22"/>
        <v>0</v>
      </c>
    </row>
    <row r="406" spans="7:13" x14ac:dyDescent="0.25">
      <c r="G406" s="10" t="str">
        <f t="shared" si="20"/>
        <v/>
      </c>
      <c r="H406" t="str">
        <f t="shared" si="21"/>
        <v/>
      </c>
      <c r="M406" s="34">
        <f t="shared" si="22"/>
        <v>0</v>
      </c>
    </row>
    <row r="407" spans="7:13" x14ac:dyDescent="0.25">
      <c r="G407" s="10" t="str">
        <f t="shared" si="20"/>
        <v/>
      </c>
      <c r="H407" t="str">
        <f t="shared" si="21"/>
        <v/>
      </c>
      <c r="M407" s="34">
        <f t="shared" si="22"/>
        <v>0</v>
      </c>
    </row>
    <row r="408" spans="7:13" x14ac:dyDescent="0.25">
      <c r="G408" s="10" t="str">
        <f t="shared" si="20"/>
        <v/>
      </c>
      <c r="H408" t="str">
        <f t="shared" si="21"/>
        <v/>
      </c>
      <c r="M408" s="34">
        <f t="shared" si="22"/>
        <v>0</v>
      </c>
    </row>
    <row r="409" spans="7:13" x14ac:dyDescent="0.25">
      <c r="G409" s="10" t="str">
        <f t="shared" si="20"/>
        <v/>
      </c>
      <c r="H409" t="str">
        <f t="shared" si="21"/>
        <v/>
      </c>
      <c r="M409" s="34">
        <f t="shared" si="22"/>
        <v>0</v>
      </c>
    </row>
    <row r="410" spans="7:13" x14ac:dyDescent="0.25">
      <c r="G410" s="10" t="str">
        <f t="shared" si="20"/>
        <v/>
      </c>
      <c r="H410" t="str">
        <f t="shared" si="21"/>
        <v/>
      </c>
      <c r="M410" s="34">
        <f t="shared" si="22"/>
        <v>0</v>
      </c>
    </row>
    <row r="411" spans="7:13" x14ac:dyDescent="0.25">
      <c r="G411" s="10" t="str">
        <f t="shared" si="20"/>
        <v/>
      </c>
      <c r="H411" t="str">
        <f t="shared" si="21"/>
        <v/>
      </c>
      <c r="M411" s="34">
        <f t="shared" si="22"/>
        <v>0</v>
      </c>
    </row>
    <row r="412" spans="7:13" x14ac:dyDescent="0.25">
      <c r="G412" s="10" t="str">
        <f t="shared" si="20"/>
        <v/>
      </c>
      <c r="H412" t="str">
        <f t="shared" si="21"/>
        <v/>
      </c>
      <c r="M412" s="34">
        <f t="shared" si="22"/>
        <v>0</v>
      </c>
    </row>
    <row r="413" spans="7:13" x14ac:dyDescent="0.25">
      <c r="G413" s="10" t="str">
        <f t="shared" si="20"/>
        <v/>
      </c>
      <c r="H413" t="str">
        <f t="shared" si="21"/>
        <v/>
      </c>
      <c r="M413" s="34">
        <f t="shared" si="22"/>
        <v>0</v>
      </c>
    </row>
    <row r="414" spans="7:13" x14ac:dyDescent="0.25">
      <c r="G414" s="10" t="str">
        <f t="shared" si="20"/>
        <v/>
      </c>
      <c r="H414" t="str">
        <f t="shared" si="21"/>
        <v/>
      </c>
      <c r="M414" s="34">
        <f t="shared" si="22"/>
        <v>0</v>
      </c>
    </row>
    <row r="415" spans="7:13" x14ac:dyDescent="0.25">
      <c r="G415" s="10" t="str">
        <f t="shared" si="20"/>
        <v/>
      </c>
      <c r="H415" t="str">
        <f t="shared" si="21"/>
        <v/>
      </c>
      <c r="M415" s="34">
        <f t="shared" si="22"/>
        <v>0</v>
      </c>
    </row>
    <row r="416" spans="7:13" x14ac:dyDescent="0.25">
      <c r="G416" s="10" t="str">
        <f t="shared" si="20"/>
        <v/>
      </c>
      <c r="H416" t="str">
        <f t="shared" si="21"/>
        <v/>
      </c>
      <c r="M416" s="34">
        <f t="shared" si="22"/>
        <v>0</v>
      </c>
    </row>
    <row r="417" spans="7:13" x14ac:dyDescent="0.25">
      <c r="G417" s="10" t="str">
        <f t="shared" si="20"/>
        <v/>
      </c>
      <c r="H417" t="str">
        <f t="shared" si="21"/>
        <v/>
      </c>
      <c r="M417" s="34">
        <f t="shared" si="22"/>
        <v>0</v>
      </c>
    </row>
    <row r="418" spans="7:13" x14ac:dyDescent="0.25">
      <c r="G418" s="10" t="str">
        <f t="shared" si="20"/>
        <v/>
      </c>
      <c r="H418" t="str">
        <f t="shared" si="21"/>
        <v/>
      </c>
      <c r="M418" s="34">
        <f t="shared" si="22"/>
        <v>0</v>
      </c>
    </row>
    <row r="419" spans="7:13" x14ac:dyDescent="0.25">
      <c r="G419" s="10" t="str">
        <f t="shared" si="20"/>
        <v/>
      </c>
      <c r="H419" t="str">
        <f t="shared" si="21"/>
        <v/>
      </c>
      <c r="M419" s="34">
        <f t="shared" si="22"/>
        <v>0</v>
      </c>
    </row>
    <row r="420" spans="7:13" x14ac:dyDescent="0.25">
      <c r="G420" s="10" t="str">
        <f t="shared" si="20"/>
        <v/>
      </c>
      <c r="H420" t="str">
        <f t="shared" si="21"/>
        <v/>
      </c>
      <c r="M420" s="34">
        <f t="shared" si="22"/>
        <v>0</v>
      </c>
    </row>
    <row r="421" spans="7:13" x14ac:dyDescent="0.25">
      <c r="G421" s="10" t="str">
        <f t="shared" si="20"/>
        <v/>
      </c>
      <c r="H421" t="str">
        <f t="shared" si="21"/>
        <v/>
      </c>
      <c r="M421" s="34">
        <f t="shared" si="22"/>
        <v>0</v>
      </c>
    </row>
    <row r="422" spans="7:13" x14ac:dyDescent="0.25">
      <c r="G422" s="10" t="str">
        <f t="shared" si="20"/>
        <v/>
      </c>
      <c r="H422" t="str">
        <f t="shared" si="21"/>
        <v/>
      </c>
      <c r="M422" s="34">
        <f t="shared" si="22"/>
        <v>0</v>
      </c>
    </row>
    <row r="423" spans="7:13" x14ac:dyDescent="0.25">
      <c r="G423" s="10" t="str">
        <f t="shared" si="20"/>
        <v/>
      </c>
      <c r="H423" t="str">
        <f t="shared" si="21"/>
        <v/>
      </c>
      <c r="M423" s="34">
        <f t="shared" si="22"/>
        <v>0</v>
      </c>
    </row>
    <row r="424" spans="7:13" x14ac:dyDescent="0.25">
      <c r="G424" s="10" t="str">
        <f t="shared" si="20"/>
        <v/>
      </c>
      <c r="H424" t="str">
        <f t="shared" si="21"/>
        <v/>
      </c>
      <c r="M424" s="34">
        <f t="shared" si="22"/>
        <v>0</v>
      </c>
    </row>
    <row r="425" spans="7:13" x14ac:dyDescent="0.25">
      <c r="G425" s="10" t="str">
        <f t="shared" si="20"/>
        <v/>
      </c>
      <c r="H425" t="str">
        <f t="shared" si="21"/>
        <v/>
      </c>
      <c r="M425" s="34">
        <f t="shared" si="22"/>
        <v>0</v>
      </c>
    </row>
    <row r="426" spans="7:13" x14ac:dyDescent="0.25">
      <c r="G426" s="10" t="str">
        <f t="shared" si="20"/>
        <v/>
      </c>
      <c r="H426" t="str">
        <f t="shared" si="21"/>
        <v/>
      </c>
      <c r="M426" s="34">
        <f t="shared" si="22"/>
        <v>0</v>
      </c>
    </row>
    <row r="427" spans="7:13" x14ac:dyDescent="0.25">
      <c r="G427" s="10" t="str">
        <f t="shared" si="20"/>
        <v/>
      </c>
      <c r="H427" t="str">
        <f t="shared" si="21"/>
        <v/>
      </c>
      <c r="M427" s="34">
        <f t="shared" si="22"/>
        <v>0</v>
      </c>
    </row>
    <row r="428" spans="7:13" x14ac:dyDescent="0.25">
      <c r="G428" s="10" t="str">
        <f t="shared" si="20"/>
        <v/>
      </c>
      <c r="H428" t="str">
        <f t="shared" si="21"/>
        <v/>
      </c>
      <c r="M428" s="34">
        <f t="shared" si="22"/>
        <v>0</v>
      </c>
    </row>
    <row r="429" spans="7:13" x14ac:dyDescent="0.25">
      <c r="G429" s="10" t="str">
        <f t="shared" si="20"/>
        <v/>
      </c>
      <c r="H429" t="str">
        <f t="shared" si="21"/>
        <v/>
      </c>
      <c r="M429" s="34">
        <f t="shared" si="22"/>
        <v>0</v>
      </c>
    </row>
    <row r="430" spans="7:13" x14ac:dyDescent="0.25">
      <c r="G430" s="10" t="str">
        <f t="shared" si="20"/>
        <v/>
      </c>
      <c r="H430" t="str">
        <f t="shared" si="21"/>
        <v/>
      </c>
      <c r="M430" s="34">
        <f t="shared" si="22"/>
        <v>0</v>
      </c>
    </row>
    <row r="431" spans="7:13" x14ac:dyDescent="0.25">
      <c r="G431" s="10" t="str">
        <f t="shared" si="20"/>
        <v/>
      </c>
      <c r="H431" t="str">
        <f t="shared" si="21"/>
        <v/>
      </c>
      <c r="M431" s="34">
        <f t="shared" si="22"/>
        <v>0</v>
      </c>
    </row>
    <row r="432" spans="7:13" x14ac:dyDescent="0.25">
      <c r="G432" s="10" t="str">
        <f t="shared" si="20"/>
        <v/>
      </c>
      <c r="H432" t="str">
        <f t="shared" si="21"/>
        <v/>
      </c>
      <c r="M432" s="34">
        <f t="shared" si="22"/>
        <v>0</v>
      </c>
    </row>
    <row r="433" spans="7:13" x14ac:dyDescent="0.25">
      <c r="G433" s="10" t="str">
        <f t="shared" si="20"/>
        <v/>
      </c>
      <c r="H433" t="str">
        <f t="shared" si="21"/>
        <v/>
      </c>
      <c r="M433" s="34">
        <f t="shared" si="22"/>
        <v>0</v>
      </c>
    </row>
    <row r="434" spans="7:13" x14ac:dyDescent="0.25">
      <c r="G434" s="10" t="str">
        <f t="shared" si="20"/>
        <v/>
      </c>
      <c r="H434" t="str">
        <f t="shared" si="21"/>
        <v/>
      </c>
      <c r="M434" s="34">
        <f t="shared" si="22"/>
        <v>0</v>
      </c>
    </row>
    <row r="435" spans="7:13" x14ac:dyDescent="0.25">
      <c r="G435" s="10" t="str">
        <f t="shared" si="20"/>
        <v/>
      </c>
      <c r="H435" t="str">
        <f t="shared" si="21"/>
        <v/>
      </c>
      <c r="M435" s="34">
        <f t="shared" si="22"/>
        <v>0</v>
      </c>
    </row>
    <row r="436" spans="7:13" x14ac:dyDescent="0.25">
      <c r="G436" s="10" t="str">
        <f t="shared" si="20"/>
        <v/>
      </c>
      <c r="H436" t="str">
        <f t="shared" si="21"/>
        <v/>
      </c>
      <c r="M436" s="34">
        <f t="shared" si="22"/>
        <v>0</v>
      </c>
    </row>
    <row r="437" spans="7:13" x14ac:dyDescent="0.25">
      <c r="G437" s="10" t="str">
        <f t="shared" si="20"/>
        <v/>
      </c>
      <c r="H437" t="str">
        <f t="shared" si="21"/>
        <v/>
      </c>
      <c r="M437" s="34">
        <f t="shared" si="22"/>
        <v>0</v>
      </c>
    </row>
    <row r="438" spans="7:13" x14ac:dyDescent="0.25">
      <c r="G438" s="10" t="str">
        <f t="shared" si="20"/>
        <v/>
      </c>
      <c r="H438" t="str">
        <f t="shared" si="21"/>
        <v/>
      </c>
      <c r="M438" s="34">
        <f t="shared" si="22"/>
        <v>0</v>
      </c>
    </row>
    <row r="439" spans="7:13" x14ac:dyDescent="0.25">
      <c r="G439" s="10" t="str">
        <f t="shared" si="20"/>
        <v/>
      </c>
      <c r="H439" t="str">
        <f t="shared" si="21"/>
        <v/>
      </c>
      <c r="M439" s="34">
        <f t="shared" si="22"/>
        <v>0</v>
      </c>
    </row>
    <row r="440" spans="7:13" x14ac:dyDescent="0.25">
      <c r="G440" s="10" t="str">
        <f t="shared" si="20"/>
        <v/>
      </c>
      <c r="H440" t="str">
        <f t="shared" si="21"/>
        <v/>
      </c>
      <c r="M440" s="34">
        <f t="shared" si="22"/>
        <v>0</v>
      </c>
    </row>
    <row r="441" spans="7:13" x14ac:dyDescent="0.25">
      <c r="G441" s="10" t="str">
        <f t="shared" si="20"/>
        <v/>
      </c>
      <c r="H441" t="str">
        <f t="shared" si="21"/>
        <v/>
      </c>
      <c r="M441" s="34">
        <f t="shared" si="22"/>
        <v>0</v>
      </c>
    </row>
    <row r="442" spans="7:13" x14ac:dyDescent="0.25">
      <c r="G442" s="10" t="str">
        <f t="shared" si="20"/>
        <v/>
      </c>
      <c r="H442" t="str">
        <f t="shared" si="21"/>
        <v/>
      </c>
      <c r="M442" s="34">
        <f t="shared" si="22"/>
        <v>0</v>
      </c>
    </row>
    <row r="443" spans="7:13" x14ac:dyDescent="0.25">
      <c r="G443" s="10" t="str">
        <f t="shared" si="20"/>
        <v/>
      </c>
      <c r="H443" t="str">
        <f t="shared" si="21"/>
        <v/>
      </c>
      <c r="M443" s="34">
        <f t="shared" si="22"/>
        <v>0</v>
      </c>
    </row>
    <row r="444" spans="7:13" x14ac:dyDescent="0.25">
      <c r="G444" s="10" t="str">
        <f t="shared" si="20"/>
        <v/>
      </c>
      <c r="H444" t="str">
        <f t="shared" si="21"/>
        <v/>
      </c>
      <c r="M444" s="34">
        <f t="shared" si="22"/>
        <v>0</v>
      </c>
    </row>
    <row r="445" spans="7:13" x14ac:dyDescent="0.25">
      <c r="G445" s="10" t="str">
        <f t="shared" si="20"/>
        <v/>
      </c>
      <c r="H445" t="str">
        <f t="shared" si="21"/>
        <v/>
      </c>
      <c r="M445" s="34">
        <f t="shared" si="22"/>
        <v>0</v>
      </c>
    </row>
    <row r="446" spans="7:13" x14ac:dyDescent="0.25">
      <c r="G446" s="10" t="str">
        <f t="shared" si="20"/>
        <v/>
      </c>
      <c r="H446" t="str">
        <f t="shared" si="21"/>
        <v/>
      </c>
      <c r="M446" s="34">
        <f t="shared" si="22"/>
        <v>0</v>
      </c>
    </row>
    <row r="447" spans="7:13" x14ac:dyDescent="0.25">
      <c r="G447" s="10" t="str">
        <f t="shared" si="20"/>
        <v/>
      </c>
      <c r="H447" t="str">
        <f t="shared" si="21"/>
        <v/>
      </c>
      <c r="M447" s="34">
        <f t="shared" si="22"/>
        <v>0</v>
      </c>
    </row>
    <row r="448" spans="7:13" x14ac:dyDescent="0.25">
      <c r="G448" s="10" t="str">
        <f t="shared" si="20"/>
        <v/>
      </c>
      <c r="H448" t="str">
        <f t="shared" si="21"/>
        <v/>
      </c>
      <c r="M448" s="34">
        <f t="shared" si="22"/>
        <v>0</v>
      </c>
    </row>
    <row r="449" spans="7:13" x14ac:dyDescent="0.25">
      <c r="G449" s="10" t="str">
        <f t="shared" si="20"/>
        <v/>
      </c>
      <c r="H449" t="str">
        <f t="shared" si="21"/>
        <v/>
      </c>
      <c r="M449" s="34">
        <f t="shared" si="22"/>
        <v>0</v>
      </c>
    </row>
    <row r="450" spans="7:13" x14ac:dyDescent="0.25">
      <c r="G450" s="10" t="str">
        <f t="shared" ref="G450:G513" si="23">IF(F450&gt;0,"RECETTE",IF(F450&lt;0,"DÉPENSE",""))</f>
        <v/>
      </c>
      <c r="H450" t="str">
        <f t="shared" ref="H450:H513" si="24">+IF(ISNUMBER(D450),D450,"")</f>
        <v/>
      </c>
      <c r="M450" s="34">
        <f t="shared" si="22"/>
        <v>0</v>
      </c>
    </row>
    <row r="451" spans="7:13" x14ac:dyDescent="0.25">
      <c r="G451" s="10" t="str">
        <f t="shared" si="23"/>
        <v/>
      </c>
      <c r="H451" t="str">
        <f t="shared" si="24"/>
        <v/>
      </c>
      <c r="M451" s="34">
        <f t="shared" ref="M451:M514" si="25">IF(AND(E451="Chèque",G451="RECETTE"),F451,0)</f>
        <v>0</v>
      </c>
    </row>
    <row r="452" spans="7:13" x14ac:dyDescent="0.25">
      <c r="G452" s="10" t="str">
        <f t="shared" si="23"/>
        <v/>
      </c>
      <c r="H452" t="str">
        <f t="shared" si="24"/>
        <v/>
      </c>
      <c r="M452" s="34">
        <f t="shared" si="25"/>
        <v>0</v>
      </c>
    </row>
    <row r="453" spans="7:13" x14ac:dyDescent="0.25">
      <c r="G453" s="10" t="str">
        <f t="shared" si="23"/>
        <v/>
      </c>
      <c r="H453" t="str">
        <f t="shared" si="24"/>
        <v/>
      </c>
      <c r="M453" s="34">
        <f t="shared" si="25"/>
        <v>0</v>
      </c>
    </row>
    <row r="454" spans="7:13" x14ac:dyDescent="0.25">
      <c r="G454" s="10" t="str">
        <f t="shared" si="23"/>
        <v/>
      </c>
      <c r="H454" t="str">
        <f t="shared" si="24"/>
        <v/>
      </c>
      <c r="M454" s="34">
        <f t="shared" si="25"/>
        <v>0</v>
      </c>
    </row>
    <row r="455" spans="7:13" x14ac:dyDescent="0.25">
      <c r="G455" s="10" t="str">
        <f t="shared" si="23"/>
        <v/>
      </c>
      <c r="H455" t="str">
        <f t="shared" si="24"/>
        <v/>
      </c>
      <c r="M455" s="34">
        <f t="shared" si="25"/>
        <v>0</v>
      </c>
    </row>
    <row r="456" spans="7:13" x14ac:dyDescent="0.25">
      <c r="G456" s="10" t="str">
        <f t="shared" si="23"/>
        <v/>
      </c>
      <c r="H456" t="str">
        <f t="shared" si="24"/>
        <v/>
      </c>
      <c r="M456" s="34">
        <f t="shared" si="25"/>
        <v>0</v>
      </c>
    </row>
    <row r="457" spans="7:13" x14ac:dyDescent="0.25">
      <c r="G457" s="10" t="str">
        <f t="shared" si="23"/>
        <v/>
      </c>
      <c r="H457" t="str">
        <f t="shared" si="24"/>
        <v/>
      </c>
      <c r="M457" s="34">
        <f t="shared" si="25"/>
        <v>0</v>
      </c>
    </row>
    <row r="458" spans="7:13" x14ac:dyDescent="0.25">
      <c r="G458" s="10" t="str">
        <f t="shared" si="23"/>
        <v/>
      </c>
      <c r="H458" t="str">
        <f t="shared" si="24"/>
        <v/>
      </c>
      <c r="M458" s="34">
        <f t="shared" si="25"/>
        <v>0</v>
      </c>
    </row>
    <row r="459" spans="7:13" x14ac:dyDescent="0.25">
      <c r="G459" s="10" t="str">
        <f t="shared" si="23"/>
        <v/>
      </c>
      <c r="H459" t="str">
        <f t="shared" si="24"/>
        <v/>
      </c>
      <c r="M459" s="34">
        <f t="shared" si="25"/>
        <v>0</v>
      </c>
    </row>
    <row r="460" spans="7:13" x14ac:dyDescent="0.25">
      <c r="G460" s="10" t="str">
        <f t="shared" si="23"/>
        <v/>
      </c>
      <c r="H460" t="str">
        <f t="shared" si="24"/>
        <v/>
      </c>
      <c r="M460" s="34">
        <f t="shared" si="25"/>
        <v>0</v>
      </c>
    </row>
    <row r="461" spans="7:13" x14ac:dyDescent="0.25">
      <c r="G461" s="10" t="str">
        <f t="shared" si="23"/>
        <v/>
      </c>
      <c r="H461" t="str">
        <f t="shared" si="24"/>
        <v/>
      </c>
      <c r="M461" s="34">
        <f t="shared" si="25"/>
        <v>0</v>
      </c>
    </row>
    <row r="462" spans="7:13" x14ac:dyDescent="0.25">
      <c r="G462" s="10" t="str">
        <f t="shared" si="23"/>
        <v/>
      </c>
      <c r="H462" t="str">
        <f t="shared" si="24"/>
        <v/>
      </c>
      <c r="M462" s="34">
        <f t="shared" si="25"/>
        <v>0</v>
      </c>
    </row>
    <row r="463" spans="7:13" x14ac:dyDescent="0.25">
      <c r="G463" s="10" t="str">
        <f t="shared" si="23"/>
        <v/>
      </c>
      <c r="H463" t="str">
        <f t="shared" si="24"/>
        <v/>
      </c>
      <c r="M463" s="34">
        <f t="shared" si="25"/>
        <v>0</v>
      </c>
    </row>
    <row r="464" spans="7:13" x14ac:dyDescent="0.25">
      <c r="G464" s="10" t="str">
        <f t="shared" si="23"/>
        <v/>
      </c>
      <c r="H464" t="str">
        <f t="shared" si="24"/>
        <v/>
      </c>
      <c r="M464" s="34">
        <f t="shared" si="25"/>
        <v>0</v>
      </c>
    </row>
    <row r="465" spans="7:13" x14ac:dyDescent="0.25">
      <c r="G465" s="10" t="str">
        <f t="shared" si="23"/>
        <v/>
      </c>
      <c r="H465" t="str">
        <f t="shared" si="24"/>
        <v/>
      </c>
      <c r="M465" s="34">
        <f t="shared" si="25"/>
        <v>0</v>
      </c>
    </row>
    <row r="466" spans="7:13" x14ac:dyDescent="0.25">
      <c r="G466" s="10" t="str">
        <f t="shared" si="23"/>
        <v/>
      </c>
      <c r="H466" t="str">
        <f t="shared" si="24"/>
        <v/>
      </c>
      <c r="M466" s="34">
        <f t="shared" si="25"/>
        <v>0</v>
      </c>
    </row>
    <row r="467" spans="7:13" x14ac:dyDescent="0.25">
      <c r="G467" s="10" t="str">
        <f t="shared" si="23"/>
        <v/>
      </c>
      <c r="H467" t="str">
        <f t="shared" si="24"/>
        <v/>
      </c>
      <c r="M467" s="34">
        <f t="shared" si="25"/>
        <v>0</v>
      </c>
    </row>
    <row r="468" spans="7:13" x14ac:dyDescent="0.25">
      <c r="G468" s="10" t="str">
        <f t="shared" si="23"/>
        <v/>
      </c>
      <c r="H468" t="str">
        <f t="shared" si="24"/>
        <v/>
      </c>
      <c r="M468" s="34">
        <f t="shared" si="25"/>
        <v>0</v>
      </c>
    </row>
    <row r="469" spans="7:13" x14ac:dyDescent="0.25">
      <c r="G469" s="10" t="str">
        <f t="shared" si="23"/>
        <v/>
      </c>
      <c r="H469" t="str">
        <f t="shared" si="24"/>
        <v/>
      </c>
      <c r="M469" s="34">
        <f t="shared" si="25"/>
        <v>0</v>
      </c>
    </row>
    <row r="470" spans="7:13" x14ac:dyDescent="0.25">
      <c r="G470" s="10" t="str">
        <f t="shared" si="23"/>
        <v/>
      </c>
      <c r="H470" t="str">
        <f t="shared" si="24"/>
        <v/>
      </c>
      <c r="M470" s="34">
        <f t="shared" si="25"/>
        <v>0</v>
      </c>
    </row>
    <row r="471" spans="7:13" x14ac:dyDescent="0.25">
      <c r="G471" s="10" t="str">
        <f t="shared" si="23"/>
        <v/>
      </c>
      <c r="H471" t="str">
        <f t="shared" si="24"/>
        <v/>
      </c>
      <c r="M471" s="34">
        <f t="shared" si="25"/>
        <v>0</v>
      </c>
    </row>
    <row r="472" spans="7:13" x14ac:dyDescent="0.25">
      <c r="G472" s="10" t="str">
        <f t="shared" si="23"/>
        <v/>
      </c>
      <c r="H472" t="str">
        <f t="shared" si="24"/>
        <v/>
      </c>
      <c r="M472" s="34">
        <f t="shared" si="25"/>
        <v>0</v>
      </c>
    </row>
    <row r="473" spans="7:13" x14ac:dyDescent="0.25">
      <c r="G473" s="10" t="str">
        <f t="shared" si="23"/>
        <v/>
      </c>
      <c r="H473" t="str">
        <f t="shared" si="24"/>
        <v/>
      </c>
      <c r="M473" s="34">
        <f t="shared" si="25"/>
        <v>0</v>
      </c>
    </row>
    <row r="474" spans="7:13" x14ac:dyDescent="0.25">
      <c r="G474" s="10" t="str">
        <f t="shared" si="23"/>
        <v/>
      </c>
      <c r="H474" t="str">
        <f t="shared" si="24"/>
        <v/>
      </c>
      <c r="M474" s="34">
        <f t="shared" si="25"/>
        <v>0</v>
      </c>
    </row>
    <row r="475" spans="7:13" x14ac:dyDescent="0.25">
      <c r="G475" s="10" t="str">
        <f t="shared" si="23"/>
        <v/>
      </c>
      <c r="H475" t="str">
        <f t="shared" si="24"/>
        <v/>
      </c>
      <c r="M475" s="34">
        <f t="shared" si="25"/>
        <v>0</v>
      </c>
    </row>
    <row r="476" spans="7:13" x14ac:dyDescent="0.25">
      <c r="G476" s="10" t="str">
        <f t="shared" si="23"/>
        <v/>
      </c>
      <c r="H476" t="str">
        <f t="shared" si="24"/>
        <v/>
      </c>
      <c r="M476" s="34">
        <f t="shared" si="25"/>
        <v>0</v>
      </c>
    </row>
    <row r="477" spans="7:13" x14ac:dyDescent="0.25">
      <c r="G477" s="10" t="str">
        <f t="shared" si="23"/>
        <v/>
      </c>
      <c r="H477" t="str">
        <f t="shared" si="24"/>
        <v/>
      </c>
      <c r="M477" s="34">
        <f t="shared" si="25"/>
        <v>0</v>
      </c>
    </row>
    <row r="478" spans="7:13" x14ac:dyDescent="0.25">
      <c r="G478" s="10" t="str">
        <f t="shared" si="23"/>
        <v/>
      </c>
      <c r="H478" t="str">
        <f t="shared" si="24"/>
        <v/>
      </c>
      <c r="M478" s="34">
        <f t="shared" si="25"/>
        <v>0</v>
      </c>
    </row>
    <row r="479" spans="7:13" x14ac:dyDescent="0.25">
      <c r="G479" s="10" t="str">
        <f t="shared" si="23"/>
        <v/>
      </c>
      <c r="H479" t="str">
        <f t="shared" si="24"/>
        <v/>
      </c>
      <c r="M479" s="34">
        <f t="shared" si="25"/>
        <v>0</v>
      </c>
    </row>
    <row r="480" spans="7:13" x14ac:dyDescent="0.25">
      <c r="G480" s="10" t="str">
        <f t="shared" si="23"/>
        <v/>
      </c>
      <c r="H480" t="str">
        <f t="shared" si="24"/>
        <v/>
      </c>
      <c r="M480" s="34">
        <f t="shared" si="25"/>
        <v>0</v>
      </c>
    </row>
    <row r="481" spans="7:13" x14ac:dyDescent="0.25">
      <c r="G481" s="10" t="str">
        <f t="shared" si="23"/>
        <v/>
      </c>
      <c r="H481" t="str">
        <f t="shared" si="24"/>
        <v/>
      </c>
      <c r="M481" s="34">
        <f t="shared" si="25"/>
        <v>0</v>
      </c>
    </row>
    <row r="482" spans="7:13" x14ac:dyDescent="0.25">
      <c r="G482" s="10" t="str">
        <f t="shared" si="23"/>
        <v/>
      </c>
      <c r="H482" t="str">
        <f t="shared" si="24"/>
        <v/>
      </c>
      <c r="M482" s="34">
        <f t="shared" si="25"/>
        <v>0</v>
      </c>
    </row>
    <row r="483" spans="7:13" x14ac:dyDescent="0.25">
      <c r="G483" s="10" t="str">
        <f t="shared" si="23"/>
        <v/>
      </c>
      <c r="H483" t="str">
        <f t="shared" si="24"/>
        <v/>
      </c>
      <c r="M483" s="34">
        <f t="shared" si="25"/>
        <v>0</v>
      </c>
    </row>
    <row r="484" spans="7:13" x14ac:dyDescent="0.25">
      <c r="G484" s="10" t="str">
        <f t="shared" si="23"/>
        <v/>
      </c>
      <c r="H484" t="str">
        <f t="shared" si="24"/>
        <v/>
      </c>
      <c r="M484" s="34">
        <f t="shared" si="25"/>
        <v>0</v>
      </c>
    </row>
    <row r="485" spans="7:13" x14ac:dyDescent="0.25">
      <c r="G485" s="10" t="str">
        <f t="shared" si="23"/>
        <v/>
      </c>
      <c r="H485" t="str">
        <f t="shared" si="24"/>
        <v/>
      </c>
      <c r="M485" s="34">
        <f t="shared" si="25"/>
        <v>0</v>
      </c>
    </row>
    <row r="486" spans="7:13" x14ac:dyDescent="0.25">
      <c r="G486" s="10" t="str">
        <f t="shared" si="23"/>
        <v/>
      </c>
      <c r="H486" t="str">
        <f t="shared" si="24"/>
        <v/>
      </c>
      <c r="M486" s="34">
        <f t="shared" si="25"/>
        <v>0</v>
      </c>
    </row>
    <row r="487" spans="7:13" x14ac:dyDescent="0.25">
      <c r="G487" s="10" t="str">
        <f t="shared" si="23"/>
        <v/>
      </c>
      <c r="H487" t="str">
        <f t="shared" si="24"/>
        <v/>
      </c>
      <c r="M487" s="34">
        <f t="shared" si="25"/>
        <v>0</v>
      </c>
    </row>
    <row r="488" spans="7:13" x14ac:dyDescent="0.25">
      <c r="G488" s="10" t="str">
        <f t="shared" si="23"/>
        <v/>
      </c>
      <c r="H488" t="str">
        <f t="shared" si="24"/>
        <v/>
      </c>
      <c r="M488" s="34">
        <f t="shared" si="25"/>
        <v>0</v>
      </c>
    </row>
    <row r="489" spans="7:13" x14ac:dyDescent="0.25">
      <c r="G489" s="10" t="str">
        <f t="shared" si="23"/>
        <v/>
      </c>
      <c r="H489" t="str">
        <f t="shared" si="24"/>
        <v/>
      </c>
      <c r="M489" s="34">
        <f t="shared" si="25"/>
        <v>0</v>
      </c>
    </row>
    <row r="490" spans="7:13" x14ac:dyDescent="0.25">
      <c r="G490" s="10" t="str">
        <f t="shared" si="23"/>
        <v/>
      </c>
      <c r="H490" t="str">
        <f t="shared" si="24"/>
        <v/>
      </c>
      <c r="M490" s="34">
        <f t="shared" si="25"/>
        <v>0</v>
      </c>
    </row>
    <row r="491" spans="7:13" x14ac:dyDescent="0.25">
      <c r="G491" s="10" t="str">
        <f t="shared" si="23"/>
        <v/>
      </c>
      <c r="H491" t="str">
        <f t="shared" si="24"/>
        <v/>
      </c>
      <c r="M491" s="34">
        <f t="shared" si="25"/>
        <v>0</v>
      </c>
    </row>
    <row r="492" spans="7:13" x14ac:dyDescent="0.25">
      <c r="G492" s="10" t="str">
        <f t="shared" si="23"/>
        <v/>
      </c>
      <c r="H492" t="str">
        <f t="shared" si="24"/>
        <v/>
      </c>
      <c r="M492" s="34">
        <f t="shared" si="25"/>
        <v>0</v>
      </c>
    </row>
    <row r="493" spans="7:13" x14ac:dyDescent="0.25">
      <c r="G493" s="10" t="str">
        <f t="shared" si="23"/>
        <v/>
      </c>
      <c r="H493" t="str">
        <f t="shared" si="24"/>
        <v/>
      </c>
      <c r="M493" s="34">
        <f t="shared" si="25"/>
        <v>0</v>
      </c>
    </row>
    <row r="494" spans="7:13" x14ac:dyDescent="0.25">
      <c r="G494" s="10" t="str">
        <f t="shared" si="23"/>
        <v/>
      </c>
      <c r="H494" t="str">
        <f t="shared" si="24"/>
        <v/>
      </c>
      <c r="M494" s="34">
        <f t="shared" si="25"/>
        <v>0</v>
      </c>
    </row>
    <row r="495" spans="7:13" x14ac:dyDescent="0.25">
      <c r="G495" s="10" t="str">
        <f t="shared" si="23"/>
        <v/>
      </c>
      <c r="H495" t="str">
        <f t="shared" si="24"/>
        <v/>
      </c>
      <c r="M495" s="34">
        <f t="shared" si="25"/>
        <v>0</v>
      </c>
    </row>
    <row r="496" spans="7:13" x14ac:dyDescent="0.25">
      <c r="G496" s="10" t="str">
        <f t="shared" si="23"/>
        <v/>
      </c>
      <c r="H496" t="str">
        <f t="shared" si="24"/>
        <v/>
      </c>
      <c r="M496" s="34">
        <f t="shared" si="25"/>
        <v>0</v>
      </c>
    </row>
    <row r="497" spans="7:13" x14ac:dyDescent="0.25">
      <c r="G497" s="10" t="str">
        <f t="shared" si="23"/>
        <v/>
      </c>
      <c r="H497" t="str">
        <f t="shared" si="24"/>
        <v/>
      </c>
      <c r="M497" s="34">
        <f t="shared" si="25"/>
        <v>0</v>
      </c>
    </row>
    <row r="498" spans="7:13" x14ac:dyDescent="0.25">
      <c r="G498" s="10" t="str">
        <f t="shared" si="23"/>
        <v/>
      </c>
      <c r="H498" t="str">
        <f t="shared" si="24"/>
        <v/>
      </c>
      <c r="M498" s="34">
        <f t="shared" si="25"/>
        <v>0</v>
      </c>
    </row>
    <row r="499" spans="7:13" x14ac:dyDescent="0.25">
      <c r="G499" s="10" t="str">
        <f t="shared" si="23"/>
        <v/>
      </c>
      <c r="H499" t="str">
        <f t="shared" si="24"/>
        <v/>
      </c>
      <c r="M499" s="34">
        <f t="shared" si="25"/>
        <v>0</v>
      </c>
    </row>
    <row r="500" spans="7:13" x14ac:dyDescent="0.25">
      <c r="G500" s="10" t="str">
        <f t="shared" si="23"/>
        <v/>
      </c>
      <c r="H500" t="str">
        <f t="shared" si="24"/>
        <v/>
      </c>
      <c r="M500" s="34">
        <f t="shared" si="25"/>
        <v>0</v>
      </c>
    </row>
    <row r="501" spans="7:13" x14ac:dyDescent="0.25">
      <c r="G501" s="10" t="str">
        <f t="shared" si="23"/>
        <v/>
      </c>
      <c r="H501" t="str">
        <f t="shared" si="24"/>
        <v/>
      </c>
      <c r="M501" s="34">
        <f t="shared" si="25"/>
        <v>0</v>
      </c>
    </row>
    <row r="502" spans="7:13" x14ac:dyDescent="0.25">
      <c r="G502" s="10" t="str">
        <f t="shared" si="23"/>
        <v/>
      </c>
      <c r="H502" t="str">
        <f t="shared" si="24"/>
        <v/>
      </c>
      <c r="M502" s="34">
        <f t="shared" si="25"/>
        <v>0</v>
      </c>
    </row>
    <row r="503" spans="7:13" x14ac:dyDescent="0.25">
      <c r="G503" s="10" t="str">
        <f t="shared" si="23"/>
        <v/>
      </c>
      <c r="H503" t="str">
        <f t="shared" si="24"/>
        <v/>
      </c>
      <c r="M503" s="34">
        <f t="shared" si="25"/>
        <v>0</v>
      </c>
    </row>
    <row r="504" spans="7:13" x14ac:dyDescent="0.25">
      <c r="G504" s="10" t="str">
        <f t="shared" si="23"/>
        <v/>
      </c>
      <c r="H504" t="str">
        <f t="shared" si="24"/>
        <v/>
      </c>
      <c r="M504" s="34">
        <f t="shared" si="25"/>
        <v>0</v>
      </c>
    </row>
    <row r="505" spans="7:13" x14ac:dyDescent="0.25">
      <c r="G505" s="10" t="str">
        <f t="shared" si="23"/>
        <v/>
      </c>
      <c r="H505" t="str">
        <f t="shared" si="24"/>
        <v/>
      </c>
      <c r="M505" s="34">
        <f t="shared" si="25"/>
        <v>0</v>
      </c>
    </row>
    <row r="506" spans="7:13" x14ac:dyDescent="0.25">
      <c r="G506" s="10" t="str">
        <f t="shared" si="23"/>
        <v/>
      </c>
      <c r="H506" t="str">
        <f t="shared" si="24"/>
        <v/>
      </c>
      <c r="M506" s="34">
        <f t="shared" si="25"/>
        <v>0</v>
      </c>
    </row>
    <row r="507" spans="7:13" x14ac:dyDescent="0.25">
      <c r="G507" s="10" t="str">
        <f t="shared" si="23"/>
        <v/>
      </c>
      <c r="H507" t="str">
        <f t="shared" si="24"/>
        <v/>
      </c>
      <c r="M507" s="34">
        <f t="shared" si="25"/>
        <v>0</v>
      </c>
    </row>
    <row r="508" spans="7:13" x14ac:dyDescent="0.25">
      <c r="G508" s="10" t="str">
        <f t="shared" si="23"/>
        <v/>
      </c>
      <c r="H508" t="str">
        <f t="shared" si="24"/>
        <v/>
      </c>
      <c r="M508" s="34">
        <f t="shared" si="25"/>
        <v>0</v>
      </c>
    </row>
    <row r="509" spans="7:13" x14ac:dyDescent="0.25">
      <c r="G509" s="10" t="str">
        <f t="shared" si="23"/>
        <v/>
      </c>
      <c r="H509" t="str">
        <f t="shared" si="24"/>
        <v/>
      </c>
      <c r="M509" s="34">
        <f t="shared" si="25"/>
        <v>0</v>
      </c>
    </row>
    <row r="510" spans="7:13" x14ac:dyDescent="0.25">
      <c r="G510" s="10" t="str">
        <f t="shared" si="23"/>
        <v/>
      </c>
      <c r="H510" t="str">
        <f t="shared" si="24"/>
        <v/>
      </c>
      <c r="M510" s="34">
        <f t="shared" si="25"/>
        <v>0</v>
      </c>
    </row>
    <row r="511" spans="7:13" x14ac:dyDescent="0.25">
      <c r="G511" s="10" t="str">
        <f t="shared" si="23"/>
        <v/>
      </c>
      <c r="H511" t="str">
        <f t="shared" si="24"/>
        <v/>
      </c>
      <c r="M511" s="34">
        <f t="shared" si="25"/>
        <v>0</v>
      </c>
    </row>
    <row r="512" spans="7:13" x14ac:dyDescent="0.25">
      <c r="G512" s="10" t="str">
        <f t="shared" si="23"/>
        <v/>
      </c>
      <c r="H512" t="str">
        <f t="shared" si="24"/>
        <v/>
      </c>
      <c r="M512" s="34">
        <f t="shared" si="25"/>
        <v>0</v>
      </c>
    </row>
    <row r="513" spans="7:13" x14ac:dyDescent="0.25">
      <c r="G513" s="10" t="str">
        <f t="shared" si="23"/>
        <v/>
      </c>
      <c r="H513" t="str">
        <f t="shared" si="24"/>
        <v/>
      </c>
      <c r="M513" s="34">
        <f t="shared" si="25"/>
        <v>0</v>
      </c>
    </row>
    <row r="514" spans="7:13" x14ac:dyDescent="0.25">
      <c r="G514" s="10" t="str">
        <f t="shared" ref="G514:G577" si="26">IF(F514&gt;0,"RECETTE",IF(F514&lt;0,"DÉPENSE",""))</f>
        <v/>
      </c>
      <c r="H514" t="str">
        <f t="shared" ref="H514:H577" si="27">+IF(ISNUMBER(D514),D514,"")</f>
        <v/>
      </c>
      <c r="M514" s="34">
        <f t="shared" si="25"/>
        <v>0</v>
      </c>
    </row>
    <row r="515" spans="7:13" x14ac:dyDescent="0.25">
      <c r="G515" s="10" t="str">
        <f t="shared" si="26"/>
        <v/>
      </c>
      <c r="H515" t="str">
        <f t="shared" si="27"/>
        <v/>
      </c>
      <c r="M515" s="34">
        <f t="shared" ref="M515:M578" si="28">IF(AND(E515="Chèque",G515="RECETTE"),F515,0)</f>
        <v>0</v>
      </c>
    </row>
    <row r="516" spans="7:13" x14ac:dyDescent="0.25">
      <c r="G516" s="10" t="str">
        <f t="shared" si="26"/>
        <v/>
      </c>
      <c r="H516" t="str">
        <f t="shared" si="27"/>
        <v/>
      </c>
      <c r="M516" s="34">
        <f t="shared" si="28"/>
        <v>0</v>
      </c>
    </row>
    <row r="517" spans="7:13" x14ac:dyDescent="0.25">
      <c r="G517" s="10" t="str">
        <f t="shared" si="26"/>
        <v/>
      </c>
      <c r="H517" t="str">
        <f t="shared" si="27"/>
        <v/>
      </c>
      <c r="M517" s="34">
        <f t="shared" si="28"/>
        <v>0</v>
      </c>
    </row>
    <row r="518" spans="7:13" x14ac:dyDescent="0.25">
      <c r="G518" s="10" t="str">
        <f t="shared" si="26"/>
        <v/>
      </c>
      <c r="H518" t="str">
        <f t="shared" si="27"/>
        <v/>
      </c>
      <c r="M518" s="34">
        <f t="shared" si="28"/>
        <v>0</v>
      </c>
    </row>
    <row r="519" spans="7:13" x14ac:dyDescent="0.25">
      <c r="G519" s="10" t="str">
        <f t="shared" si="26"/>
        <v/>
      </c>
      <c r="H519" t="str">
        <f t="shared" si="27"/>
        <v/>
      </c>
      <c r="M519" s="34">
        <f t="shared" si="28"/>
        <v>0</v>
      </c>
    </row>
    <row r="520" spans="7:13" x14ac:dyDescent="0.25">
      <c r="G520" s="10" t="str">
        <f t="shared" si="26"/>
        <v/>
      </c>
      <c r="H520" t="str">
        <f t="shared" si="27"/>
        <v/>
      </c>
      <c r="M520" s="34">
        <f t="shared" si="28"/>
        <v>0</v>
      </c>
    </row>
    <row r="521" spans="7:13" x14ac:dyDescent="0.25">
      <c r="G521" s="10" t="str">
        <f t="shared" si="26"/>
        <v/>
      </c>
      <c r="H521" t="str">
        <f t="shared" si="27"/>
        <v/>
      </c>
      <c r="M521" s="34">
        <f t="shared" si="28"/>
        <v>0</v>
      </c>
    </row>
    <row r="522" spans="7:13" x14ac:dyDescent="0.25">
      <c r="G522" s="10" t="str">
        <f t="shared" si="26"/>
        <v/>
      </c>
      <c r="H522" t="str">
        <f t="shared" si="27"/>
        <v/>
      </c>
      <c r="M522" s="34">
        <f t="shared" si="28"/>
        <v>0</v>
      </c>
    </row>
    <row r="523" spans="7:13" x14ac:dyDescent="0.25">
      <c r="G523" s="10" t="str">
        <f t="shared" si="26"/>
        <v/>
      </c>
      <c r="H523" t="str">
        <f t="shared" si="27"/>
        <v/>
      </c>
      <c r="M523" s="34">
        <f t="shared" si="28"/>
        <v>0</v>
      </c>
    </row>
    <row r="524" spans="7:13" x14ac:dyDescent="0.25">
      <c r="G524" s="10" t="str">
        <f t="shared" si="26"/>
        <v/>
      </c>
      <c r="H524" t="str">
        <f t="shared" si="27"/>
        <v/>
      </c>
      <c r="M524" s="34">
        <f t="shared" si="28"/>
        <v>0</v>
      </c>
    </row>
    <row r="525" spans="7:13" x14ac:dyDescent="0.25">
      <c r="G525" s="10" t="str">
        <f t="shared" si="26"/>
        <v/>
      </c>
      <c r="H525" t="str">
        <f t="shared" si="27"/>
        <v/>
      </c>
      <c r="M525" s="34">
        <f t="shared" si="28"/>
        <v>0</v>
      </c>
    </row>
    <row r="526" spans="7:13" x14ac:dyDescent="0.25">
      <c r="G526" s="10" t="str">
        <f t="shared" si="26"/>
        <v/>
      </c>
      <c r="H526" t="str">
        <f t="shared" si="27"/>
        <v/>
      </c>
      <c r="M526" s="34">
        <f t="shared" si="28"/>
        <v>0</v>
      </c>
    </row>
    <row r="527" spans="7:13" x14ac:dyDescent="0.25">
      <c r="G527" s="10" t="str">
        <f t="shared" si="26"/>
        <v/>
      </c>
      <c r="H527" t="str">
        <f t="shared" si="27"/>
        <v/>
      </c>
      <c r="M527" s="34">
        <f t="shared" si="28"/>
        <v>0</v>
      </c>
    </row>
    <row r="528" spans="7:13" x14ac:dyDescent="0.25">
      <c r="G528" s="10" t="str">
        <f t="shared" si="26"/>
        <v/>
      </c>
      <c r="H528" t="str">
        <f t="shared" si="27"/>
        <v/>
      </c>
      <c r="M528" s="34">
        <f t="shared" si="28"/>
        <v>0</v>
      </c>
    </row>
    <row r="529" spans="7:13" x14ac:dyDescent="0.25">
      <c r="G529" s="10" t="str">
        <f t="shared" si="26"/>
        <v/>
      </c>
      <c r="H529" t="str">
        <f t="shared" si="27"/>
        <v/>
      </c>
      <c r="M529" s="34">
        <f t="shared" si="28"/>
        <v>0</v>
      </c>
    </row>
    <row r="530" spans="7:13" x14ac:dyDescent="0.25">
      <c r="G530" s="10" t="str">
        <f t="shared" si="26"/>
        <v/>
      </c>
      <c r="H530" t="str">
        <f t="shared" si="27"/>
        <v/>
      </c>
      <c r="M530" s="34">
        <f t="shared" si="28"/>
        <v>0</v>
      </c>
    </row>
    <row r="531" spans="7:13" x14ac:dyDescent="0.25">
      <c r="G531" s="10" t="str">
        <f t="shared" si="26"/>
        <v/>
      </c>
      <c r="H531" t="str">
        <f t="shared" si="27"/>
        <v/>
      </c>
      <c r="M531" s="34">
        <f t="shared" si="28"/>
        <v>0</v>
      </c>
    </row>
    <row r="532" spans="7:13" x14ac:dyDescent="0.25">
      <c r="G532" s="10" t="str">
        <f t="shared" si="26"/>
        <v/>
      </c>
      <c r="H532" t="str">
        <f t="shared" si="27"/>
        <v/>
      </c>
      <c r="M532" s="34">
        <f t="shared" si="28"/>
        <v>0</v>
      </c>
    </row>
    <row r="533" spans="7:13" x14ac:dyDescent="0.25">
      <c r="G533" s="10" t="str">
        <f t="shared" si="26"/>
        <v/>
      </c>
      <c r="H533" t="str">
        <f t="shared" si="27"/>
        <v/>
      </c>
      <c r="M533" s="34">
        <f t="shared" si="28"/>
        <v>0</v>
      </c>
    </row>
    <row r="534" spans="7:13" x14ac:dyDescent="0.25">
      <c r="G534" s="10" t="str">
        <f t="shared" si="26"/>
        <v/>
      </c>
      <c r="H534" t="str">
        <f t="shared" si="27"/>
        <v/>
      </c>
      <c r="M534" s="34">
        <f t="shared" si="28"/>
        <v>0</v>
      </c>
    </row>
    <row r="535" spans="7:13" x14ac:dyDescent="0.25">
      <c r="G535" s="10" t="str">
        <f t="shared" si="26"/>
        <v/>
      </c>
      <c r="H535" t="str">
        <f t="shared" si="27"/>
        <v/>
      </c>
      <c r="M535" s="34">
        <f t="shared" si="28"/>
        <v>0</v>
      </c>
    </row>
    <row r="536" spans="7:13" x14ac:dyDescent="0.25">
      <c r="G536" s="10" t="str">
        <f t="shared" si="26"/>
        <v/>
      </c>
      <c r="H536" t="str">
        <f t="shared" si="27"/>
        <v/>
      </c>
      <c r="M536" s="34">
        <f t="shared" si="28"/>
        <v>0</v>
      </c>
    </row>
    <row r="537" spans="7:13" x14ac:dyDescent="0.25">
      <c r="G537" s="10" t="str">
        <f t="shared" si="26"/>
        <v/>
      </c>
      <c r="H537" t="str">
        <f t="shared" si="27"/>
        <v/>
      </c>
      <c r="M537" s="34">
        <f t="shared" si="28"/>
        <v>0</v>
      </c>
    </row>
    <row r="538" spans="7:13" x14ac:dyDescent="0.25">
      <c r="G538" s="10" t="str">
        <f t="shared" si="26"/>
        <v/>
      </c>
      <c r="H538" t="str">
        <f t="shared" si="27"/>
        <v/>
      </c>
      <c r="M538" s="34">
        <f t="shared" si="28"/>
        <v>0</v>
      </c>
    </row>
    <row r="539" spans="7:13" x14ac:dyDescent="0.25">
      <c r="G539" s="10" t="str">
        <f t="shared" si="26"/>
        <v/>
      </c>
      <c r="H539" t="str">
        <f t="shared" si="27"/>
        <v/>
      </c>
      <c r="M539" s="34">
        <f t="shared" si="28"/>
        <v>0</v>
      </c>
    </row>
    <row r="540" spans="7:13" x14ac:dyDescent="0.25">
      <c r="G540" s="10" t="str">
        <f t="shared" si="26"/>
        <v/>
      </c>
      <c r="H540" t="str">
        <f t="shared" si="27"/>
        <v/>
      </c>
      <c r="M540" s="34">
        <f t="shared" si="28"/>
        <v>0</v>
      </c>
    </row>
    <row r="541" spans="7:13" x14ac:dyDescent="0.25">
      <c r="G541" s="10" t="str">
        <f t="shared" si="26"/>
        <v/>
      </c>
      <c r="H541" t="str">
        <f t="shared" si="27"/>
        <v/>
      </c>
      <c r="M541" s="34">
        <f t="shared" si="28"/>
        <v>0</v>
      </c>
    </row>
    <row r="542" spans="7:13" x14ac:dyDescent="0.25">
      <c r="G542" s="10" t="str">
        <f t="shared" si="26"/>
        <v/>
      </c>
      <c r="H542" t="str">
        <f t="shared" si="27"/>
        <v/>
      </c>
      <c r="M542" s="34">
        <f t="shared" si="28"/>
        <v>0</v>
      </c>
    </row>
    <row r="543" spans="7:13" x14ac:dyDescent="0.25">
      <c r="G543" s="10" t="str">
        <f t="shared" si="26"/>
        <v/>
      </c>
      <c r="H543" t="str">
        <f t="shared" si="27"/>
        <v/>
      </c>
      <c r="M543" s="34">
        <f t="shared" si="28"/>
        <v>0</v>
      </c>
    </row>
    <row r="544" spans="7:13" x14ac:dyDescent="0.25">
      <c r="G544" s="10" t="str">
        <f t="shared" si="26"/>
        <v/>
      </c>
      <c r="H544" t="str">
        <f t="shared" si="27"/>
        <v/>
      </c>
      <c r="M544" s="34">
        <f t="shared" si="28"/>
        <v>0</v>
      </c>
    </row>
    <row r="545" spans="7:13" x14ac:dyDescent="0.25">
      <c r="G545" s="10" t="str">
        <f t="shared" si="26"/>
        <v/>
      </c>
      <c r="H545" t="str">
        <f t="shared" si="27"/>
        <v/>
      </c>
      <c r="M545" s="34">
        <f t="shared" si="28"/>
        <v>0</v>
      </c>
    </row>
    <row r="546" spans="7:13" x14ac:dyDescent="0.25">
      <c r="G546" s="10" t="str">
        <f t="shared" si="26"/>
        <v/>
      </c>
      <c r="H546" t="str">
        <f t="shared" si="27"/>
        <v/>
      </c>
      <c r="M546" s="34">
        <f t="shared" si="28"/>
        <v>0</v>
      </c>
    </row>
    <row r="547" spans="7:13" x14ac:dyDescent="0.25">
      <c r="G547" s="10" t="str">
        <f t="shared" si="26"/>
        <v/>
      </c>
      <c r="H547" t="str">
        <f t="shared" si="27"/>
        <v/>
      </c>
      <c r="M547" s="34">
        <f t="shared" si="28"/>
        <v>0</v>
      </c>
    </row>
    <row r="548" spans="7:13" x14ac:dyDescent="0.25">
      <c r="G548" s="10" t="str">
        <f t="shared" si="26"/>
        <v/>
      </c>
      <c r="H548" t="str">
        <f t="shared" si="27"/>
        <v/>
      </c>
      <c r="M548" s="34">
        <f t="shared" si="28"/>
        <v>0</v>
      </c>
    </row>
    <row r="549" spans="7:13" x14ac:dyDescent="0.25">
      <c r="G549" s="10" t="str">
        <f t="shared" si="26"/>
        <v/>
      </c>
      <c r="H549" t="str">
        <f t="shared" si="27"/>
        <v/>
      </c>
      <c r="M549" s="34">
        <f t="shared" si="28"/>
        <v>0</v>
      </c>
    </row>
    <row r="550" spans="7:13" x14ac:dyDescent="0.25">
      <c r="G550" s="10" t="str">
        <f t="shared" si="26"/>
        <v/>
      </c>
      <c r="H550" t="str">
        <f t="shared" si="27"/>
        <v/>
      </c>
      <c r="M550" s="34">
        <f t="shared" si="28"/>
        <v>0</v>
      </c>
    </row>
    <row r="551" spans="7:13" x14ac:dyDescent="0.25">
      <c r="G551" s="10" t="str">
        <f t="shared" si="26"/>
        <v/>
      </c>
      <c r="H551" t="str">
        <f t="shared" si="27"/>
        <v/>
      </c>
      <c r="M551" s="34">
        <f t="shared" si="28"/>
        <v>0</v>
      </c>
    </row>
    <row r="552" spans="7:13" x14ac:dyDescent="0.25">
      <c r="G552" s="10" t="str">
        <f t="shared" si="26"/>
        <v/>
      </c>
      <c r="H552" t="str">
        <f t="shared" si="27"/>
        <v/>
      </c>
      <c r="M552" s="34">
        <f t="shared" si="28"/>
        <v>0</v>
      </c>
    </row>
    <row r="553" spans="7:13" x14ac:dyDescent="0.25">
      <c r="G553" s="10" t="str">
        <f t="shared" si="26"/>
        <v/>
      </c>
      <c r="H553" t="str">
        <f t="shared" si="27"/>
        <v/>
      </c>
      <c r="M553" s="34">
        <f t="shared" si="28"/>
        <v>0</v>
      </c>
    </row>
    <row r="554" spans="7:13" x14ac:dyDescent="0.25">
      <c r="G554" s="10" t="str">
        <f t="shared" si="26"/>
        <v/>
      </c>
      <c r="H554" t="str">
        <f t="shared" si="27"/>
        <v/>
      </c>
      <c r="M554" s="34">
        <f t="shared" si="28"/>
        <v>0</v>
      </c>
    </row>
    <row r="555" spans="7:13" x14ac:dyDescent="0.25">
      <c r="G555" s="10" t="str">
        <f t="shared" si="26"/>
        <v/>
      </c>
      <c r="H555" t="str">
        <f t="shared" si="27"/>
        <v/>
      </c>
      <c r="M555" s="34">
        <f t="shared" si="28"/>
        <v>0</v>
      </c>
    </row>
    <row r="556" spans="7:13" x14ac:dyDescent="0.25">
      <c r="G556" s="10" t="str">
        <f t="shared" si="26"/>
        <v/>
      </c>
      <c r="H556" t="str">
        <f t="shared" si="27"/>
        <v/>
      </c>
      <c r="M556" s="34">
        <f t="shared" si="28"/>
        <v>0</v>
      </c>
    </row>
    <row r="557" spans="7:13" x14ac:dyDescent="0.25">
      <c r="G557" s="10" t="str">
        <f t="shared" si="26"/>
        <v/>
      </c>
      <c r="H557" t="str">
        <f t="shared" si="27"/>
        <v/>
      </c>
      <c r="M557" s="34">
        <f t="shared" si="28"/>
        <v>0</v>
      </c>
    </row>
    <row r="558" spans="7:13" x14ac:dyDescent="0.25">
      <c r="G558" s="10" t="str">
        <f t="shared" si="26"/>
        <v/>
      </c>
      <c r="H558" t="str">
        <f t="shared" si="27"/>
        <v/>
      </c>
      <c r="M558" s="34">
        <f t="shared" si="28"/>
        <v>0</v>
      </c>
    </row>
    <row r="559" spans="7:13" x14ac:dyDescent="0.25">
      <c r="G559" s="10" t="str">
        <f t="shared" si="26"/>
        <v/>
      </c>
      <c r="H559" t="str">
        <f t="shared" si="27"/>
        <v/>
      </c>
      <c r="M559" s="34">
        <f t="shared" si="28"/>
        <v>0</v>
      </c>
    </row>
    <row r="560" spans="7:13" x14ac:dyDescent="0.25">
      <c r="G560" s="10" t="str">
        <f t="shared" si="26"/>
        <v/>
      </c>
      <c r="H560" t="str">
        <f t="shared" si="27"/>
        <v/>
      </c>
      <c r="M560" s="34">
        <f t="shared" si="28"/>
        <v>0</v>
      </c>
    </row>
    <row r="561" spans="7:13" x14ac:dyDescent="0.25">
      <c r="G561" s="10" t="str">
        <f t="shared" si="26"/>
        <v/>
      </c>
      <c r="H561" t="str">
        <f t="shared" si="27"/>
        <v/>
      </c>
      <c r="M561" s="34">
        <f t="shared" si="28"/>
        <v>0</v>
      </c>
    </row>
    <row r="562" spans="7:13" x14ac:dyDescent="0.25">
      <c r="G562" s="10" t="str">
        <f t="shared" si="26"/>
        <v/>
      </c>
      <c r="H562" t="str">
        <f t="shared" si="27"/>
        <v/>
      </c>
      <c r="M562" s="34">
        <f t="shared" si="28"/>
        <v>0</v>
      </c>
    </row>
    <row r="563" spans="7:13" x14ac:dyDescent="0.25">
      <c r="G563" s="10" t="str">
        <f t="shared" si="26"/>
        <v/>
      </c>
      <c r="H563" t="str">
        <f t="shared" si="27"/>
        <v/>
      </c>
      <c r="M563" s="34">
        <f t="shared" si="28"/>
        <v>0</v>
      </c>
    </row>
    <row r="564" spans="7:13" x14ac:dyDescent="0.25">
      <c r="G564" s="10" t="str">
        <f t="shared" si="26"/>
        <v/>
      </c>
      <c r="H564" t="str">
        <f t="shared" si="27"/>
        <v/>
      </c>
      <c r="M564" s="34">
        <f t="shared" si="28"/>
        <v>0</v>
      </c>
    </row>
    <row r="565" spans="7:13" x14ac:dyDescent="0.25">
      <c r="G565" s="10" t="str">
        <f t="shared" si="26"/>
        <v/>
      </c>
      <c r="H565" t="str">
        <f t="shared" si="27"/>
        <v/>
      </c>
      <c r="M565" s="34">
        <f t="shared" si="28"/>
        <v>0</v>
      </c>
    </row>
    <row r="566" spans="7:13" x14ac:dyDescent="0.25">
      <c r="G566" s="10" t="str">
        <f t="shared" si="26"/>
        <v/>
      </c>
      <c r="H566" t="str">
        <f t="shared" si="27"/>
        <v/>
      </c>
      <c r="M566" s="34">
        <f t="shared" si="28"/>
        <v>0</v>
      </c>
    </row>
    <row r="567" spans="7:13" x14ac:dyDescent="0.25">
      <c r="G567" s="10" t="str">
        <f t="shared" si="26"/>
        <v/>
      </c>
      <c r="H567" t="str">
        <f t="shared" si="27"/>
        <v/>
      </c>
      <c r="M567" s="34">
        <f t="shared" si="28"/>
        <v>0</v>
      </c>
    </row>
    <row r="568" spans="7:13" x14ac:dyDescent="0.25">
      <c r="G568" s="10" t="str">
        <f t="shared" si="26"/>
        <v/>
      </c>
      <c r="H568" t="str">
        <f t="shared" si="27"/>
        <v/>
      </c>
      <c r="M568" s="34">
        <f t="shared" si="28"/>
        <v>0</v>
      </c>
    </row>
    <row r="569" spans="7:13" x14ac:dyDescent="0.25">
      <c r="G569" s="10" t="str">
        <f t="shared" si="26"/>
        <v/>
      </c>
      <c r="H569" t="str">
        <f t="shared" si="27"/>
        <v/>
      </c>
      <c r="M569" s="34">
        <f t="shared" si="28"/>
        <v>0</v>
      </c>
    </row>
    <row r="570" spans="7:13" x14ac:dyDescent="0.25">
      <c r="G570" s="10" t="str">
        <f t="shared" si="26"/>
        <v/>
      </c>
      <c r="H570" t="str">
        <f t="shared" si="27"/>
        <v/>
      </c>
      <c r="M570" s="34">
        <f t="shared" si="28"/>
        <v>0</v>
      </c>
    </row>
    <row r="571" spans="7:13" x14ac:dyDescent="0.25">
      <c r="G571" s="10" t="str">
        <f t="shared" si="26"/>
        <v/>
      </c>
      <c r="H571" t="str">
        <f t="shared" si="27"/>
        <v/>
      </c>
      <c r="M571" s="34">
        <f t="shared" si="28"/>
        <v>0</v>
      </c>
    </row>
    <row r="572" spans="7:13" x14ac:dyDescent="0.25">
      <c r="G572" s="10" t="str">
        <f t="shared" si="26"/>
        <v/>
      </c>
      <c r="H572" t="str">
        <f t="shared" si="27"/>
        <v/>
      </c>
      <c r="M572" s="34">
        <f t="shared" si="28"/>
        <v>0</v>
      </c>
    </row>
    <row r="573" spans="7:13" x14ac:dyDescent="0.25">
      <c r="G573" s="10" t="str">
        <f t="shared" si="26"/>
        <v/>
      </c>
      <c r="H573" t="str">
        <f t="shared" si="27"/>
        <v/>
      </c>
      <c r="M573" s="34">
        <f t="shared" si="28"/>
        <v>0</v>
      </c>
    </row>
    <row r="574" spans="7:13" x14ac:dyDescent="0.25">
      <c r="G574" s="10" t="str">
        <f t="shared" si="26"/>
        <v/>
      </c>
      <c r="H574" t="str">
        <f t="shared" si="27"/>
        <v/>
      </c>
      <c r="M574" s="34">
        <f t="shared" si="28"/>
        <v>0</v>
      </c>
    </row>
    <row r="575" spans="7:13" x14ac:dyDescent="0.25">
      <c r="G575" s="10" t="str">
        <f t="shared" si="26"/>
        <v/>
      </c>
      <c r="H575" t="str">
        <f t="shared" si="27"/>
        <v/>
      </c>
      <c r="M575" s="34">
        <f t="shared" si="28"/>
        <v>0</v>
      </c>
    </row>
    <row r="576" spans="7:13" x14ac:dyDescent="0.25">
      <c r="G576" s="10" t="str">
        <f t="shared" si="26"/>
        <v/>
      </c>
      <c r="H576" t="str">
        <f t="shared" si="27"/>
        <v/>
      </c>
      <c r="M576" s="34">
        <f t="shared" si="28"/>
        <v>0</v>
      </c>
    </row>
    <row r="577" spans="7:13" x14ac:dyDescent="0.25">
      <c r="G577" s="10" t="str">
        <f t="shared" si="26"/>
        <v/>
      </c>
      <c r="H577" t="str">
        <f t="shared" si="27"/>
        <v/>
      </c>
      <c r="M577" s="34">
        <f t="shared" si="28"/>
        <v>0</v>
      </c>
    </row>
    <row r="578" spans="7:13" x14ac:dyDescent="0.25">
      <c r="G578" s="10" t="str">
        <f t="shared" ref="G578:G641" si="29">IF(F578&gt;0,"RECETTE",IF(F578&lt;0,"DÉPENSE",""))</f>
        <v/>
      </c>
      <c r="H578" t="str">
        <f t="shared" ref="H578:H641" si="30">+IF(ISNUMBER(D578),D578,"")</f>
        <v/>
      </c>
      <c r="M578" s="34">
        <f t="shared" si="28"/>
        <v>0</v>
      </c>
    </row>
    <row r="579" spans="7:13" x14ac:dyDescent="0.25">
      <c r="G579" s="10" t="str">
        <f t="shared" si="29"/>
        <v/>
      </c>
      <c r="H579" t="str">
        <f t="shared" si="30"/>
        <v/>
      </c>
      <c r="M579" s="34">
        <f t="shared" ref="M579:M642" si="31">IF(AND(E579="Chèque",G579="RECETTE"),F579,0)</f>
        <v>0</v>
      </c>
    </row>
    <row r="580" spans="7:13" x14ac:dyDescent="0.25">
      <c r="G580" s="10" t="str">
        <f t="shared" si="29"/>
        <v/>
      </c>
      <c r="H580" t="str">
        <f t="shared" si="30"/>
        <v/>
      </c>
      <c r="M580" s="34">
        <f t="shared" si="31"/>
        <v>0</v>
      </c>
    </row>
    <row r="581" spans="7:13" x14ac:dyDescent="0.25">
      <c r="G581" s="10" t="str">
        <f t="shared" si="29"/>
        <v/>
      </c>
      <c r="H581" t="str">
        <f t="shared" si="30"/>
        <v/>
      </c>
      <c r="M581" s="34">
        <f t="shared" si="31"/>
        <v>0</v>
      </c>
    </row>
    <row r="582" spans="7:13" x14ac:dyDescent="0.25">
      <c r="G582" s="10" t="str">
        <f t="shared" si="29"/>
        <v/>
      </c>
      <c r="H582" t="str">
        <f t="shared" si="30"/>
        <v/>
      </c>
      <c r="M582" s="34">
        <f t="shared" si="31"/>
        <v>0</v>
      </c>
    </row>
    <row r="583" spans="7:13" x14ac:dyDescent="0.25">
      <c r="G583" s="10" t="str">
        <f t="shared" si="29"/>
        <v/>
      </c>
      <c r="H583" t="str">
        <f t="shared" si="30"/>
        <v/>
      </c>
      <c r="M583" s="34">
        <f t="shared" si="31"/>
        <v>0</v>
      </c>
    </row>
    <row r="584" spans="7:13" x14ac:dyDescent="0.25">
      <c r="G584" s="10" t="str">
        <f t="shared" si="29"/>
        <v/>
      </c>
      <c r="H584" t="str">
        <f t="shared" si="30"/>
        <v/>
      </c>
      <c r="M584" s="34">
        <f t="shared" si="31"/>
        <v>0</v>
      </c>
    </row>
    <row r="585" spans="7:13" x14ac:dyDescent="0.25">
      <c r="G585" s="10" t="str">
        <f t="shared" si="29"/>
        <v/>
      </c>
      <c r="H585" t="str">
        <f t="shared" si="30"/>
        <v/>
      </c>
      <c r="M585" s="34">
        <f t="shared" si="31"/>
        <v>0</v>
      </c>
    </row>
    <row r="586" spans="7:13" x14ac:dyDescent="0.25">
      <c r="G586" s="10" t="str">
        <f t="shared" si="29"/>
        <v/>
      </c>
      <c r="H586" t="str">
        <f t="shared" si="30"/>
        <v/>
      </c>
      <c r="M586" s="34">
        <f t="shared" si="31"/>
        <v>0</v>
      </c>
    </row>
    <row r="587" spans="7:13" x14ac:dyDescent="0.25">
      <c r="G587" s="10" t="str">
        <f t="shared" si="29"/>
        <v/>
      </c>
      <c r="H587" t="str">
        <f t="shared" si="30"/>
        <v/>
      </c>
      <c r="M587" s="34">
        <f t="shared" si="31"/>
        <v>0</v>
      </c>
    </row>
    <row r="588" spans="7:13" x14ac:dyDescent="0.25">
      <c r="G588" s="10" t="str">
        <f t="shared" si="29"/>
        <v/>
      </c>
      <c r="H588" t="str">
        <f t="shared" si="30"/>
        <v/>
      </c>
      <c r="M588" s="34">
        <f t="shared" si="31"/>
        <v>0</v>
      </c>
    </row>
    <row r="589" spans="7:13" x14ac:dyDescent="0.25">
      <c r="G589" s="10" t="str">
        <f t="shared" si="29"/>
        <v/>
      </c>
      <c r="H589" t="str">
        <f t="shared" si="30"/>
        <v/>
      </c>
      <c r="M589" s="34">
        <f t="shared" si="31"/>
        <v>0</v>
      </c>
    </row>
    <row r="590" spans="7:13" x14ac:dyDescent="0.25">
      <c r="G590" s="10" t="str">
        <f t="shared" si="29"/>
        <v/>
      </c>
      <c r="H590" t="str">
        <f t="shared" si="30"/>
        <v/>
      </c>
      <c r="M590" s="34">
        <f t="shared" si="31"/>
        <v>0</v>
      </c>
    </row>
    <row r="591" spans="7:13" x14ac:dyDescent="0.25">
      <c r="G591" s="10" t="str">
        <f t="shared" si="29"/>
        <v/>
      </c>
      <c r="H591" t="str">
        <f t="shared" si="30"/>
        <v/>
      </c>
      <c r="M591" s="34">
        <f t="shared" si="31"/>
        <v>0</v>
      </c>
    </row>
    <row r="592" spans="7:13" x14ac:dyDescent="0.25">
      <c r="G592" s="10" t="str">
        <f t="shared" si="29"/>
        <v/>
      </c>
      <c r="H592" t="str">
        <f t="shared" si="30"/>
        <v/>
      </c>
      <c r="M592" s="34">
        <f t="shared" si="31"/>
        <v>0</v>
      </c>
    </row>
    <row r="593" spans="7:13" x14ac:dyDescent="0.25">
      <c r="G593" s="10" t="str">
        <f t="shared" si="29"/>
        <v/>
      </c>
      <c r="H593" t="str">
        <f t="shared" si="30"/>
        <v/>
      </c>
      <c r="M593" s="34">
        <f t="shared" si="31"/>
        <v>0</v>
      </c>
    </row>
    <row r="594" spans="7:13" x14ac:dyDescent="0.25">
      <c r="G594" s="10" t="str">
        <f t="shared" si="29"/>
        <v/>
      </c>
      <c r="H594" t="str">
        <f t="shared" si="30"/>
        <v/>
      </c>
      <c r="M594" s="34">
        <f t="shared" si="31"/>
        <v>0</v>
      </c>
    </row>
    <row r="595" spans="7:13" x14ac:dyDescent="0.25">
      <c r="G595" s="10" t="str">
        <f t="shared" si="29"/>
        <v/>
      </c>
      <c r="H595" t="str">
        <f t="shared" si="30"/>
        <v/>
      </c>
      <c r="M595" s="34">
        <f t="shared" si="31"/>
        <v>0</v>
      </c>
    </row>
    <row r="596" spans="7:13" x14ac:dyDescent="0.25">
      <c r="G596" s="10" t="str">
        <f t="shared" si="29"/>
        <v/>
      </c>
      <c r="H596" t="str">
        <f t="shared" si="30"/>
        <v/>
      </c>
      <c r="M596" s="34">
        <f t="shared" si="31"/>
        <v>0</v>
      </c>
    </row>
    <row r="597" spans="7:13" x14ac:dyDescent="0.25">
      <c r="G597" s="10" t="str">
        <f t="shared" si="29"/>
        <v/>
      </c>
      <c r="H597" t="str">
        <f t="shared" si="30"/>
        <v/>
      </c>
      <c r="M597" s="34">
        <f t="shared" si="31"/>
        <v>0</v>
      </c>
    </row>
    <row r="598" spans="7:13" x14ac:dyDescent="0.25">
      <c r="G598" s="10" t="str">
        <f t="shared" si="29"/>
        <v/>
      </c>
      <c r="H598" t="str">
        <f t="shared" si="30"/>
        <v/>
      </c>
      <c r="M598" s="34">
        <f t="shared" si="31"/>
        <v>0</v>
      </c>
    </row>
    <row r="599" spans="7:13" x14ac:dyDescent="0.25">
      <c r="G599" s="10" t="str">
        <f t="shared" si="29"/>
        <v/>
      </c>
      <c r="H599" t="str">
        <f t="shared" si="30"/>
        <v/>
      </c>
      <c r="M599" s="34">
        <f t="shared" si="31"/>
        <v>0</v>
      </c>
    </row>
    <row r="600" spans="7:13" x14ac:dyDescent="0.25">
      <c r="G600" s="10" t="str">
        <f t="shared" si="29"/>
        <v/>
      </c>
      <c r="H600" t="str">
        <f t="shared" si="30"/>
        <v/>
      </c>
      <c r="M600" s="34">
        <f t="shared" si="31"/>
        <v>0</v>
      </c>
    </row>
    <row r="601" spans="7:13" x14ac:dyDescent="0.25">
      <c r="G601" s="10" t="str">
        <f t="shared" si="29"/>
        <v/>
      </c>
      <c r="H601" t="str">
        <f t="shared" si="30"/>
        <v/>
      </c>
      <c r="M601" s="34">
        <f t="shared" si="31"/>
        <v>0</v>
      </c>
    </row>
    <row r="602" spans="7:13" x14ac:dyDescent="0.25">
      <c r="G602" s="10" t="str">
        <f t="shared" si="29"/>
        <v/>
      </c>
      <c r="H602" t="str">
        <f t="shared" si="30"/>
        <v/>
      </c>
      <c r="M602" s="34">
        <f t="shared" si="31"/>
        <v>0</v>
      </c>
    </row>
    <row r="603" spans="7:13" x14ac:dyDescent="0.25">
      <c r="G603" s="10" t="str">
        <f t="shared" si="29"/>
        <v/>
      </c>
      <c r="H603" t="str">
        <f t="shared" si="30"/>
        <v/>
      </c>
      <c r="M603" s="34">
        <f t="shared" si="31"/>
        <v>0</v>
      </c>
    </row>
    <row r="604" spans="7:13" x14ac:dyDescent="0.25">
      <c r="G604" s="10" t="str">
        <f t="shared" si="29"/>
        <v/>
      </c>
      <c r="H604" t="str">
        <f t="shared" si="30"/>
        <v/>
      </c>
      <c r="M604" s="34">
        <f t="shared" si="31"/>
        <v>0</v>
      </c>
    </row>
    <row r="605" spans="7:13" x14ac:dyDescent="0.25">
      <c r="G605" s="10" t="str">
        <f t="shared" si="29"/>
        <v/>
      </c>
      <c r="H605" t="str">
        <f t="shared" si="30"/>
        <v/>
      </c>
      <c r="M605" s="34">
        <f t="shared" si="31"/>
        <v>0</v>
      </c>
    </row>
    <row r="606" spans="7:13" x14ac:dyDescent="0.25">
      <c r="G606" s="10" t="str">
        <f t="shared" si="29"/>
        <v/>
      </c>
      <c r="H606" t="str">
        <f t="shared" si="30"/>
        <v/>
      </c>
      <c r="M606" s="34">
        <f t="shared" si="31"/>
        <v>0</v>
      </c>
    </row>
    <row r="607" spans="7:13" x14ac:dyDescent="0.25">
      <c r="G607" s="10" t="str">
        <f t="shared" si="29"/>
        <v/>
      </c>
      <c r="H607" t="str">
        <f t="shared" si="30"/>
        <v/>
      </c>
      <c r="M607" s="34">
        <f t="shared" si="31"/>
        <v>0</v>
      </c>
    </row>
    <row r="608" spans="7:13" x14ac:dyDescent="0.25">
      <c r="G608" s="10" t="str">
        <f t="shared" si="29"/>
        <v/>
      </c>
      <c r="H608" t="str">
        <f t="shared" si="30"/>
        <v/>
      </c>
      <c r="M608" s="34">
        <f t="shared" si="31"/>
        <v>0</v>
      </c>
    </row>
    <row r="609" spans="7:13" x14ac:dyDescent="0.25">
      <c r="G609" s="10" t="str">
        <f t="shared" si="29"/>
        <v/>
      </c>
      <c r="H609" t="str">
        <f t="shared" si="30"/>
        <v/>
      </c>
      <c r="M609" s="34">
        <f t="shared" si="31"/>
        <v>0</v>
      </c>
    </row>
    <row r="610" spans="7:13" x14ac:dyDescent="0.25">
      <c r="G610" s="10" t="str">
        <f t="shared" si="29"/>
        <v/>
      </c>
      <c r="H610" t="str">
        <f t="shared" si="30"/>
        <v/>
      </c>
      <c r="M610" s="34">
        <f t="shared" si="31"/>
        <v>0</v>
      </c>
    </row>
    <row r="611" spans="7:13" x14ac:dyDescent="0.25">
      <c r="G611" s="10" t="str">
        <f t="shared" si="29"/>
        <v/>
      </c>
      <c r="H611" t="str">
        <f t="shared" si="30"/>
        <v/>
      </c>
      <c r="M611" s="34">
        <f t="shared" si="31"/>
        <v>0</v>
      </c>
    </row>
    <row r="612" spans="7:13" x14ac:dyDescent="0.25">
      <c r="G612" s="10" t="str">
        <f t="shared" si="29"/>
        <v/>
      </c>
      <c r="H612" t="str">
        <f t="shared" si="30"/>
        <v/>
      </c>
      <c r="M612" s="34">
        <f t="shared" si="31"/>
        <v>0</v>
      </c>
    </row>
    <row r="613" spans="7:13" x14ac:dyDescent="0.25">
      <c r="G613" s="10" t="str">
        <f t="shared" si="29"/>
        <v/>
      </c>
      <c r="H613" t="str">
        <f t="shared" si="30"/>
        <v/>
      </c>
      <c r="M613" s="34">
        <f t="shared" si="31"/>
        <v>0</v>
      </c>
    </row>
    <row r="614" spans="7:13" x14ac:dyDescent="0.25">
      <c r="G614" s="10" t="str">
        <f t="shared" si="29"/>
        <v/>
      </c>
      <c r="H614" t="str">
        <f t="shared" si="30"/>
        <v/>
      </c>
      <c r="M614" s="34">
        <f t="shared" si="31"/>
        <v>0</v>
      </c>
    </row>
    <row r="615" spans="7:13" x14ac:dyDescent="0.25">
      <c r="G615" s="10" t="str">
        <f t="shared" si="29"/>
        <v/>
      </c>
      <c r="H615" t="str">
        <f t="shared" si="30"/>
        <v/>
      </c>
      <c r="M615" s="34">
        <f t="shared" si="31"/>
        <v>0</v>
      </c>
    </row>
    <row r="616" spans="7:13" x14ac:dyDescent="0.25">
      <c r="G616" s="10" t="str">
        <f t="shared" si="29"/>
        <v/>
      </c>
      <c r="H616" t="str">
        <f t="shared" si="30"/>
        <v/>
      </c>
      <c r="M616" s="34">
        <f t="shared" si="31"/>
        <v>0</v>
      </c>
    </row>
    <row r="617" spans="7:13" x14ac:dyDescent="0.25">
      <c r="G617" s="10" t="str">
        <f t="shared" si="29"/>
        <v/>
      </c>
      <c r="H617" t="str">
        <f t="shared" si="30"/>
        <v/>
      </c>
      <c r="M617" s="34">
        <f t="shared" si="31"/>
        <v>0</v>
      </c>
    </row>
    <row r="618" spans="7:13" x14ac:dyDescent="0.25">
      <c r="G618" s="10" t="str">
        <f t="shared" si="29"/>
        <v/>
      </c>
      <c r="H618" t="str">
        <f t="shared" si="30"/>
        <v/>
      </c>
      <c r="M618" s="34">
        <f t="shared" si="31"/>
        <v>0</v>
      </c>
    </row>
    <row r="619" spans="7:13" x14ac:dyDescent="0.25">
      <c r="G619" s="10" t="str">
        <f t="shared" si="29"/>
        <v/>
      </c>
      <c r="H619" t="str">
        <f t="shared" si="30"/>
        <v/>
      </c>
      <c r="M619" s="34">
        <f t="shared" si="31"/>
        <v>0</v>
      </c>
    </row>
    <row r="620" spans="7:13" x14ac:dyDescent="0.25">
      <c r="G620" s="10" t="str">
        <f t="shared" si="29"/>
        <v/>
      </c>
      <c r="H620" t="str">
        <f t="shared" si="30"/>
        <v/>
      </c>
      <c r="M620" s="34">
        <f t="shared" si="31"/>
        <v>0</v>
      </c>
    </row>
    <row r="621" spans="7:13" x14ac:dyDescent="0.25">
      <c r="G621" s="10" t="str">
        <f t="shared" si="29"/>
        <v/>
      </c>
      <c r="H621" t="str">
        <f t="shared" si="30"/>
        <v/>
      </c>
      <c r="M621" s="34">
        <f t="shared" si="31"/>
        <v>0</v>
      </c>
    </row>
    <row r="622" spans="7:13" x14ac:dyDescent="0.25">
      <c r="G622" s="10" t="str">
        <f t="shared" si="29"/>
        <v/>
      </c>
      <c r="H622" t="str">
        <f t="shared" si="30"/>
        <v/>
      </c>
      <c r="M622" s="34">
        <f t="shared" si="31"/>
        <v>0</v>
      </c>
    </row>
    <row r="623" spans="7:13" x14ac:dyDescent="0.25">
      <c r="G623" s="10" t="str">
        <f t="shared" si="29"/>
        <v/>
      </c>
      <c r="H623" t="str">
        <f t="shared" si="30"/>
        <v/>
      </c>
      <c r="M623" s="34">
        <f t="shared" si="31"/>
        <v>0</v>
      </c>
    </row>
    <row r="624" spans="7:13" x14ac:dyDescent="0.25">
      <c r="G624" s="10" t="str">
        <f t="shared" si="29"/>
        <v/>
      </c>
      <c r="H624" t="str">
        <f t="shared" si="30"/>
        <v/>
      </c>
      <c r="M624" s="34">
        <f t="shared" si="31"/>
        <v>0</v>
      </c>
    </row>
    <row r="625" spans="7:13" x14ac:dyDescent="0.25">
      <c r="G625" s="10" t="str">
        <f t="shared" si="29"/>
        <v/>
      </c>
      <c r="H625" t="str">
        <f t="shared" si="30"/>
        <v/>
      </c>
      <c r="M625" s="34">
        <f t="shared" si="31"/>
        <v>0</v>
      </c>
    </row>
    <row r="626" spans="7:13" x14ac:dyDescent="0.25">
      <c r="G626" s="10" t="str">
        <f t="shared" si="29"/>
        <v/>
      </c>
      <c r="H626" t="str">
        <f t="shared" si="30"/>
        <v/>
      </c>
      <c r="M626" s="34">
        <f t="shared" si="31"/>
        <v>0</v>
      </c>
    </row>
    <row r="627" spans="7:13" x14ac:dyDescent="0.25">
      <c r="G627" s="10" t="str">
        <f t="shared" si="29"/>
        <v/>
      </c>
      <c r="H627" t="str">
        <f t="shared" si="30"/>
        <v/>
      </c>
      <c r="M627" s="34">
        <f t="shared" si="31"/>
        <v>0</v>
      </c>
    </row>
    <row r="628" spans="7:13" x14ac:dyDescent="0.25">
      <c r="G628" s="10" t="str">
        <f t="shared" si="29"/>
        <v/>
      </c>
      <c r="H628" t="str">
        <f t="shared" si="30"/>
        <v/>
      </c>
      <c r="M628" s="34">
        <f t="shared" si="31"/>
        <v>0</v>
      </c>
    </row>
    <row r="629" spans="7:13" x14ac:dyDescent="0.25">
      <c r="G629" s="10" t="str">
        <f t="shared" si="29"/>
        <v/>
      </c>
      <c r="H629" t="str">
        <f t="shared" si="30"/>
        <v/>
      </c>
      <c r="M629" s="34">
        <f t="shared" si="31"/>
        <v>0</v>
      </c>
    </row>
    <row r="630" spans="7:13" x14ac:dyDescent="0.25">
      <c r="G630" s="10" t="str">
        <f t="shared" si="29"/>
        <v/>
      </c>
      <c r="H630" t="str">
        <f t="shared" si="30"/>
        <v/>
      </c>
      <c r="M630" s="34">
        <f t="shared" si="31"/>
        <v>0</v>
      </c>
    </row>
    <row r="631" spans="7:13" x14ac:dyDescent="0.25">
      <c r="G631" s="10" t="str">
        <f t="shared" si="29"/>
        <v/>
      </c>
      <c r="H631" t="str">
        <f t="shared" si="30"/>
        <v/>
      </c>
      <c r="M631" s="34">
        <f t="shared" si="31"/>
        <v>0</v>
      </c>
    </row>
    <row r="632" spans="7:13" x14ac:dyDescent="0.25">
      <c r="G632" s="10" t="str">
        <f t="shared" si="29"/>
        <v/>
      </c>
      <c r="H632" t="str">
        <f t="shared" si="30"/>
        <v/>
      </c>
      <c r="M632" s="34">
        <f t="shared" si="31"/>
        <v>0</v>
      </c>
    </row>
    <row r="633" spans="7:13" x14ac:dyDescent="0.25">
      <c r="G633" s="10" t="str">
        <f t="shared" si="29"/>
        <v/>
      </c>
      <c r="H633" t="str">
        <f t="shared" si="30"/>
        <v/>
      </c>
      <c r="M633" s="34">
        <f t="shared" si="31"/>
        <v>0</v>
      </c>
    </row>
    <row r="634" spans="7:13" x14ac:dyDescent="0.25">
      <c r="G634" s="10" t="str">
        <f t="shared" si="29"/>
        <v/>
      </c>
      <c r="H634" t="str">
        <f t="shared" si="30"/>
        <v/>
      </c>
      <c r="M634" s="34">
        <f t="shared" si="31"/>
        <v>0</v>
      </c>
    </row>
    <row r="635" spans="7:13" x14ac:dyDescent="0.25">
      <c r="G635" s="10" t="str">
        <f t="shared" si="29"/>
        <v/>
      </c>
      <c r="H635" t="str">
        <f t="shared" si="30"/>
        <v/>
      </c>
      <c r="M635" s="34">
        <f t="shared" si="31"/>
        <v>0</v>
      </c>
    </row>
    <row r="636" spans="7:13" x14ac:dyDescent="0.25">
      <c r="G636" s="10" t="str">
        <f t="shared" si="29"/>
        <v/>
      </c>
      <c r="H636" t="str">
        <f t="shared" si="30"/>
        <v/>
      </c>
      <c r="M636" s="34">
        <f t="shared" si="31"/>
        <v>0</v>
      </c>
    </row>
    <row r="637" spans="7:13" x14ac:dyDescent="0.25">
      <c r="G637" s="10" t="str">
        <f t="shared" si="29"/>
        <v/>
      </c>
      <c r="H637" t="str">
        <f t="shared" si="30"/>
        <v/>
      </c>
      <c r="M637" s="34">
        <f t="shared" si="31"/>
        <v>0</v>
      </c>
    </row>
    <row r="638" spans="7:13" x14ac:dyDescent="0.25">
      <c r="G638" s="10" t="str">
        <f t="shared" si="29"/>
        <v/>
      </c>
      <c r="H638" t="str">
        <f t="shared" si="30"/>
        <v/>
      </c>
      <c r="M638" s="34">
        <f t="shared" si="31"/>
        <v>0</v>
      </c>
    </row>
    <row r="639" spans="7:13" x14ac:dyDescent="0.25">
      <c r="G639" s="10" t="str">
        <f t="shared" si="29"/>
        <v/>
      </c>
      <c r="H639" t="str">
        <f t="shared" si="30"/>
        <v/>
      </c>
      <c r="M639" s="34">
        <f t="shared" si="31"/>
        <v>0</v>
      </c>
    </row>
    <row r="640" spans="7:13" x14ac:dyDescent="0.25">
      <c r="G640" s="10" t="str">
        <f t="shared" si="29"/>
        <v/>
      </c>
      <c r="H640" t="str">
        <f t="shared" si="30"/>
        <v/>
      </c>
      <c r="M640" s="34">
        <f t="shared" si="31"/>
        <v>0</v>
      </c>
    </row>
    <row r="641" spans="7:13" x14ac:dyDescent="0.25">
      <c r="G641" s="10" t="str">
        <f t="shared" si="29"/>
        <v/>
      </c>
      <c r="H641" t="str">
        <f t="shared" si="30"/>
        <v/>
      </c>
      <c r="M641" s="34">
        <f t="shared" si="31"/>
        <v>0</v>
      </c>
    </row>
    <row r="642" spans="7:13" x14ac:dyDescent="0.25">
      <c r="G642" s="10" t="str">
        <f t="shared" ref="G642:G705" si="32">IF(F642&gt;0,"RECETTE",IF(F642&lt;0,"DÉPENSE",""))</f>
        <v/>
      </c>
      <c r="H642" t="str">
        <f t="shared" ref="H642:H705" si="33">+IF(ISNUMBER(D642),D642,"")</f>
        <v/>
      </c>
      <c r="M642" s="34">
        <f t="shared" si="31"/>
        <v>0</v>
      </c>
    </row>
    <row r="643" spans="7:13" x14ac:dyDescent="0.25">
      <c r="G643" s="10" t="str">
        <f t="shared" si="32"/>
        <v/>
      </c>
      <c r="H643" t="str">
        <f t="shared" si="33"/>
        <v/>
      </c>
      <c r="M643" s="34">
        <f t="shared" ref="M643:M706" si="34">IF(AND(E643="Chèque",G643="RECETTE"),F643,0)</f>
        <v>0</v>
      </c>
    </row>
    <row r="644" spans="7:13" x14ac:dyDescent="0.25">
      <c r="G644" s="10" t="str">
        <f t="shared" si="32"/>
        <v/>
      </c>
      <c r="H644" t="str">
        <f t="shared" si="33"/>
        <v/>
      </c>
      <c r="M644" s="34">
        <f t="shared" si="34"/>
        <v>0</v>
      </c>
    </row>
    <row r="645" spans="7:13" x14ac:dyDescent="0.25">
      <c r="G645" s="10" t="str">
        <f t="shared" si="32"/>
        <v/>
      </c>
      <c r="H645" t="str">
        <f t="shared" si="33"/>
        <v/>
      </c>
      <c r="M645" s="34">
        <f t="shared" si="34"/>
        <v>0</v>
      </c>
    </row>
    <row r="646" spans="7:13" x14ac:dyDescent="0.25">
      <c r="G646" s="10" t="str">
        <f t="shared" si="32"/>
        <v/>
      </c>
      <c r="H646" t="str">
        <f t="shared" si="33"/>
        <v/>
      </c>
      <c r="M646" s="34">
        <f t="shared" si="34"/>
        <v>0</v>
      </c>
    </row>
    <row r="647" spans="7:13" x14ac:dyDescent="0.25">
      <c r="G647" s="10" t="str">
        <f t="shared" si="32"/>
        <v/>
      </c>
      <c r="H647" t="str">
        <f t="shared" si="33"/>
        <v/>
      </c>
      <c r="M647" s="34">
        <f t="shared" si="34"/>
        <v>0</v>
      </c>
    </row>
    <row r="648" spans="7:13" x14ac:dyDescent="0.25">
      <c r="G648" s="10" t="str">
        <f t="shared" si="32"/>
        <v/>
      </c>
      <c r="H648" t="str">
        <f t="shared" si="33"/>
        <v/>
      </c>
      <c r="M648" s="34">
        <f t="shared" si="34"/>
        <v>0</v>
      </c>
    </row>
    <row r="649" spans="7:13" x14ac:dyDescent="0.25">
      <c r="G649" s="10" t="str">
        <f t="shared" si="32"/>
        <v/>
      </c>
      <c r="H649" t="str">
        <f t="shared" si="33"/>
        <v/>
      </c>
      <c r="M649" s="34">
        <f t="shared" si="34"/>
        <v>0</v>
      </c>
    </row>
    <row r="650" spans="7:13" x14ac:dyDescent="0.25">
      <c r="G650" s="10" t="str">
        <f t="shared" si="32"/>
        <v/>
      </c>
      <c r="H650" t="str">
        <f t="shared" si="33"/>
        <v/>
      </c>
      <c r="M650" s="34">
        <f t="shared" si="34"/>
        <v>0</v>
      </c>
    </row>
    <row r="651" spans="7:13" x14ac:dyDescent="0.25">
      <c r="G651" s="10" t="str">
        <f t="shared" si="32"/>
        <v/>
      </c>
      <c r="H651" t="str">
        <f t="shared" si="33"/>
        <v/>
      </c>
      <c r="M651" s="34">
        <f t="shared" si="34"/>
        <v>0</v>
      </c>
    </row>
    <row r="652" spans="7:13" x14ac:dyDescent="0.25">
      <c r="G652" s="10" t="str">
        <f t="shared" si="32"/>
        <v/>
      </c>
      <c r="H652" t="str">
        <f t="shared" si="33"/>
        <v/>
      </c>
      <c r="M652" s="34">
        <f t="shared" si="34"/>
        <v>0</v>
      </c>
    </row>
    <row r="653" spans="7:13" x14ac:dyDescent="0.25">
      <c r="G653" s="10" t="str">
        <f t="shared" si="32"/>
        <v/>
      </c>
      <c r="H653" t="str">
        <f t="shared" si="33"/>
        <v/>
      </c>
      <c r="M653" s="34">
        <f t="shared" si="34"/>
        <v>0</v>
      </c>
    </row>
    <row r="654" spans="7:13" x14ac:dyDescent="0.25">
      <c r="G654" s="10" t="str">
        <f t="shared" si="32"/>
        <v/>
      </c>
      <c r="H654" t="str">
        <f t="shared" si="33"/>
        <v/>
      </c>
      <c r="M654" s="34">
        <f t="shared" si="34"/>
        <v>0</v>
      </c>
    </row>
    <row r="655" spans="7:13" x14ac:dyDescent="0.25">
      <c r="G655" s="10" t="str">
        <f t="shared" si="32"/>
        <v/>
      </c>
      <c r="H655" t="str">
        <f t="shared" si="33"/>
        <v/>
      </c>
      <c r="M655" s="34">
        <f t="shared" si="34"/>
        <v>0</v>
      </c>
    </row>
    <row r="656" spans="7:13" x14ac:dyDescent="0.25">
      <c r="G656" s="10" t="str">
        <f t="shared" si="32"/>
        <v/>
      </c>
      <c r="H656" t="str">
        <f t="shared" si="33"/>
        <v/>
      </c>
      <c r="M656" s="34">
        <f t="shared" si="34"/>
        <v>0</v>
      </c>
    </row>
    <row r="657" spans="7:13" x14ac:dyDescent="0.25">
      <c r="G657" s="10" t="str">
        <f t="shared" si="32"/>
        <v/>
      </c>
      <c r="H657" t="str">
        <f t="shared" si="33"/>
        <v/>
      </c>
      <c r="M657" s="34">
        <f t="shared" si="34"/>
        <v>0</v>
      </c>
    </row>
    <row r="658" spans="7:13" x14ac:dyDescent="0.25">
      <c r="G658" s="10" t="str">
        <f t="shared" si="32"/>
        <v/>
      </c>
      <c r="H658" t="str">
        <f t="shared" si="33"/>
        <v/>
      </c>
      <c r="M658" s="34">
        <f t="shared" si="34"/>
        <v>0</v>
      </c>
    </row>
    <row r="659" spans="7:13" x14ac:dyDescent="0.25">
      <c r="G659" s="10" t="str">
        <f t="shared" si="32"/>
        <v/>
      </c>
      <c r="H659" t="str">
        <f t="shared" si="33"/>
        <v/>
      </c>
      <c r="M659" s="34">
        <f t="shared" si="34"/>
        <v>0</v>
      </c>
    </row>
    <row r="660" spans="7:13" x14ac:dyDescent="0.25">
      <c r="G660" s="10" t="str">
        <f t="shared" si="32"/>
        <v/>
      </c>
      <c r="H660" t="str">
        <f t="shared" si="33"/>
        <v/>
      </c>
      <c r="M660" s="34">
        <f t="shared" si="34"/>
        <v>0</v>
      </c>
    </row>
    <row r="661" spans="7:13" x14ac:dyDescent="0.25">
      <c r="G661" s="10" t="str">
        <f t="shared" si="32"/>
        <v/>
      </c>
      <c r="H661" t="str">
        <f t="shared" si="33"/>
        <v/>
      </c>
      <c r="M661" s="34">
        <f t="shared" si="34"/>
        <v>0</v>
      </c>
    </row>
    <row r="662" spans="7:13" x14ac:dyDescent="0.25">
      <c r="G662" s="10" t="str">
        <f t="shared" si="32"/>
        <v/>
      </c>
      <c r="H662" t="str">
        <f t="shared" si="33"/>
        <v/>
      </c>
      <c r="M662" s="34">
        <f t="shared" si="34"/>
        <v>0</v>
      </c>
    </row>
    <row r="663" spans="7:13" x14ac:dyDescent="0.25">
      <c r="G663" s="10" t="str">
        <f t="shared" si="32"/>
        <v/>
      </c>
      <c r="H663" t="str">
        <f t="shared" si="33"/>
        <v/>
      </c>
      <c r="M663" s="34">
        <f t="shared" si="34"/>
        <v>0</v>
      </c>
    </row>
    <row r="664" spans="7:13" x14ac:dyDescent="0.25">
      <c r="G664" s="10" t="str">
        <f t="shared" si="32"/>
        <v/>
      </c>
      <c r="H664" t="str">
        <f t="shared" si="33"/>
        <v/>
      </c>
      <c r="M664" s="34">
        <f t="shared" si="34"/>
        <v>0</v>
      </c>
    </row>
    <row r="665" spans="7:13" x14ac:dyDescent="0.25">
      <c r="G665" s="10" t="str">
        <f t="shared" si="32"/>
        <v/>
      </c>
      <c r="H665" t="str">
        <f t="shared" si="33"/>
        <v/>
      </c>
      <c r="M665" s="34">
        <f t="shared" si="34"/>
        <v>0</v>
      </c>
    </row>
    <row r="666" spans="7:13" x14ac:dyDescent="0.25">
      <c r="G666" s="10" t="str">
        <f t="shared" si="32"/>
        <v/>
      </c>
      <c r="H666" t="str">
        <f t="shared" si="33"/>
        <v/>
      </c>
      <c r="M666" s="34">
        <f t="shared" si="34"/>
        <v>0</v>
      </c>
    </row>
    <row r="667" spans="7:13" x14ac:dyDescent="0.25">
      <c r="G667" s="10" t="str">
        <f t="shared" si="32"/>
        <v/>
      </c>
      <c r="H667" t="str">
        <f t="shared" si="33"/>
        <v/>
      </c>
      <c r="M667" s="34">
        <f t="shared" si="34"/>
        <v>0</v>
      </c>
    </row>
    <row r="668" spans="7:13" x14ac:dyDescent="0.25">
      <c r="G668" s="10" t="str">
        <f t="shared" si="32"/>
        <v/>
      </c>
      <c r="H668" t="str">
        <f t="shared" si="33"/>
        <v/>
      </c>
      <c r="M668" s="34">
        <f t="shared" si="34"/>
        <v>0</v>
      </c>
    </row>
    <row r="669" spans="7:13" x14ac:dyDescent="0.25">
      <c r="G669" s="10" t="str">
        <f t="shared" si="32"/>
        <v/>
      </c>
      <c r="H669" t="str">
        <f t="shared" si="33"/>
        <v/>
      </c>
      <c r="M669" s="34">
        <f t="shared" si="34"/>
        <v>0</v>
      </c>
    </row>
    <row r="670" spans="7:13" x14ac:dyDescent="0.25">
      <c r="G670" s="10" t="str">
        <f t="shared" si="32"/>
        <v/>
      </c>
      <c r="H670" t="str">
        <f t="shared" si="33"/>
        <v/>
      </c>
      <c r="M670" s="34">
        <f t="shared" si="34"/>
        <v>0</v>
      </c>
    </row>
    <row r="671" spans="7:13" x14ac:dyDescent="0.25">
      <c r="G671" s="10" t="str">
        <f t="shared" si="32"/>
        <v/>
      </c>
      <c r="H671" t="str">
        <f t="shared" si="33"/>
        <v/>
      </c>
      <c r="M671" s="34">
        <f t="shared" si="34"/>
        <v>0</v>
      </c>
    </row>
    <row r="672" spans="7:13" x14ac:dyDescent="0.25">
      <c r="G672" s="10" t="str">
        <f t="shared" si="32"/>
        <v/>
      </c>
      <c r="H672" t="str">
        <f t="shared" si="33"/>
        <v/>
      </c>
      <c r="M672" s="34">
        <f t="shared" si="34"/>
        <v>0</v>
      </c>
    </row>
    <row r="673" spans="7:13" x14ac:dyDescent="0.25">
      <c r="G673" s="10" t="str">
        <f t="shared" si="32"/>
        <v/>
      </c>
      <c r="H673" t="str">
        <f t="shared" si="33"/>
        <v/>
      </c>
      <c r="M673" s="34">
        <f t="shared" si="34"/>
        <v>0</v>
      </c>
    </row>
    <row r="674" spans="7:13" x14ac:dyDescent="0.25">
      <c r="G674" s="10" t="str">
        <f t="shared" si="32"/>
        <v/>
      </c>
      <c r="H674" t="str">
        <f t="shared" si="33"/>
        <v/>
      </c>
      <c r="M674" s="34">
        <f t="shared" si="34"/>
        <v>0</v>
      </c>
    </row>
    <row r="675" spans="7:13" x14ac:dyDescent="0.25">
      <c r="G675" s="10" t="str">
        <f t="shared" si="32"/>
        <v/>
      </c>
      <c r="H675" t="str">
        <f t="shared" si="33"/>
        <v/>
      </c>
      <c r="M675" s="34">
        <f t="shared" si="34"/>
        <v>0</v>
      </c>
    </row>
    <row r="676" spans="7:13" x14ac:dyDescent="0.25">
      <c r="G676" s="10" t="str">
        <f t="shared" si="32"/>
        <v/>
      </c>
      <c r="H676" t="str">
        <f t="shared" si="33"/>
        <v/>
      </c>
      <c r="M676" s="34">
        <f t="shared" si="34"/>
        <v>0</v>
      </c>
    </row>
    <row r="677" spans="7:13" x14ac:dyDescent="0.25">
      <c r="G677" s="10" t="str">
        <f t="shared" si="32"/>
        <v/>
      </c>
      <c r="H677" t="str">
        <f t="shared" si="33"/>
        <v/>
      </c>
      <c r="M677" s="34">
        <f t="shared" si="34"/>
        <v>0</v>
      </c>
    </row>
    <row r="678" spans="7:13" x14ac:dyDescent="0.25">
      <c r="G678" s="10" t="str">
        <f t="shared" si="32"/>
        <v/>
      </c>
      <c r="H678" t="str">
        <f t="shared" si="33"/>
        <v/>
      </c>
      <c r="M678" s="34">
        <f t="shared" si="34"/>
        <v>0</v>
      </c>
    </row>
    <row r="679" spans="7:13" x14ac:dyDescent="0.25">
      <c r="G679" s="10" t="str">
        <f t="shared" si="32"/>
        <v/>
      </c>
      <c r="H679" t="str">
        <f t="shared" si="33"/>
        <v/>
      </c>
      <c r="M679" s="34">
        <f t="shared" si="34"/>
        <v>0</v>
      </c>
    </row>
    <row r="680" spans="7:13" x14ac:dyDescent="0.25">
      <c r="G680" s="10" t="str">
        <f t="shared" si="32"/>
        <v/>
      </c>
      <c r="H680" t="str">
        <f t="shared" si="33"/>
        <v/>
      </c>
      <c r="M680" s="34">
        <f t="shared" si="34"/>
        <v>0</v>
      </c>
    </row>
    <row r="681" spans="7:13" x14ac:dyDescent="0.25">
      <c r="G681" s="10" t="str">
        <f t="shared" si="32"/>
        <v/>
      </c>
      <c r="H681" t="str">
        <f t="shared" si="33"/>
        <v/>
      </c>
      <c r="M681" s="34">
        <f t="shared" si="34"/>
        <v>0</v>
      </c>
    </row>
    <row r="682" spans="7:13" x14ac:dyDescent="0.25">
      <c r="G682" s="10" t="str">
        <f t="shared" si="32"/>
        <v/>
      </c>
      <c r="H682" t="str">
        <f t="shared" si="33"/>
        <v/>
      </c>
      <c r="M682" s="34">
        <f t="shared" si="34"/>
        <v>0</v>
      </c>
    </row>
    <row r="683" spans="7:13" x14ac:dyDescent="0.25">
      <c r="G683" s="10" t="str">
        <f t="shared" si="32"/>
        <v/>
      </c>
      <c r="H683" t="str">
        <f t="shared" si="33"/>
        <v/>
      </c>
      <c r="M683" s="34">
        <f t="shared" si="34"/>
        <v>0</v>
      </c>
    </row>
    <row r="684" spans="7:13" x14ac:dyDescent="0.25">
      <c r="G684" s="10" t="str">
        <f t="shared" si="32"/>
        <v/>
      </c>
      <c r="H684" t="str">
        <f t="shared" si="33"/>
        <v/>
      </c>
      <c r="M684" s="34">
        <f t="shared" si="34"/>
        <v>0</v>
      </c>
    </row>
    <row r="685" spans="7:13" x14ac:dyDescent="0.25">
      <c r="G685" s="10" t="str">
        <f t="shared" si="32"/>
        <v/>
      </c>
      <c r="H685" t="str">
        <f t="shared" si="33"/>
        <v/>
      </c>
      <c r="M685" s="34">
        <f t="shared" si="34"/>
        <v>0</v>
      </c>
    </row>
    <row r="686" spans="7:13" x14ac:dyDescent="0.25">
      <c r="G686" s="10" t="str">
        <f t="shared" si="32"/>
        <v/>
      </c>
      <c r="H686" t="str">
        <f t="shared" si="33"/>
        <v/>
      </c>
      <c r="M686" s="34">
        <f t="shared" si="34"/>
        <v>0</v>
      </c>
    </row>
    <row r="687" spans="7:13" x14ac:dyDescent="0.25">
      <c r="G687" s="10" t="str">
        <f t="shared" si="32"/>
        <v/>
      </c>
      <c r="H687" t="str">
        <f t="shared" si="33"/>
        <v/>
      </c>
      <c r="M687" s="34">
        <f t="shared" si="34"/>
        <v>0</v>
      </c>
    </row>
    <row r="688" spans="7:13" x14ac:dyDescent="0.25">
      <c r="G688" s="10" t="str">
        <f t="shared" si="32"/>
        <v/>
      </c>
      <c r="H688" t="str">
        <f t="shared" si="33"/>
        <v/>
      </c>
      <c r="M688" s="34">
        <f t="shared" si="34"/>
        <v>0</v>
      </c>
    </row>
    <row r="689" spans="7:13" x14ac:dyDescent="0.25">
      <c r="G689" s="10" t="str">
        <f t="shared" si="32"/>
        <v/>
      </c>
      <c r="H689" t="str">
        <f t="shared" si="33"/>
        <v/>
      </c>
      <c r="M689" s="34">
        <f t="shared" si="34"/>
        <v>0</v>
      </c>
    </row>
    <row r="690" spans="7:13" x14ac:dyDescent="0.25">
      <c r="G690" s="10" t="str">
        <f t="shared" si="32"/>
        <v/>
      </c>
      <c r="H690" t="str">
        <f t="shared" si="33"/>
        <v/>
      </c>
      <c r="M690" s="34">
        <f t="shared" si="34"/>
        <v>0</v>
      </c>
    </row>
    <row r="691" spans="7:13" x14ac:dyDescent="0.25">
      <c r="G691" s="10" t="str">
        <f t="shared" si="32"/>
        <v/>
      </c>
      <c r="H691" t="str">
        <f t="shared" si="33"/>
        <v/>
      </c>
      <c r="M691" s="34">
        <f t="shared" si="34"/>
        <v>0</v>
      </c>
    </row>
    <row r="692" spans="7:13" x14ac:dyDescent="0.25">
      <c r="G692" s="10" t="str">
        <f t="shared" si="32"/>
        <v/>
      </c>
      <c r="H692" t="str">
        <f t="shared" si="33"/>
        <v/>
      </c>
      <c r="M692" s="34">
        <f t="shared" si="34"/>
        <v>0</v>
      </c>
    </row>
    <row r="693" spans="7:13" x14ac:dyDescent="0.25">
      <c r="G693" s="10" t="str">
        <f t="shared" si="32"/>
        <v/>
      </c>
      <c r="H693" t="str">
        <f t="shared" si="33"/>
        <v/>
      </c>
      <c r="M693" s="34">
        <f t="shared" si="34"/>
        <v>0</v>
      </c>
    </row>
    <row r="694" spans="7:13" x14ac:dyDescent="0.25">
      <c r="G694" s="10" t="str">
        <f t="shared" si="32"/>
        <v/>
      </c>
      <c r="H694" t="str">
        <f t="shared" si="33"/>
        <v/>
      </c>
      <c r="M694" s="34">
        <f t="shared" si="34"/>
        <v>0</v>
      </c>
    </row>
    <row r="695" spans="7:13" x14ac:dyDescent="0.25">
      <c r="G695" s="10" t="str">
        <f t="shared" si="32"/>
        <v/>
      </c>
      <c r="H695" t="str">
        <f t="shared" si="33"/>
        <v/>
      </c>
      <c r="M695" s="34">
        <f t="shared" si="34"/>
        <v>0</v>
      </c>
    </row>
    <row r="696" spans="7:13" x14ac:dyDescent="0.25">
      <c r="G696" s="10" t="str">
        <f t="shared" si="32"/>
        <v/>
      </c>
      <c r="H696" t="str">
        <f t="shared" si="33"/>
        <v/>
      </c>
      <c r="M696" s="34">
        <f t="shared" si="34"/>
        <v>0</v>
      </c>
    </row>
    <row r="697" spans="7:13" x14ac:dyDescent="0.25">
      <c r="G697" s="10" t="str">
        <f t="shared" si="32"/>
        <v/>
      </c>
      <c r="H697" t="str">
        <f t="shared" si="33"/>
        <v/>
      </c>
      <c r="M697" s="34">
        <f t="shared" si="34"/>
        <v>0</v>
      </c>
    </row>
    <row r="698" spans="7:13" x14ac:dyDescent="0.25">
      <c r="G698" s="10" t="str">
        <f t="shared" si="32"/>
        <v/>
      </c>
      <c r="H698" t="str">
        <f t="shared" si="33"/>
        <v/>
      </c>
      <c r="M698" s="34">
        <f t="shared" si="34"/>
        <v>0</v>
      </c>
    </row>
    <row r="699" spans="7:13" x14ac:dyDescent="0.25">
      <c r="G699" s="10" t="str">
        <f t="shared" si="32"/>
        <v/>
      </c>
      <c r="H699" t="str">
        <f t="shared" si="33"/>
        <v/>
      </c>
      <c r="M699" s="34">
        <f t="shared" si="34"/>
        <v>0</v>
      </c>
    </row>
    <row r="700" spans="7:13" x14ac:dyDescent="0.25">
      <c r="G700" s="10" t="str">
        <f t="shared" si="32"/>
        <v/>
      </c>
      <c r="H700" t="str">
        <f t="shared" si="33"/>
        <v/>
      </c>
      <c r="M700" s="34">
        <f t="shared" si="34"/>
        <v>0</v>
      </c>
    </row>
    <row r="701" spans="7:13" x14ac:dyDescent="0.25">
      <c r="G701" s="10" t="str">
        <f t="shared" si="32"/>
        <v/>
      </c>
      <c r="H701" t="str">
        <f t="shared" si="33"/>
        <v/>
      </c>
      <c r="M701" s="34">
        <f t="shared" si="34"/>
        <v>0</v>
      </c>
    </row>
    <row r="702" spans="7:13" x14ac:dyDescent="0.25">
      <c r="G702" s="10" t="str">
        <f t="shared" si="32"/>
        <v/>
      </c>
      <c r="H702" t="str">
        <f t="shared" si="33"/>
        <v/>
      </c>
      <c r="M702" s="34">
        <f t="shared" si="34"/>
        <v>0</v>
      </c>
    </row>
    <row r="703" spans="7:13" x14ac:dyDescent="0.25">
      <c r="G703" s="10" t="str">
        <f t="shared" si="32"/>
        <v/>
      </c>
      <c r="H703" t="str">
        <f t="shared" si="33"/>
        <v/>
      </c>
      <c r="M703" s="34">
        <f t="shared" si="34"/>
        <v>0</v>
      </c>
    </row>
    <row r="704" spans="7:13" x14ac:dyDescent="0.25">
      <c r="G704" s="10" t="str">
        <f t="shared" si="32"/>
        <v/>
      </c>
      <c r="H704" t="str">
        <f t="shared" si="33"/>
        <v/>
      </c>
      <c r="M704" s="34">
        <f t="shared" si="34"/>
        <v>0</v>
      </c>
    </row>
    <row r="705" spans="7:13" x14ac:dyDescent="0.25">
      <c r="G705" s="10" t="str">
        <f t="shared" si="32"/>
        <v/>
      </c>
      <c r="H705" t="str">
        <f t="shared" si="33"/>
        <v/>
      </c>
      <c r="M705" s="34">
        <f t="shared" si="34"/>
        <v>0</v>
      </c>
    </row>
    <row r="706" spans="7:13" x14ac:dyDescent="0.25">
      <c r="G706" s="10" t="str">
        <f t="shared" ref="G706:G769" si="35">IF(F706&gt;0,"RECETTE",IF(F706&lt;0,"DÉPENSE",""))</f>
        <v/>
      </c>
      <c r="H706" t="str">
        <f t="shared" ref="H706:H769" si="36">+IF(ISNUMBER(D706),D706,"")</f>
        <v/>
      </c>
      <c r="M706" s="34">
        <f t="shared" si="34"/>
        <v>0</v>
      </c>
    </row>
    <row r="707" spans="7:13" x14ac:dyDescent="0.25">
      <c r="G707" s="10" t="str">
        <f t="shared" si="35"/>
        <v/>
      </c>
      <c r="H707" t="str">
        <f t="shared" si="36"/>
        <v/>
      </c>
      <c r="M707" s="34">
        <f t="shared" ref="M707:M770" si="37">IF(AND(E707="Chèque",G707="RECETTE"),F707,0)</f>
        <v>0</v>
      </c>
    </row>
    <row r="708" spans="7:13" x14ac:dyDescent="0.25">
      <c r="G708" s="10" t="str">
        <f t="shared" si="35"/>
        <v/>
      </c>
      <c r="H708" t="str">
        <f t="shared" si="36"/>
        <v/>
      </c>
      <c r="M708" s="34">
        <f t="shared" si="37"/>
        <v>0</v>
      </c>
    </row>
    <row r="709" spans="7:13" x14ac:dyDescent="0.25">
      <c r="G709" s="10" t="str">
        <f t="shared" si="35"/>
        <v/>
      </c>
      <c r="H709" t="str">
        <f t="shared" si="36"/>
        <v/>
      </c>
      <c r="M709" s="34">
        <f t="shared" si="37"/>
        <v>0</v>
      </c>
    </row>
    <row r="710" spans="7:13" x14ac:dyDescent="0.25">
      <c r="G710" s="10" t="str">
        <f t="shared" si="35"/>
        <v/>
      </c>
      <c r="H710" t="str">
        <f t="shared" si="36"/>
        <v/>
      </c>
      <c r="M710" s="34">
        <f t="shared" si="37"/>
        <v>0</v>
      </c>
    </row>
    <row r="711" spans="7:13" x14ac:dyDescent="0.25">
      <c r="G711" s="10" t="str">
        <f t="shared" si="35"/>
        <v/>
      </c>
      <c r="H711" t="str">
        <f t="shared" si="36"/>
        <v/>
      </c>
      <c r="M711" s="34">
        <f t="shared" si="37"/>
        <v>0</v>
      </c>
    </row>
    <row r="712" spans="7:13" x14ac:dyDescent="0.25">
      <c r="G712" s="10" t="str">
        <f t="shared" si="35"/>
        <v/>
      </c>
      <c r="H712" t="str">
        <f t="shared" si="36"/>
        <v/>
      </c>
      <c r="M712" s="34">
        <f t="shared" si="37"/>
        <v>0</v>
      </c>
    </row>
    <row r="713" spans="7:13" x14ac:dyDescent="0.25">
      <c r="G713" s="10" t="str">
        <f t="shared" si="35"/>
        <v/>
      </c>
      <c r="H713" t="str">
        <f t="shared" si="36"/>
        <v/>
      </c>
      <c r="M713" s="34">
        <f t="shared" si="37"/>
        <v>0</v>
      </c>
    </row>
    <row r="714" spans="7:13" x14ac:dyDescent="0.25">
      <c r="G714" s="10" t="str">
        <f t="shared" si="35"/>
        <v/>
      </c>
      <c r="H714" t="str">
        <f t="shared" si="36"/>
        <v/>
      </c>
      <c r="M714" s="34">
        <f t="shared" si="37"/>
        <v>0</v>
      </c>
    </row>
    <row r="715" spans="7:13" x14ac:dyDescent="0.25">
      <c r="G715" s="10" t="str">
        <f t="shared" si="35"/>
        <v/>
      </c>
      <c r="H715" t="str">
        <f t="shared" si="36"/>
        <v/>
      </c>
      <c r="M715" s="34">
        <f t="shared" si="37"/>
        <v>0</v>
      </c>
    </row>
    <row r="716" spans="7:13" x14ac:dyDescent="0.25">
      <c r="G716" s="10" t="str">
        <f t="shared" si="35"/>
        <v/>
      </c>
      <c r="H716" t="str">
        <f t="shared" si="36"/>
        <v/>
      </c>
      <c r="M716" s="34">
        <f t="shared" si="37"/>
        <v>0</v>
      </c>
    </row>
    <row r="717" spans="7:13" x14ac:dyDescent="0.25">
      <c r="G717" s="10" t="str">
        <f t="shared" si="35"/>
        <v/>
      </c>
      <c r="H717" t="str">
        <f t="shared" si="36"/>
        <v/>
      </c>
      <c r="M717" s="34">
        <f t="shared" si="37"/>
        <v>0</v>
      </c>
    </row>
    <row r="718" spans="7:13" x14ac:dyDescent="0.25">
      <c r="G718" s="10" t="str">
        <f t="shared" si="35"/>
        <v/>
      </c>
      <c r="H718" t="str">
        <f t="shared" si="36"/>
        <v/>
      </c>
      <c r="M718" s="34">
        <f t="shared" si="37"/>
        <v>0</v>
      </c>
    </row>
    <row r="719" spans="7:13" x14ac:dyDescent="0.25">
      <c r="G719" s="10" t="str">
        <f t="shared" si="35"/>
        <v/>
      </c>
      <c r="H719" t="str">
        <f t="shared" si="36"/>
        <v/>
      </c>
      <c r="M719" s="34">
        <f t="shared" si="37"/>
        <v>0</v>
      </c>
    </row>
    <row r="720" spans="7:13" x14ac:dyDescent="0.25">
      <c r="G720" s="10" t="str">
        <f t="shared" si="35"/>
        <v/>
      </c>
      <c r="H720" t="str">
        <f t="shared" si="36"/>
        <v/>
      </c>
      <c r="M720" s="34">
        <f t="shared" si="37"/>
        <v>0</v>
      </c>
    </row>
    <row r="721" spans="7:13" x14ac:dyDescent="0.25">
      <c r="G721" s="10" t="str">
        <f t="shared" si="35"/>
        <v/>
      </c>
      <c r="H721" t="str">
        <f t="shared" si="36"/>
        <v/>
      </c>
      <c r="M721" s="34">
        <f t="shared" si="37"/>
        <v>0</v>
      </c>
    </row>
    <row r="722" spans="7:13" x14ac:dyDescent="0.25">
      <c r="G722" s="10" t="str">
        <f t="shared" si="35"/>
        <v/>
      </c>
      <c r="H722" t="str">
        <f t="shared" si="36"/>
        <v/>
      </c>
      <c r="M722" s="34">
        <f t="shared" si="37"/>
        <v>0</v>
      </c>
    </row>
    <row r="723" spans="7:13" x14ac:dyDescent="0.25">
      <c r="G723" s="10" t="str">
        <f t="shared" si="35"/>
        <v/>
      </c>
      <c r="H723" t="str">
        <f t="shared" si="36"/>
        <v/>
      </c>
      <c r="M723" s="34">
        <f t="shared" si="37"/>
        <v>0</v>
      </c>
    </row>
    <row r="724" spans="7:13" x14ac:dyDescent="0.25">
      <c r="G724" s="10" t="str">
        <f t="shared" si="35"/>
        <v/>
      </c>
      <c r="H724" t="str">
        <f t="shared" si="36"/>
        <v/>
      </c>
      <c r="M724" s="34">
        <f t="shared" si="37"/>
        <v>0</v>
      </c>
    </row>
    <row r="725" spans="7:13" x14ac:dyDescent="0.25">
      <c r="G725" s="10" t="str">
        <f t="shared" si="35"/>
        <v/>
      </c>
      <c r="H725" t="str">
        <f t="shared" si="36"/>
        <v/>
      </c>
      <c r="M725" s="34">
        <f t="shared" si="37"/>
        <v>0</v>
      </c>
    </row>
    <row r="726" spans="7:13" x14ac:dyDescent="0.25">
      <c r="G726" s="10" t="str">
        <f t="shared" si="35"/>
        <v/>
      </c>
      <c r="H726" t="str">
        <f t="shared" si="36"/>
        <v/>
      </c>
      <c r="M726" s="34">
        <f t="shared" si="37"/>
        <v>0</v>
      </c>
    </row>
    <row r="727" spans="7:13" x14ac:dyDescent="0.25">
      <c r="G727" s="10" t="str">
        <f t="shared" si="35"/>
        <v/>
      </c>
      <c r="H727" t="str">
        <f t="shared" si="36"/>
        <v/>
      </c>
      <c r="M727" s="34">
        <f t="shared" si="37"/>
        <v>0</v>
      </c>
    </row>
    <row r="728" spans="7:13" x14ac:dyDescent="0.25">
      <c r="G728" s="10" t="str">
        <f t="shared" si="35"/>
        <v/>
      </c>
      <c r="H728" t="str">
        <f t="shared" si="36"/>
        <v/>
      </c>
      <c r="M728" s="34">
        <f t="shared" si="37"/>
        <v>0</v>
      </c>
    </row>
    <row r="729" spans="7:13" x14ac:dyDescent="0.25">
      <c r="G729" s="10" t="str">
        <f t="shared" si="35"/>
        <v/>
      </c>
      <c r="H729" t="str">
        <f t="shared" si="36"/>
        <v/>
      </c>
      <c r="M729" s="34">
        <f t="shared" si="37"/>
        <v>0</v>
      </c>
    </row>
    <row r="730" spans="7:13" x14ac:dyDescent="0.25">
      <c r="G730" s="10" t="str">
        <f t="shared" si="35"/>
        <v/>
      </c>
      <c r="H730" t="str">
        <f t="shared" si="36"/>
        <v/>
      </c>
      <c r="M730" s="34">
        <f t="shared" si="37"/>
        <v>0</v>
      </c>
    </row>
    <row r="731" spans="7:13" x14ac:dyDescent="0.25">
      <c r="G731" s="10" t="str">
        <f t="shared" si="35"/>
        <v/>
      </c>
      <c r="H731" t="str">
        <f t="shared" si="36"/>
        <v/>
      </c>
      <c r="M731" s="34">
        <f t="shared" si="37"/>
        <v>0</v>
      </c>
    </row>
    <row r="732" spans="7:13" x14ac:dyDescent="0.25">
      <c r="G732" s="10" t="str">
        <f t="shared" si="35"/>
        <v/>
      </c>
      <c r="H732" t="str">
        <f t="shared" si="36"/>
        <v/>
      </c>
      <c r="M732" s="34">
        <f t="shared" si="37"/>
        <v>0</v>
      </c>
    </row>
    <row r="733" spans="7:13" x14ac:dyDescent="0.25">
      <c r="G733" s="10" t="str">
        <f t="shared" si="35"/>
        <v/>
      </c>
      <c r="H733" t="str">
        <f t="shared" si="36"/>
        <v/>
      </c>
      <c r="M733" s="34">
        <f t="shared" si="37"/>
        <v>0</v>
      </c>
    </row>
    <row r="734" spans="7:13" x14ac:dyDescent="0.25">
      <c r="G734" s="10" t="str">
        <f t="shared" si="35"/>
        <v/>
      </c>
      <c r="H734" t="str">
        <f t="shared" si="36"/>
        <v/>
      </c>
      <c r="M734" s="34">
        <f t="shared" si="37"/>
        <v>0</v>
      </c>
    </row>
    <row r="735" spans="7:13" x14ac:dyDescent="0.25">
      <c r="G735" s="10" t="str">
        <f t="shared" si="35"/>
        <v/>
      </c>
      <c r="H735" t="str">
        <f t="shared" si="36"/>
        <v/>
      </c>
      <c r="M735" s="34">
        <f t="shared" si="37"/>
        <v>0</v>
      </c>
    </row>
    <row r="736" spans="7:13" x14ac:dyDescent="0.25">
      <c r="G736" s="10" t="str">
        <f t="shared" si="35"/>
        <v/>
      </c>
      <c r="H736" t="str">
        <f t="shared" si="36"/>
        <v/>
      </c>
      <c r="M736" s="34">
        <f t="shared" si="37"/>
        <v>0</v>
      </c>
    </row>
    <row r="737" spans="7:13" x14ac:dyDescent="0.25">
      <c r="G737" s="10" t="str">
        <f t="shared" si="35"/>
        <v/>
      </c>
      <c r="H737" t="str">
        <f t="shared" si="36"/>
        <v/>
      </c>
      <c r="M737" s="34">
        <f t="shared" si="37"/>
        <v>0</v>
      </c>
    </row>
    <row r="738" spans="7:13" x14ac:dyDescent="0.25">
      <c r="G738" s="10" t="str">
        <f t="shared" si="35"/>
        <v/>
      </c>
      <c r="H738" t="str">
        <f t="shared" si="36"/>
        <v/>
      </c>
      <c r="M738" s="34">
        <f t="shared" si="37"/>
        <v>0</v>
      </c>
    </row>
    <row r="739" spans="7:13" x14ac:dyDescent="0.25">
      <c r="G739" s="10" t="str">
        <f t="shared" si="35"/>
        <v/>
      </c>
      <c r="H739" t="str">
        <f t="shared" si="36"/>
        <v/>
      </c>
      <c r="M739" s="34">
        <f t="shared" si="37"/>
        <v>0</v>
      </c>
    </row>
    <row r="740" spans="7:13" x14ac:dyDescent="0.25">
      <c r="G740" s="10" t="str">
        <f t="shared" si="35"/>
        <v/>
      </c>
      <c r="H740" t="str">
        <f t="shared" si="36"/>
        <v/>
      </c>
      <c r="M740" s="34">
        <f t="shared" si="37"/>
        <v>0</v>
      </c>
    </row>
    <row r="741" spans="7:13" x14ac:dyDescent="0.25">
      <c r="G741" s="10" t="str">
        <f t="shared" si="35"/>
        <v/>
      </c>
      <c r="H741" t="str">
        <f t="shared" si="36"/>
        <v/>
      </c>
      <c r="M741" s="34">
        <f t="shared" si="37"/>
        <v>0</v>
      </c>
    </row>
    <row r="742" spans="7:13" x14ac:dyDescent="0.25">
      <c r="G742" s="10" t="str">
        <f t="shared" si="35"/>
        <v/>
      </c>
      <c r="H742" t="str">
        <f t="shared" si="36"/>
        <v/>
      </c>
      <c r="M742" s="34">
        <f t="shared" si="37"/>
        <v>0</v>
      </c>
    </row>
    <row r="743" spans="7:13" x14ac:dyDescent="0.25">
      <c r="G743" s="10" t="str">
        <f t="shared" si="35"/>
        <v/>
      </c>
      <c r="H743" t="str">
        <f t="shared" si="36"/>
        <v/>
      </c>
      <c r="M743" s="34">
        <f t="shared" si="37"/>
        <v>0</v>
      </c>
    </row>
    <row r="744" spans="7:13" x14ac:dyDescent="0.25">
      <c r="G744" s="10" t="str">
        <f t="shared" si="35"/>
        <v/>
      </c>
      <c r="H744" t="str">
        <f t="shared" si="36"/>
        <v/>
      </c>
      <c r="M744" s="34">
        <f t="shared" si="37"/>
        <v>0</v>
      </c>
    </row>
    <row r="745" spans="7:13" x14ac:dyDescent="0.25">
      <c r="G745" s="10" t="str">
        <f t="shared" si="35"/>
        <v/>
      </c>
      <c r="H745" t="str">
        <f t="shared" si="36"/>
        <v/>
      </c>
      <c r="M745" s="34">
        <f t="shared" si="37"/>
        <v>0</v>
      </c>
    </row>
    <row r="746" spans="7:13" x14ac:dyDescent="0.25">
      <c r="G746" s="10" t="str">
        <f t="shared" si="35"/>
        <v/>
      </c>
      <c r="H746" t="str">
        <f t="shared" si="36"/>
        <v/>
      </c>
      <c r="M746" s="34">
        <f t="shared" si="37"/>
        <v>0</v>
      </c>
    </row>
    <row r="747" spans="7:13" x14ac:dyDescent="0.25">
      <c r="G747" s="10" t="str">
        <f t="shared" si="35"/>
        <v/>
      </c>
      <c r="H747" t="str">
        <f t="shared" si="36"/>
        <v/>
      </c>
      <c r="M747" s="34">
        <f t="shared" si="37"/>
        <v>0</v>
      </c>
    </row>
    <row r="748" spans="7:13" x14ac:dyDescent="0.25">
      <c r="G748" s="10" t="str">
        <f t="shared" si="35"/>
        <v/>
      </c>
      <c r="H748" t="str">
        <f t="shared" si="36"/>
        <v/>
      </c>
      <c r="M748" s="34">
        <f t="shared" si="37"/>
        <v>0</v>
      </c>
    </row>
    <row r="749" spans="7:13" x14ac:dyDescent="0.25">
      <c r="G749" s="10" t="str">
        <f t="shared" si="35"/>
        <v/>
      </c>
      <c r="H749" t="str">
        <f t="shared" si="36"/>
        <v/>
      </c>
      <c r="M749" s="34">
        <f t="shared" si="37"/>
        <v>0</v>
      </c>
    </row>
    <row r="750" spans="7:13" x14ac:dyDescent="0.25">
      <c r="G750" s="10" t="str">
        <f t="shared" si="35"/>
        <v/>
      </c>
      <c r="H750" t="str">
        <f t="shared" si="36"/>
        <v/>
      </c>
      <c r="M750" s="34">
        <f t="shared" si="37"/>
        <v>0</v>
      </c>
    </row>
    <row r="751" spans="7:13" x14ac:dyDescent="0.25">
      <c r="G751" s="10" t="str">
        <f t="shared" si="35"/>
        <v/>
      </c>
      <c r="H751" t="str">
        <f t="shared" si="36"/>
        <v/>
      </c>
      <c r="M751" s="34">
        <f t="shared" si="37"/>
        <v>0</v>
      </c>
    </row>
    <row r="752" spans="7:13" x14ac:dyDescent="0.25">
      <c r="G752" s="10" t="str">
        <f t="shared" si="35"/>
        <v/>
      </c>
      <c r="H752" t="str">
        <f t="shared" si="36"/>
        <v/>
      </c>
      <c r="M752" s="34">
        <f t="shared" si="37"/>
        <v>0</v>
      </c>
    </row>
    <row r="753" spans="7:13" x14ac:dyDescent="0.25">
      <c r="G753" s="10" t="str">
        <f t="shared" si="35"/>
        <v/>
      </c>
      <c r="H753" t="str">
        <f t="shared" si="36"/>
        <v/>
      </c>
      <c r="M753" s="34">
        <f t="shared" si="37"/>
        <v>0</v>
      </c>
    </row>
    <row r="754" spans="7:13" x14ac:dyDescent="0.25">
      <c r="G754" s="10" t="str">
        <f t="shared" si="35"/>
        <v/>
      </c>
      <c r="H754" t="str">
        <f t="shared" si="36"/>
        <v/>
      </c>
      <c r="M754" s="34">
        <f t="shared" si="37"/>
        <v>0</v>
      </c>
    </row>
    <row r="755" spans="7:13" x14ac:dyDescent="0.25">
      <c r="G755" s="10" t="str">
        <f t="shared" si="35"/>
        <v/>
      </c>
      <c r="H755" t="str">
        <f t="shared" si="36"/>
        <v/>
      </c>
      <c r="M755" s="34">
        <f t="shared" si="37"/>
        <v>0</v>
      </c>
    </row>
    <row r="756" spans="7:13" x14ac:dyDescent="0.25">
      <c r="G756" s="10" t="str">
        <f t="shared" si="35"/>
        <v/>
      </c>
      <c r="H756" t="str">
        <f t="shared" si="36"/>
        <v/>
      </c>
      <c r="M756" s="34">
        <f t="shared" si="37"/>
        <v>0</v>
      </c>
    </row>
    <row r="757" spans="7:13" x14ac:dyDescent="0.25">
      <c r="G757" s="10" t="str">
        <f t="shared" si="35"/>
        <v/>
      </c>
      <c r="H757" t="str">
        <f t="shared" si="36"/>
        <v/>
      </c>
      <c r="M757" s="34">
        <f t="shared" si="37"/>
        <v>0</v>
      </c>
    </row>
    <row r="758" spans="7:13" x14ac:dyDescent="0.25">
      <c r="G758" s="10" t="str">
        <f t="shared" si="35"/>
        <v/>
      </c>
      <c r="H758" t="str">
        <f t="shared" si="36"/>
        <v/>
      </c>
      <c r="M758" s="34">
        <f t="shared" si="37"/>
        <v>0</v>
      </c>
    </row>
    <row r="759" spans="7:13" x14ac:dyDescent="0.25">
      <c r="G759" s="10" t="str">
        <f t="shared" si="35"/>
        <v/>
      </c>
      <c r="H759" t="str">
        <f t="shared" si="36"/>
        <v/>
      </c>
      <c r="M759" s="34">
        <f t="shared" si="37"/>
        <v>0</v>
      </c>
    </row>
    <row r="760" spans="7:13" x14ac:dyDescent="0.25">
      <c r="G760" s="10" t="str">
        <f t="shared" si="35"/>
        <v/>
      </c>
      <c r="H760" t="str">
        <f t="shared" si="36"/>
        <v/>
      </c>
      <c r="M760" s="34">
        <f t="shared" si="37"/>
        <v>0</v>
      </c>
    </row>
    <row r="761" spans="7:13" x14ac:dyDescent="0.25">
      <c r="G761" s="10" t="str">
        <f t="shared" si="35"/>
        <v/>
      </c>
      <c r="H761" t="str">
        <f t="shared" si="36"/>
        <v/>
      </c>
      <c r="M761" s="34">
        <f t="shared" si="37"/>
        <v>0</v>
      </c>
    </row>
    <row r="762" spans="7:13" x14ac:dyDescent="0.25">
      <c r="G762" s="10" t="str">
        <f t="shared" si="35"/>
        <v/>
      </c>
      <c r="H762" t="str">
        <f t="shared" si="36"/>
        <v/>
      </c>
      <c r="M762" s="34">
        <f t="shared" si="37"/>
        <v>0</v>
      </c>
    </row>
    <row r="763" spans="7:13" x14ac:dyDescent="0.25">
      <c r="G763" s="10" t="str">
        <f t="shared" si="35"/>
        <v/>
      </c>
      <c r="H763" t="str">
        <f t="shared" si="36"/>
        <v/>
      </c>
      <c r="M763" s="34">
        <f t="shared" si="37"/>
        <v>0</v>
      </c>
    </row>
    <row r="764" spans="7:13" x14ac:dyDescent="0.25">
      <c r="G764" s="10" t="str">
        <f t="shared" si="35"/>
        <v/>
      </c>
      <c r="H764" t="str">
        <f t="shared" si="36"/>
        <v/>
      </c>
      <c r="M764" s="34">
        <f t="shared" si="37"/>
        <v>0</v>
      </c>
    </row>
    <row r="765" spans="7:13" x14ac:dyDescent="0.25">
      <c r="G765" s="10" t="str">
        <f t="shared" si="35"/>
        <v/>
      </c>
      <c r="H765" t="str">
        <f t="shared" si="36"/>
        <v/>
      </c>
      <c r="M765" s="34">
        <f t="shared" si="37"/>
        <v>0</v>
      </c>
    </row>
    <row r="766" spans="7:13" x14ac:dyDescent="0.25">
      <c r="G766" s="10" t="str">
        <f t="shared" si="35"/>
        <v/>
      </c>
      <c r="H766" t="str">
        <f t="shared" si="36"/>
        <v/>
      </c>
      <c r="M766" s="34">
        <f t="shared" si="37"/>
        <v>0</v>
      </c>
    </row>
    <row r="767" spans="7:13" x14ac:dyDescent="0.25">
      <c r="G767" s="10" t="str">
        <f t="shared" si="35"/>
        <v/>
      </c>
      <c r="H767" t="str">
        <f t="shared" si="36"/>
        <v/>
      </c>
      <c r="M767" s="34">
        <f t="shared" si="37"/>
        <v>0</v>
      </c>
    </row>
    <row r="768" spans="7:13" x14ac:dyDescent="0.25">
      <c r="G768" s="10" t="str">
        <f t="shared" si="35"/>
        <v/>
      </c>
      <c r="H768" t="str">
        <f t="shared" si="36"/>
        <v/>
      </c>
      <c r="M768" s="34">
        <f t="shared" si="37"/>
        <v>0</v>
      </c>
    </row>
    <row r="769" spans="7:13" x14ac:dyDescent="0.25">
      <c r="G769" s="10" t="str">
        <f t="shared" si="35"/>
        <v/>
      </c>
      <c r="H769" t="str">
        <f t="shared" si="36"/>
        <v/>
      </c>
      <c r="M769" s="34">
        <f t="shared" si="37"/>
        <v>0</v>
      </c>
    </row>
    <row r="770" spans="7:13" x14ac:dyDescent="0.25">
      <c r="G770" s="10" t="str">
        <f t="shared" ref="G770:G833" si="38">IF(F770&gt;0,"RECETTE",IF(F770&lt;0,"DÉPENSE",""))</f>
        <v/>
      </c>
      <c r="H770" t="str">
        <f t="shared" ref="H770:H833" si="39">+IF(ISNUMBER(D770),D770,"")</f>
        <v/>
      </c>
      <c r="M770" s="34">
        <f t="shared" si="37"/>
        <v>0</v>
      </c>
    </row>
    <row r="771" spans="7:13" x14ac:dyDescent="0.25">
      <c r="G771" s="10" t="str">
        <f t="shared" si="38"/>
        <v/>
      </c>
      <c r="H771" t="str">
        <f t="shared" si="39"/>
        <v/>
      </c>
      <c r="M771" s="34">
        <f t="shared" ref="M771:M834" si="40">IF(AND(E771="Chèque",G771="RECETTE"),F771,0)</f>
        <v>0</v>
      </c>
    </row>
    <row r="772" spans="7:13" x14ac:dyDescent="0.25">
      <c r="G772" s="10" t="str">
        <f t="shared" si="38"/>
        <v/>
      </c>
      <c r="H772" t="str">
        <f t="shared" si="39"/>
        <v/>
      </c>
      <c r="M772" s="34">
        <f t="shared" si="40"/>
        <v>0</v>
      </c>
    </row>
    <row r="773" spans="7:13" x14ac:dyDescent="0.25">
      <c r="G773" s="10" t="str">
        <f t="shared" si="38"/>
        <v/>
      </c>
      <c r="H773" t="str">
        <f t="shared" si="39"/>
        <v/>
      </c>
      <c r="M773" s="34">
        <f t="shared" si="40"/>
        <v>0</v>
      </c>
    </row>
    <row r="774" spans="7:13" x14ac:dyDescent="0.25">
      <c r="G774" s="10" t="str">
        <f t="shared" si="38"/>
        <v/>
      </c>
      <c r="H774" t="str">
        <f t="shared" si="39"/>
        <v/>
      </c>
      <c r="M774" s="34">
        <f t="shared" si="40"/>
        <v>0</v>
      </c>
    </row>
    <row r="775" spans="7:13" x14ac:dyDescent="0.25">
      <c r="G775" s="10" t="str">
        <f t="shared" si="38"/>
        <v/>
      </c>
      <c r="H775" t="str">
        <f t="shared" si="39"/>
        <v/>
      </c>
      <c r="M775" s="34">
        <f t="shared" si="40"/>
        <v>0</v>
      </c>
    </row>
    <row r="776" spans="7:13" x14ac:dyDescent="0.25">
      <c r="G776" s="10" t="str">
        <f t="shared" si="38"/>
        <v/>
      </c>
      <c r="H776" t="str">
        <f t="shared" si="39"/>
        <v/>
      </c>
      <c r="M776" s="34">
        <f t="shared" si="40"/>
        <v>0</v>
      </c>
    </row>
    <row r="777" spans="7:13" x14ac:dyDescent="0.25">
      <c r="G777" s="10" t="str">
        <f t="shared" si="38"/>
        <v/>
      </c>
      <c r="H777" t="str">
        <f t="shared" si="39"/>
        <v/>
      </c>
      <c r="M777" s="34">
        <f t="shared" si="40"/>
        <v>0</v>
      </c>
    </row>
    <row r="778" spans="7:13" x14ac:dyDescent="0.25">
      <c r="G778" s="10" t="str">
        <f t="shared" si="38"/>
        <v/>
      </c>
      <c r="H778" t="str">
        <f t="shared" si="39"/>
        <v/>
      </c>
      <c r="M778" s="34">
        <f t="shared" si="40"/>
        <v>0</v>
      </c>
    </row>
    <row r="779" spans="7:13" x14ac:dyDescent="0.25">
      <c r="G779" s="10" t="str">
        <f t="shared" si="38"/>
        <v/>
      </c>
      <c r="H779" t="str">
        <f t="shared" si="39"/>
        <v/>
      </c>
      <c r="M779" s="34">
        <f t="shared" si="40"/>
        <v>0</v>
      </c>
    </row>
    <row r="780" spans="7:13" x14ac:dyDescent="0.25">
      <c r="G780" s="10" t="str">
        <f t="shared" si="38"/>
        <v/>
      </c>
      <c r="H780" t="str">
        <f t="shared" si="39"/>
        <v/>
      </c>
      <c r="M780" s="34">
        <f t="shared" si="40"/>
        <v>0</v>
      </c>
    </row>
    <row r="781" spans="7:13" x14ac:dyDescent="0.25">
      <c r="G781" s="10" t="str">
        <f t="shared" si="38"/>
        <v/>
      </c>
      <c r="H781" t="str">
        <f t="shared" si="39"/>
        <v/>
      </c>
      <c r="M781" s="34">
        <f t="shared" si="40"/>
        <v>0</v>
      </c>
    </row>
    <row r="782" spans="7:13" x14ac:dyDescent="0.25">
      <c r="G782" s="10" t="str">
        <f t="shared" si="38"/>
        <v/>
      </c>
      <c r="H782" t="str">
        <f t="shared" si="39"/>
        <v/>
      </c>
      <c r="M782" s="34">
        <f t="shared" si="40"/>
        <v>0</v>
      </c>
    </row>
    <row r="783" spans="7:13" x14ac:dyDescent="0.25">
      <c r="G783" s="10" t="str">
        <f t="shared" si="38"/>
        <v/>
      </c>
      <c r="H783" t="str">
        <f t="shared" si="39"/>
        <v/>
      </c>
      <c r="M783" s="34">
        <f t="shared" si="40"/>
        <v>0</v>
      </c>
    </row>
    <row r="784" spans="7:13" x14ac:dyDescent="0.25">
      <c r="G784" s="10" t="str">
        <f t="shared" si="38"/>
        <v/>
      </c>
      <c r="H784" t="str">
        <f t="shared" si="39"/>
        <v/>
      </c>
      <c r="M784" s="34">
        <f t="shared" si="40"/>
        <v>0</v>
      </c>
    </row>
    <row r="785" spans="7:13" x14ac:dyDescent="0.25">
      <c r="G785" s="10" t="str">
        <f t="shared" si="38"/>
        <v/>
      </c>
      <c r="H785" t="str">
        <f t="shared" si="39"/>
        <v/>
      </c>
      <c r="M785" s="34">
        <f t="shared" si="40"/>
        <v>0</v>
      </c>
    </row>
    <row r="786" spans="7:13" x14ac:dyDescent="0.25">
      <c r="G786" s="10" t="str">
        <f t="shared" si="38"/>
        <v/>
      </c>
      <c r="H786" t="str">
        <f t="shared" si="39"/>
        <v/>
      </c>
      <c r="M786" s="34">
        <f t="shared" si="40"/>
        <v>0</v>
      </c>
    </row>
    <row r="787" spans="7:13" x14ac:dyDescent="0.25">
      <c r="G787" s="10" t="str">
        <f t="shared" si="38"/>
        <v/>
      </c>
      <c r="H787" t="str">
        <f t="shared" si="39"/>
        <v/>
      </c>
      <c r="M787" s="34">
        <f t="shared" si="40"/>
        <v>0</v>
      </c>
    </row>
    <row r="788" spans="7:13" x14ac:dyDescent="0.25">
      <c r="G788" s="10" t="str">
        <f t="shared" si="38"/>
        <v/>
      </c>
      <c r="H788" t="str">
        <f t="shared" si="39"/>
        <v/>
      </c>
      <c r="M788" s="34">
        <f t="shared" si="40"/>
        <v>0</v>
      </c>
    </row>
    <row r="789" spans="7:13" x14ac:dyDescent="0.25">
      <c r="G789" s="10" t="str">
        <f t="shared" si="38"/>
        <v/>
      </c>
      <c r="H789" t="str">
        <f t="shared" si="39"/>
        <v/>
      </c>
      <c r="M789" s="34">
        <f t="shared" si="40"/>
        <v>0</v>
      </c>
    </row>
    <row r="790" spans="7:13" x14ac:dyDescent="0.25">
      <c r="G790" s="10" t="str">
        <f t="shared" si="38"/>
        <v/>
      </c>
      <c r="H790" t="str">
        <f t="shared" si="39"/>
        <v/>
      </c>
      <c r="M790" s="34">
        <f t="shared" si="40"/>
        <v>0</v>
      </c>
    </row>
    <row r="791" spans="7:13" x14ac:dyDescent="0.25">
      <c r="G791" s="10" t="str">
        <f t="shared" si="38"/>
        <v/>
      </c>
      <c r="H791" t="str">
        <f t="shared" si="39"/>
        <v/>
      </c>
      <c r="M791" s="34">
        <f t="shared" si="40"/>
        <v>0</v>
      </c>
    </row>
    <row r="792" spans="7:13" x14ac:dyDescent="0.25">
      <c r="G792" s="10" t="str">
        <f t="shared" si="38"/>
        <v/>
      </c>
      <c r="H792" t="str">
        <f t="shared" si="39"/>
        <v/>
      </c>
      <c r="M792" s="34">
        <f t="shared" si="40"/>
        <v>0</v>
      </c>
    </row>
    <row r="793" spans="7:13" x14ac:dyDescent="0.25">
      <c r="G793" s="10" t="str">
        <f t="shared" si="38"/>
        <v/>
      </c>
      <c r="H793" t="str">
        <f t="shared" si="39"/>
        <v/>
      </c>
      <c r="M793" s="34">
        <f t="shared" si="40"/>
        <v>0</v>
      </c>
    </row>
    <row r="794" spans="7:13" x14ac:dyDescent="0.25">
      <c r="G794" s="10" t="str">
        <f t="shared" si="38"/>
        <v/>
      </c>
      <c r="H794" t="str">
        <f t="shared" si="39"/>
        <v/>
      </c>
      <c r="M794" s="34">
        <f t="shared" si="40"/>
        <v>0</v>
      </c>
    </row>
    <row r="795" spans="7:13" x14ac:dyDescent="0.25">
      <c r="G795" s="10" t="str">
        <f t="shared" si="38"/>
        <v/>
      </c>
      <c r="H795" t="str">
        <f t="shared" si="39"/>
        <v/>
      </c>
      <c r="M795" s="34">
        <f t="shared" si="40"/>
        <v>0</v>
      </c>
    </row>
    <row r="796" spans="7:13" x14ac:dyDescent="0.25">
      <c r="G796" s="10" t="str">
        <f t="shared" si="38"/>
        <v/>
      </c>
      <c r="H796" t="str">
        <f t="shared" si="39"/>
        <v/>
      </c>
      <c r="M796" s="34">
        <f t="shared" si="40"/>
        <v>0</v>
      </c>
    </row>
    <row r="797" spans="7:13" x14ac:dyDescent="0.25">
      <c r="G797" s="10" t="str">
        <f t="shared" si="38"/>
        <v/>
      </c>
      <c r="H797" t="str">
        <f t="shared" si="39"/>
        <v/>
      </c>
      <c r="M797" s="34">
        <f t="shared" si="40"/>
        <v>0</v>
      </c>
    </row>
    <row r="798" spans="7:13" x14ac:dyDescent="0.25">
      <c r="G798" s="10" t="str">
        <f t="shared" si="38"/>
        <v/>
      </c>
      <c r="H798" t="str">
        <f t="shared" si="39"/>
        <v/>
      </c>
      <c r="M798" s="34">
        <f t="shared" si="40"/>
        <v>0</v>
      </c>
    </row>
    <row r="799" spans="7:13" x14ac:dyDescent="0.25">
      <c r="G799" s="10" t="str">
        <f t="shared" si="38"/>
        <v/>
      </c>
      <c r="H799" t="str">
        <f t="shared" si="39"/>
        <v/>
      </c>
      <c r="M799" s="34">
        <f t="shared" si="40"/>
        <v>0</v>
      </c>
    </row>
    <row r="800" spans="7:13" x14ac:dyDescent="0.25">
      <c r="G800" s="10" t="str">
        <f t="shared" si="38"/>
        <v/>
      </c>
      <c r="H800" t="str">
        <f t="shared" si="39"/>
        <v/>
      </c>
      <c r="M800" s="34">
        <f t="shared" si="40"/>
        <v>0</v>
      </c>
    </row>
    <row r="801" spans="7:13" x14ac:dyDescent="0.25">
      <c r="G801" s="10" t="str">
        <f t="shared" si="38"/>
        <v/>
      </c>
      <c r="H801" t="str">
        <f t="shared" si="39"/>
        <v/>
      </c>
      <c r="M801" s="34">
        <f t="shared" si="40"/>
        <v>0</v>
      </c>
    </row>
    <row r="802" spans="7:13" x14ac:dyDescent="0.25">
      <c r="G802" s="10" t="str">
        <f t="shared" si="38"/>
        <v/>
      </c>
      <c r="H802" t="str">
        <f t="shared" si="39"/>
        <v/>
      </c>
      <c r="M802" s="34">
        <f t="shared" si="40"/>
        <v>0</v>
      </c>
    </row>
    <row r="803" spans="7:13" x14ac:dyDescent="0.25">
      <c r="G803" s="10" t="str">
        <f t="shared" si="38"/>
        <v/>
      </c>
      <c r="H803" t="str">
        <f t="shared" si="39"/>
        <v/>
      </c>
      <c r="M803" s="34">
        <f t="shared" si="40"/>
        <v>0</v>
      </c>
    </row>
    <row r="804" spans="7:13" x14ac:dyDescent="0.25">
      <c r="G804" s="10" t="str">
        <f t="shared" si="38"/>
        <v/>
      </c>
      <c r="H804" t="str">
        <f t="shared" si="39"/>
        <v/>
      </c>
      <c r="M804" s="34">
        <f t="shared" si="40"/>
        <v>0</v>
      </c>
    </row>
    <row r="805" spans="7:13" x14ac:dyDescent="0.25">
      <c r="G805" s="10" t="str">
        <f t="shared" si="38"/>
        <v/>
      </c>
      <c r="H805" t="str">
        <f t="shared" si="39"/>
        <v/>
      </c>
      <c r="M805" s="34">
        <f t="shared" si="40"/>
        <v>0</v>
      </c>
    </row>
    <row r="806" spans="7:13" x14ac:dyDescent="0.25">
      <c r="G806" s="10" t="str">
        <f t="shared" si="38"/>
        <v/>
      </c>
      <c r="H806" t="str">
        <f t="shared" si="39"/>
        <v/>
      </c>
      <c r="M806" s="34">
        <f t="shared" si="40"/>
        <v>0</v>
      </c>
    </row>
    <row r="807" spans="7:13" x14ac:dyDescent="0.25">
      <c r="G807" s="10" t="str">
        <f t="shared" si="38"/>
        <v/>
      </c>
      <c r="H807" t="str">
        <f t="shared" si="39"/>
        <v/>
      </c>
      <c r="M807" s="34">
        <f t="shared" si="40"/>
        <v>0</v>
      </c>
    </row>
    <row r="808" spans="7:13" x14ac:dyDescent="0.25">
      <c r="G808" s="10" t="str">
        <f t="shared" si="38"/>
        <v/>
      </c>
      <c r="H808" t="str">
        <f t="shared" si="39"/>
        <v/>
      </c>
      <c r="M808" s="34">
        <f t="shared" si="40"/>
        <v>0</v>
      </c>
    </row>
    <row r="809" spans="7:13" x14ac:dyDescent="0.25">
      <c r="G809" s="10" t="str">
        <f t="shared" si="38"/>
        <v/>
      </c>
      <c r="H809" t="str">
        <f t="shared" si="39"/>
        <v/>
      </c>
      <c r="M809" s="34">
        <f t="shared" si="40"/>
        <v>0</v>
      </c>
    </row>
    <row r="810" spans="7:13" x14ac:dyDescent="0.25">
      <c r="G810" s="10" t="str">
        <f t="shared" si="38"/>
        <v/>
      </c>
      <c r="H810" t="str">
        <f t="shared" si="39"/>
        <v/>
      </c>
      <c r="M810" s="34">
        <f t="shared" si="40"/>
        <v>0</v>
      </c>
    </row>
    <row r="811" spans="7:13" x14ac:dyDescent="0.25">
      <c r="G811" s="10" t="str">
        <f t="shared" si="38"/>
        <v/>
      </c>
      <c r="H811" t="str">
        <f t="shared" si="39"/>
        <v/>
      </c>
      <c r="M811" s="34">
        <f t="shared" si="40"/>
        <v>0</v>
      </c>
    </row>
    <row r="812" spans="7:13" x14ac:dyDescent="0.25">
      <c r="G812" s="10" t="str">
        <f t="shared" si="38"/>
        <v/>
      </c>
      <c r="H812" t="str">
        <f t="shared" si="39"/>
        <v/>
      </c>
      <c r="M812" s="34">
        <f t="shared" si="40"/>
        <v>0</v>
      </c>
    </row>
    <row r="813" spans="7:13" x14ac:dyDescent="0.25">
      <c r="G813" s="10" t="str">
        <f t="shared" si="38"/>
        <v/>
      </c>
      <c r="H813" t="str">
        <f t="shared" si="39"/>
        <v/>
      </c>
      <c r="M813" s="34">
        <f t="shared" si="40"/>
        <v>0</v>
      </c>
    </row>
    <row r="814" spans="7:13" x14ac:dyDescent="0.25">
      <c r="G814" s="10" t="str">
        <f t="shared" si="38"/>
        <v/>
      </c>
      <c r="H814" t="str">
        <f t="shared" si="39"/>
        <v/>
      </c>
      <c r="M814" s="34">
        <f t="shared" si="40"/>
        <v>0</v>
      </c>
    </row>
    <row r="815" spans="7:13" x14ac:dyDescent="0.25">
      <c r="G815" s="10" t="str">
        <f t="shared" si="38"/>
        <v/>
      </c>
      <c r="H815" t="str">
        <f t="shared" si="39"/>
        <v/>
      </c>
      <c r="M815" s="34">
        <f t="shared" si="40"/>
        <v>0</v>
      </c>
    </row>
    <row r="816" spans="7:13" x14ac:dyDescent="0.25">
      <c r="G816" s="10" t="str">
        <f t="shared" si="38"/>
        <v/>
      </c>
      <c r="H816" t="str">
        <f t="shared" si="39"/>
        <v/>
      </c>
      <c r="M816" s="34">
        <f t="shared" si="40"/>
        <v>0</v>
      </c>
    </row>
    <row r="817" spans="7:13" x14ac:dyDescent="0.25">
      <c r="G817" s="10" t="str">
        <f t="shared" si="38"/>
        <v/>
      </c>
      <c r="H817" t="str">
        <f t="shared" si="39"/>
        <v/>
      </c>
      <c r="M817" s="34">
        <f t="shared" si="40"/>
        <v>0</v>
      </c>
    </row>
    <row r="818" spans="7:13" x14ac:dyDescent="0.25">
      <c r="G818" s="10" t="str">
        <f t="shared" si="38"/>
        <v/>
      </c>
      <c r="H818" t="str">
        <f t="shared" si="39"/>
        <v/>
      </c>
      <c r="M818" s="34">
        <f t="shared" si="40"/>
        <v>0</v>
      </c>
    </row>
    <row r="819" spans="7:13" x14ac:dyDescent="0.25">
      <c r="G819" s="10" t="str">
        <f t="shared" si="38"/>
        <v/>
      </c>
      <c r="H819" t="str">
        <f t="shared" si="39"/>
        <v/>
      </c>
      <c r="M819" s="34">
        <f t="shared" si="40"/>
        <v>0</v>
      </c>
    </row>
    <row r="820" spans="7:13" x14ac:dyDescent="0.25">
      <c r="G820" s="10" t="str">
        <f t="shared" si="38"/>
        <v/>
      </c>
      <c r="H820" t="str">
        <f t="shared" si="39"/>
        <v/>
      </c>
      <c r="M820" s="34">
        <f t="shared" si="40"/>
        <v>0</v>
      </c>
    </row>
    <row r="821" spans="7:13" x14ac:dyDescent="0.25">
      <c r="G821" s="10" t="str">
        <f t="shared" si="38"/>
        <v/>
      </c>
      <c r="H821" t="str">
        <f t="shared" si="39"/>
        <v/>
      </c>
      <c r="M821" s="34">
        <f t="shared" si="40"/>
        <v>0</v>
      </c>
    </row>
    <row r="822" spans="7:13" x14ac:dyDescent="0.25">
      <c r="G822" s="10" t="str">
        <f t="shared" si="38"/>
        <v/>
      </c>
      <c r="H822" t="str">
        <f t="shared" si="39"/>
        <v/>
      </c>
      <c r="M822" s="34">
        <f t="shared" si="40"/>
        <v>0</v>
      </c>
    </row>
    <row r="823" spans="7:13" x14ac:dyDescent="0.25">
      <c r="G823" s="10" t="str">
        <f t="shared" si="38"/>
        <v/>
      </c>
      <c r="H823" t="str">
        <f t="shared" si="39"/>
        <v/>
      </c>
      <c r="M823" s="34">
        <f t="shared" si="40"/>
        <v>0</v>
      </c>
    </row>
    <row r="824" spans="7:13" x14ac:dyDescent="0.25">
      <c r="G824" s="10" t="str">
        <f t="shared" si="38"/>
        <v/>
      </c>
      <c r="H824" t="str">
        <f t="shared" si="39"/>
        <v/>
      </c>
      <c r="M824" s="34">
        <f t="shared" si="40"/>
        <v>0</v>
      </c>
    </row>
    <row r="825" spans="7:13" x14ac:dyDescent="0.25">
      <c r="G825" s="10" t="str">
        <f t="shared" si="38"/>
        <v/>
      </c>
      <c r="H825" t="str">
        <f t="shared" si="39"/>
        <v/>
      </c>
      <c r="M825" s="34">
        <f t="shared" si="40"/>
        <v>0</v>
      </c>
    </row>
    <row r="826" spans="7:13" x14ac:dyDescent="0.25">
      <c r="G826" s="10" t="str">
        <f t="shared" si="38"/>
        <v/>
      </c>
      <c r="H826" t="str">
        <f t="shared" si="39"/>
        <v/>
      </c>
      <c r="M826" s="34">
        <f t="shared" si="40"/>
        <v>0</v>
      </c>
    </row>
    <row r="827" spans="7:13" x14ac:dyDescent="0.25">
      <c r="G827" s="10" t="str">
        <f t="shared" si="38"/>
        <v/>
      </c>
      <c r="H827" t="str">
        <f t="shared" si="39"/>
        <v/>
      </c>
      <c r="M827" s="34">
        <f t="shared" si="40"/>
        <v>0</v>
      </c>
    </row>
    <row r="828" spans="7:13" x14ac:dyDescent="0.25">
      <c r="G828" s="10" t="str">
        <f t="shared" si="38"/>
        <v/>
      </c>
      <c r="H828" t="str">
        <f t="shared" si="39"/>
        <v/>
      </c>
      <c r="M828" s="34">
        <f t="shared" si="40"/>
        <v>0</v>
      </c>
    </row>
    <row r="829" spans="7:13" x14ac:dyDescent="0.25">
      <c r="G829" s="10" t="str">
        <f t="shared" si="38"/>
        <v/>
      </c>
      <c r="H829" t="str">
        <f t="shared" si="39"/>
        <v/>
      </c>
      <c r="M829" s="34">
        <f t="shared" si="40"/>
        <v>0</v>
      </c>
    </row>
    <row r="830" spans="7:13" x14ac:dyDescent="0.25">
      <c r="G830" s="10" t="str">
        <f t="shared" si="38"/>
        <v/>
      </c>
      <c r="H830" t="str">
        <f t="shared" si="39"/>
        <v/>
      </c>
      <c r="M830" s="34">
        <f t="shared" si="40"/>
        <v>0</v>
      </c>
    </row>
    <row r="831" spans="7:13" x14ac:dyDescent="0.25">
      <c r="G831" s="10" t="str">
        <f t="shared" si="38"/>
        <v/>
      </c>
      <c r="H831" t="str">
        <f t="shared" si="39"/>
        <v/>
      </c>
      <c r="M831" s="34">
        <f t="shared" si="40"/>
        <v>0</v>
      </c>
    </row>
    <row r="832" spans="7:13" x14ac:dyDescent="0.25">
      <c r="G832" s="10" t="str">
        <f t="shared" si="38"/>
        <v/>
      </c>
      <c r="H832" t="str">
        <f t="shared" si="39"/>
        <v/>
      </c>
      <c r="M832" s="34">
        <f t="shared" si="40"/>
        <v>0</v>
      </c>
    </row>
    <row r="833" spans="7:13" x14ac:dyDescent="0.25">
      <c r="G833" s="10" t="str">
        <f t="shared" si="38"/>
        <v/>
      </c>
      <c r="H833" t="str">
        <f t="shared" si="39"/>
        <v/>
      </c>
      <c r="M833" s="34">
        <f t="shared" si="40"/>
        <v>0</v>
      </c>
    </row>
    <row r="834" spans="7:13" x14ac:dyDescent="0.25">
      <c r="G834" s="10" t="str">
        <f t="shared" ref="G834:G897" si="41">IF(F834&gt;0,"RECETTE",IF(F834&lt;0,"DÉPENSE",""))</f>
        <v/>
      </c>
      <c r="H834" t="str">
        <f t="shared" ref="H834:H897" si="42">+IF(ISNUMBER(D834),D834,"")</f>
        <v/>
      </c>
      <c r="M834" s="34">
        <f t="shared" si="40"/>
        <v>0</v>
      </c>
    </row>
    <row r="835" spans="7:13" x14ac:dyDescent="0.25">
      <c r="G835" s="10" t="str">
        <f t="shared" si="41"/>
        <v/>
      </c>
      <c r="H835" t="str">
        <f t="shared" si="42"/>
        <v/>
      </c>
      <c r="M835" s="34">
        <f t="shared" ref="M835:M898" si="43">IF(AND(E835="Chèque",G835="RECETTE"),F835,0)</f>
        <v>0</v>
      </c>
    </row>
    <row r="836" spans="7:13" x14ac:dyDescent="0.25">
      <c r="G836" s="10" t="str">
        <f t="shared" si="41"/>
        <v/>
      </c>
      <c r="H836" t="str">
        <f t="shared" si="42"/>
        <v/>
      </c>
      <c r="M836" s="34">
        <f t="shared" si="43"/>
        <v>0</v>
      </c>
    </row>
    <row r="837" spans="7:13" x14ac:dyDescent="0.25">
      <c r="G837" s="10" t="str">
        <f t="shared" si="41"/>
        <v/>
      </c>
      <c r="H837" t="str">
        <f t="shared" si="42"/>
        <v/>
      </c>
      <c r="M837" s="34">
        <f t="shared" si="43"/>
        <v>0</v>
      </c>
    </row>
    <row r="838" spans="7:13" x14ac:dyDescent="0.25">
      <c r="G838" s="10" t="str">
        <f t="shared" si="41"/>
        <v/>
      </c>
      <c r="H838" t="str">
        <f t="shared" si="42"/>
        <v/>
      </c>
      <c r="M838" s="34">
        <f t="shared" si="43"/>
        <v>0</v>
      </c>
    </row>
    <row r="839" spans="7:13" x14ac:dyDescent="0.25">
      <c r="G839" s="10" t="str">
        <f t="shared" si="41"/>
        <v/>
      </c>
      <c r="H839" t="str">
        <f t="shared" si="42"/>
        <v/>
      </c>
      <c r="M839" s="34">
        <f t="shared" si="43"/>
        <v>0</v>
      </c>
    </row>
    <row r="840" spans="7:13" x14ac:dyDescent="0.25">
      <c r="G840" s="10" t="str">
        <f t="shared" si="41"/>
        <v/>
      </c>
      <c r="H840" t="str">
        <f t="shared" si="42"/>
        <v/>
      </c>
      <c r="M840" s="34">
        <f t="shared" si="43"/>
        <v>0</v>
      </c>
    </row>
    <row r="841" spans="7:13" x14ac:dyDescent="0.25">
      <c r="G841" s="10" t="str">
        <f t="shared" si="41"/>
        <v/>
      </c>
      <c r="H841" t="str">
        <f t="shared" si="42"/>
        <v/>
      </c>
      <c r="M841" s="34">
        <f t="shared" si="43"/>
        <v>0</v>
      </c>
    </row>
    <row r="842" spans="7:13" x14ac:dyDescent="0.25">
      <c r="G842" s="10" t="str">
        <f t="shared" si="41"/>
        <v/>
      </c>
      <c r="H842" t="str">
        <f t="shared" si="42"/>
        <v/>
      </c>
      <c r="M842" s="34">
        <f t="shared" si="43"/>
        <v>0</v>
      </c>
    </row>
    <row r="843" spans="7:13" x14ac:dyDescent="0.25">
      <c r="G843" s="10" t="str">
        <f t="shared" si="41"/>
        <v/>
      </c>
      <c r="H843" t="str">
        <f t="shared" si="42"/>
        <v/>
      </c>
      <c r="M843" s="34">
        <f t="shared" si="43"/>
        <v>0</v>
      </c>
    </row>
    <row r="844" spans="7:13" x14ac:dyDescent="0.25">
      <c r="G844" s="10" t="str">
        <f t="shared" si="41"/>
        <v/>
      </c>
      <c r="H844" t="str">
        <f t="shared" si="42"/>
        <v/>
      </c>
      <c r="M844" s="34">
        <f t="shared" si="43"/>
        <v>0</v>
      </c>
    </row>
    <row r="845" spans="7:13" x14ac:dyDescent="0.25">
      <c r="G845" s="10" t="str">
        <f t="shared" si="41"/>
        <v/>
      </c>
      <c r="H845" t="str">
        <f t="shared" si="42"/>
        <v/>
      </c>
      <c r="M845" s="34">
        <f t="shared" si="43"/>
        <v>0</v>
      </c>
    </row>
    <row r="846" spans="7:13" x14ac:dyDescent="0.25">
      <c r="G846" s="10" t="str">
        <f t="shared" si="41"/>
        <v/>
      </c>
      <c r="H846" t="str">
        <f t="shared" si="42"/>
        <v/>
      </c>
      <c r="M846" s="34">
        <f t="shared" si="43"/>
        <v>0</v>
      </c>
    </row>
    <row r="847" spans="7:13" x14ac:dyDescent="0.25">
      <c r="G847" s="10" t="str">
        <f t="shared" si="41"/>
        <v/>
      </c>
      <c r="H847" t="str">
        <f t="shared" si="42"/>
        <v/>
      </c>
      <c r="M847" s="34">
        <f t="shared" si="43"/>
        <v>0</v>
      </c>
    </row>
    <row r="848" spans="7:13" x14ac:dyDescent="0.25">
      <c r="G848" s="10" t="str">
        <f t="shared" si="41"/>
        <v/>
      </c>
      <c r="H848" t="str">
        <f t="shared" si="42"/>
        <v/>
      </c>
      <c r="M848" s="34">
        <f t="shared" si="43"/>
        <v>0</v>
      </c>
    </row>
    <row r="849" spans="7:13" x14ac:dyDescent="0.25">
      <c r="G849" s="10" t="str">
        <f t="shared" si="41"/>
        <v/>
      </c>
      <c r="H849" t="str">
        <f t="shared" si="42"/>
        <v/>
      </c>
      <c r="M849" s="34">
        <f t="shared" si="43"/>
        <v>0</v>
      </c>
    </row>
    <row r="850" spans="7:13" x14ac:dyDescent="0.25">
      <c r="G850" s="10" t="str">
        <f t="shared" si="41"/>
        <v/>
      </c>
      <c r="H850" t="str">
        <f t="shared" si="42"/>
        <v/>
      </c>
      <c r="M850" s="34">
        <f t="shared" si="43"/>
        <v>0</v>
      </c>
    </row>
    <row r="851" spans="7:13" x14ac:dyDescent="0.25">
      <c r="G851" s="10" t="str">
        <f t="shared" si="41"/>
        <v/>
      </c>
      <c r="H851" t="str">
        <f t="shared" si="42"/>
        <v/>
      </c>
      <c r="M851" s="34">
        <f t="shared" si="43"/>
        <v>0</v>
      </c>
    </row>
    <row r="852" spans="7:13" x14ac:dyDescent="0.25">
      <c r="G852" s="10" t="str">
        <f t="shared" si="41"/>
        <v/>
      </c>
      <c r="H852" t="str">
        <f t="shared" si="42"/>
        <v/>
      </c>
      <c r="M852" s="34">
        <f t="shared" si="43"/>
        <v>0</v>
      </c>
    </row>
    <row r="853" spans="7:13" x14ac:dyDescent="0.25">
      <c r="G853" s="10" t="str">
        <f t="shared" si="41"/>
        <v/>
      </c>
      <c r="H853" t="str">
        <f t="shared" si="42"/>
        <v/>
      </c>
      <c r="M853" s="34">
        <f t="shared" si="43"/>
        <v>0</v>
      </c>
    </row>
    <row r="854" spans="7:13" x14ac:dyDescent="0.25">
      <c r="G854" s="10" t="str">
        <f t="shared" si="41"/>
        <v/>
      </c>
      <c r="H854" t="str">
        <f t="shared" si="42"/>
        <v/>
      </c>
      <c r="M854" s="34">
        <f t="shared" si="43"/>
        <v>0</v>
      </c>
    </row>
    <row r="855" spans="7:13" x14ac:dyDescent="0.25">
      <c r="G855" s="10" t="str">
        <f t="shared" si="41"/>
        <v/>
      </c>
      <c r="H855" t="str">
        <f t="shared" si="42"/>
        <v/>
      </c>
      <c r="M855" s="34">
        <f t="shared" si="43"/>
        <v>0</v>
      </c>
    </row>
    <row r="856" spans="7:13" x14ac:dyDescent="0.25">
      <c r="G856" s="10" t="str">
        <f t="shared" si="41"/>
        <v/>
      </c>
      <c r="H856" t="str">
        <f t="shared" si="42"/>
        <v/>
      </c>
      <c r="M856" s="34">
        <f t="shared" si="43"/>
        <v>0</v>
      </c>
    </row>
    <row r="857" spans="7:13" x14ac:dyDescent="0.25">
      <c r="G857" s="10" t="str">
        <f t="shared" si="41"/>
        <v/>
      </c>
      <c r="H857" t="str">
        <f t="shared" si="42"/>
        <v/>
      </c>
      <c r="M857" s="34">
        <f t="shared" si="43"/>
        <v>0</v>
      </c>
    </row>
    <row r="858" spans="7:13" x14ac:dyDescent="0.25">
      <c r="G858" s="10" t="str">
        <f t="shared" si="41"/>
        <v/>
      </c>
      <c r="H858" t="str">
        <f t="shared" si="42"/>
        <v/>
      </c>
      <c r="M858" s="34">
        <f t="shared" si="43"/>
        <v>0</v>
      </c>
    </row>
    <row r="859" spans="7:13" x14ac:dyDescent="0.25">
      <c r="G859" s="10" t="str">
        <f t="shared" si="41"/>
        <v/>
      </c>
      <c r="H859" t="str">
        <f t="shared" si="42"/>
        <v/>
      </c>
      <c r="M859" s="34">
        <f t="shared" si="43"/>
        <v>0</v>
      </c>
    </row>
    <row r="860" spans="7:13" x14ac:dyDescent="0.25">
      <c r="G860" s="10" t="str">
        <f t="shared" si="41"/>
        <v/>
      </c>
      <c r="H860" t="str">
        <f t="shared" si="42"/>
        <v/>
      </c>
      <c r="M860" s="34">
        <f t="shared" si="43"/>
        <v>0</v>
      </c>
    </row>
    <row r="861" spans="7:13" x14ac:dyDescent="0.25">
      <c r="G861" s="10" t="str">
        <f t="shared" si="41"/>
        <v/>
      </c>
      <c r="H861" t="str">
        <f t="shared" si="42"/>
        <v/>
      </c>
      <c r="M861" s="34">
        <f t="shared" si="43"/>
        <v>0</v>
      </c>
    </row>
    <row r="862" spans="7:13" x14ac:dyDescent="0.25">
      <c r="G862" s="10" t="str">
        <f t="shared" si="41"/>
        <v/>
      </c>
      <c r="H862" t="str">
        <f t="shared" si="42"/>
        <v/>
      </c>
      <c r="M862" s="34">
        <f t="shared" si="43"/>
        <v>0</v>
      </c>
    </row>
    <row r="863" spans="7:13" x14ac:dyDescent="0.25">
      <c r="G863" s="10" t="str">
        <f t="shared" si="41"/>
        <v/>
      </c>
      <c r="H863" t="str">
        <f t="shared" si="42"/>
        <v/>
      </c>
      <c r="M863" s="34">
        <f t="shared" si="43"/>
        <v>0</v>
      </c>
    </row>
    <row r="864" spans="7:13" x14ac:dyDescent="0.25">
      <c r="G864" s="10" t="str">
        <f t="shared" si="41"/>
        <v/>
      </c>
      <c r="H864" t="str">
        <f t="shared" si="42"/>
        <v/>
      </c>
      <c r="M864" s="34">
        <f t="shared" si="43"/>
        <v>0</v>
      </c>
    </row>
    <row r="865" spans="7:13" x14ac:dyDescent="0.25">
      <c r="G865" s="10" t="str">
        <f t="shared" si="41"/>
        <v/>
      </c>
      <c r="H865" t="str">
        <f t="shared" si="42"/>
        <v/>
      </c>
      <c r="M865" s="34">
        <f t="shared" si="43"/>
        <v>0</v>
      </c>
    </row>
    <row r="866" spans="7:13" x14ac:dyDescent="0.25">
      <c r="G866" s="10" t="str">
        <f t="shared" si="41"/>
        <v/>
      </c>
      <c r="H866" t="str">
        <f t="shared" si="42"/>
        <v/>
      </c>
      <c r="M866" s="34">
        <f t="shared" si="43"/>
        <v>0</v>
      </c>
    </row>
    <row r="867" spans="7:13" x14ac:dyDescent="0.25">
      <c r="G867" s="10" t="str">
        <f t="shared" si="41"/>
        <v/>
      </c>
      <c r="H867" t="str">
        <f t="shared" si="42"/>
        <v/>
      </c>
      <c r="M867" s="34">
        <f t="shared" si="43"/>
        <v>0</v>
      </c>
    </row>
    <row r="868" spans="7:13" x14ac:dyDescent="0.25">
      <c r="G868" s="10" t="str">
        <f t="shared" si="41"/>
        <v/>
      </c>
      <c r="H868" t="str">
        <f t="shared" si="42"/>
        <v/>
      </c>
      <c r="M868" s="34">
        <f t="shared" si="43"/>
        <v>0</v>
      </c>
    </row>
    <row r="869" spans="7:13" x14ac:dyDescent="0.25">
      <c r="G869" s="10" t="str">
        <f t="shared" si="41"/>
        <v/>
      </c>
      <c r="H869" t="str">
        <f t="shared" si="42"/>
        <v/>
      </c>
      <c r="M869" s="34">
        <f t="shared" si="43"/>
        <v>0</v>
      </c>
    </row>
    <row r="870" spans="7:13" x14ac:dyDescent="0.25">
      <c r="G870" s="10" t="str">
        <f t="shared" si="41"/>
        <v/>
      </c>
      <c r="H870" t="str">
        <f t="shared" si="42"/>
        <v/>
      </c>
      <c r="M870" s="34">
        <f t="shared" si="43"/>
        <v>0</v>
      </c>
    </row>
    <row r="871" spans="7:13" x14ac:dyDescent="0.25">
      <c r="G871" s="10" t="str">
        <f t="shared" si="41"/>
        <v/>
      </c>
      <c r="H871" t="str">
        <f t="shared" si="42"/>
        <v/>
      </c>
      <c r="M871" s="34">
        <f t="shared" si="43"/>
        <v>0</v>
      </c>
    </row>
    <row r="872" spans="7:13" x14ac:dyDescent="0.25">
      <c r="G872" s="10" t="str">
        <f t="shared" si="41"/>
        <v/>
      </c>
      <c r="H872" t="str">
        <f t="shared" si="42"/>
        <v/>
      </c>
      <c r="M872" s="34">
        <f t="shared" si="43"/>
        <v>0</v>
      </c>
    </row>
    <row r="873" spans="7:13" x14ac:dyDescent="0.25">
      <c r="G873" s="10" t="str">
        <f t="shared" si="41"/>
        <v/>
      </c>
      <c r="H873" t="str">
        <f t="shared" si="42"/>
        <v/>
      </c>
      <c r="M873" s="34">
        <f t="shared" si="43"/>
        <v>0</v>
      </c>
    </row>
    <row r="874" spans="7:13" x14ac:dyDescent="0.25">
      <c r="G874" s="10" t="str">
        <f t="shared" si="41"/>
        <v/>
      </c>
      <c r="H874" t="str">
        <f t="shared" si="42"/>
        <v/>
      </c>
      <c r="M874" s="34">
        <f t="shared" si="43"/>
        <v>0</v>
      </c>
    </row>
    <row r="875" spans="7:13" x14ac:dyDescent="0.25">
      <c r="G875" s="10" t="str">
        <f t="shared" si="41"/>
        <v/>
      </c>
      <c r="H875" t="str">
        <f t="shared" si="42"/>
        <v/>
      </c>
      <c r="M875" s="34">
        <f t="shared" si="43"/>
        <v>0</v>
      </c>
    </row>
    <row r="876" spans="7:13" x14ac:dyDescent="0.25">
      <c r="G876" s="10" t="str">
        <f t="shared" si="41"/>
        <v/>
      </c>
      <c r="H876" t="str">
        <f t="shared" si="42"/>
        <v/>
      </c>
      <c r="M876" s="34">
        <f t="shared" si="43"/>
        <v>0</v>
      </c>
    </row>
    <row r="877" spans="7:13" x14ac:dyDescent="0.25">
      <c r="G877" s="10" t="str">
        <f t="shared" si="41"/>
        <v/>
      </c>
      <c r="H877" t="str">
        <f t="shared" si="42"/>
        <v/>
      </c>
      <c r="M877" s="34">
        <f t="shared" si="43"/>
        <v>0</v>
      </c>
    </row>
    <row r="878" spans="7:13" x14ac:dyDescent="0.25">
      <c r="G878" s="10" t="str">
        <f t="shared" si="41"/>
        <v/>
      </c>
      <c r="H878" t="str">
        <f t="shared" si="42"/>
        <v/>
      </c>
      <c r="M878" s="34">
        <f t="shared" si="43"/>
        <v>0</v>
      </c>
    </row>
    <row r="879" spans="7:13" x14ac:dyDescent="0.25">
      <c r="G879" s="10" t="str">
        <f t="shared" si="41"/>
        <v/>
      </c>
      <c r="H879" t="str">
        <f t="shared" si="42"/>
        <v/>
      </c>
      <c r="M879" s="34">
        <f t="shared" si="43"/>
        <v>0</v>
      </c>
    </row>
    <row r="880" spans="7:13" x14ac:dyDescent="0.25">
      <c r="G880" s="10" t="str">
        <f t="shared" si="41"/>
        <v/>
      </c>
      <c r="H880" t="str">
        <f t="shared" si="42"/>
        <v/>
      </c>
      <c r="M880" s="34">
        <f t="shared" si="43"/>
        <v>0</v>
      </c>
    </row>
    <row r="881" spans="7:13" x14ac:dyDescent="0.25">
      <c r="G881" s="10" t="str">
        <f t="shared" si="41"/>
        <v/>
      </c>
      <c r="H881" t="str">
        <f t="shared" si="42"/>
        <v/>
      </c>
      <c r="M881" s="34">
        <f t="shared" si="43"/>
        <v>0</v>
      </c>
    </row>
    <row r="882" spans="7:13" x14ac:dyDescent="0.25">
      <c r="G882" s="10" t="str">
        <f t="shared" si="41"/>
        <v/>
      </c>
      <c r="H882" t="str">
        <f t="shared" si="42"/>
        <v/>
      </c>
      <c r="M882" s="34">
        <f t="shared" si="43"/>
        <v>0</v>
      </c>
    </row>
    <row r="883" spans="7:13" x14ac:dyDescent="0.25">
      <c r="G883" s="10" t="str">
        <f t="shared" si="41"/>
        <v/>
      </c>
      <c r="H883" t="str">
        <f t="shared" si="42"/>
        <v/>
      </c>
      <c r="M883" s="34">
        <f t="shared" si="43"/>
        <v>0</v>
      </c>
    </row>
    <row r="884" spans="7:13" x14ac:dyDescent="0.25">
      <c r="G884" s="10" t="str">
        <f t="shared" si="41"/>
        <v/>
      </c>
      <c r="H884" t="str">
        <f t="shared" si="42"/>
        <v/>
      </c>
      <c r="M884" s="34">
        <f t="shared" si="43"/>
        <v>0</v>
      </c>
    </row>
    <row r="885" spans="7:13" x14ac:dyDescent="0.25">
      <c r="G885" s="10" t="str">
        <f t="shared" si="41"/>
        <v/>
      </c>
      <c r="H885" t="str">
        <f t="shared" si="42"/>
        <v/>
      </c>
      <c r="M885" s="34">
        <f t="shared" si="43"/>
        <v>0</v>
      </c>
    </row>
    <row r="886" spans="7:13" x14ac:dyDescent="0.25">
      <c r="G886" s="10" t="str">
        <f t="shared" si="41"/>
        <v/>
      </c>
      <c r="H886" t="str">
        <f t="shared" si="42"/>
        <v/>
      </c>
      <c r="M886" s="34">
        <f t="shared" si="43"/>
        <v>0</v>
      </c>
    </row>
    <row r="887" spans="7:13" x14ac:dyDescent="0.25">
      <c r="G887" s="10" t="str">
        <f t="shared" si="41"/>
        <v/>
      </c>
      <c r="H887" t="str">
        <f t="shared" si="42"/>
        <v/>
      </c>
      <c r="M887" s="34">
        <f t="shared" si="43"/>
        <v>0</v>
      </c>
    </row>
    <row r="888" spans="7:13" x14ac:dyDescent="0.25">
      <c r="G888" s="10" t="str">
        <f t="shared" si="41"/>
        <v/>
      </c>
      <c r="H888" t="str">
        <f t="shared" si="42"/>
        <v/>
      </c>
      <c r="M888" s="34">
        <f t="shared" si="43"/>
        <v>0</v>
      </c>
    </row>
    <row r="889" spans="7:13" x14ac:dyDescent="0.25">
      <c r="G889" s="10" t="str">
        <f t="shared" si="41"/>
        <v/>
      </c>
      <c r="H889" t="str">
        <f t="shared" si="42"/>
        <v/>
      </c>
      <c r="M889" s="34">
        <f t="shared" si="43"/>
        <v>0</v>
      </c>
    </row>
    <row r="890" spans="7:13" x14ac:dyDescent="0.25">
      <c r="G890" s="10" t="str">
        <f t="shared" si="41"/>
        <v/>
      </c>
      <c r="H890" t="str">
        <f t="shared" si="42"/>
        <v/>
      </c>
      <c r="M890" s="34">
        <f t="shared" si="43"/>
        <v>0</v>
      </c>
    </row>
    <row r="891" spans="7:13" x14ac:dyDescent="0.25">
      <c r="G891" s="10" t="str">
        <f t="shared" si="41"/>
        <v/>
      </c>
      <c r="H891" t="str">
        <f t="shared" si="42"/>
        <v/>
      </c>
      <c r="M891" s="34">
        <f t="shared" si="43"/>
        <v>0</v>
      </c>
    </row>
    <row r="892" spans="7:13" x14ac:dyDescent="0.25">
      <c r="G892" s="10" t="str">
        <f t="shared" si="41"/>
        <v/>
      </c>
      <c r="H892" t="str">
        <f t="shared" si="42"/>
        <v/>
      </c>
      <c r="M892" s="34">
        <f t="shared" si="43"/>
        <v>0</v>
      </c>
    </row>
    <row r="893" spans="7:13" x14ac:dyDescent="0.25">
      <c r="G893" s="10" t="str">
        <f t="shared" si="41"/>
        <v/>
      </c>
      <c r="H893" t="str">
        <f t="shared" si="42"/>
        <v/>
      </c>
      <c r="M893" s="34">
        <f t="shared" si="43"/>
        <v>0</v>
      </c>
    </row>
    <row r="894" spans="7:13" x14ac:dyDescent="0.25">
      <c r="G894" s="10" t="str">
        <f t="shared" si="41"/>
        <v/>
      </c>
      <c r="H894" t="str">
        <f t="shared" si="42"/>
        <v/>
      </c>
      <c r="M894" s="34">
        <f t="shared" si="43"/>
        <v>0</v>
      </c>
    </row>
    <row r="895" spans="7:13" x14ac:dyDescent="0.25">
      <c r="G895" s="10" t="str">
        <f t="shared" si="41"/>
        <v/>
      </c>
      <c r="H895" t="str">
        <f t="shared" si="42"/>
        <v/>
      </c>
      <c r="M895" s="34">
        <f t="shared" si="43"/>
        <v>0</v>
      </c>
    </row>
    <row r="896" spans="7:13" x14ac:dyDescent="0.25">
      <c r="G896" s="10" t="str">
        <f t="shared" si="41"/>
        <v/>
      </c>
      <c r="H896" t="str">
        <f t="shared" si="42"/>
        <v/>
      </c>
      <c r="M896" s="34">
        <f t="shared" si="43"/>
        <v>0</v>
      </c>
    </row>
    <row r="897" spans="7:13" x14ac:dyDescent="0.25">
      <c r="G897" s="10" t="str">
        <f t="shared" si="41"/>
        <v/>
      </c>
      <c r="H897" t="str">
        <f t="shared" si="42"/>
        <v/>
      </c>
      <c r="M897" s="34">
        <f t="shared" si="43"/>
        <v>0</v>
      </c>
    </row>
    <row r="898" spans="7:13" x14ac:dyDescent="0.25">
      <c r="G898" s="10" t="str">
        <f t="shared" ref="G898:G961" si="44">IF(F898&gt;0,"RECETTE",IF(F898&lt;0,"DÉPENSE",""))</f>
        <v/>
      </c>
      <c r="H898" t="str">
        <f t="shared" ref="H898:H961" si="45">+IF(ISNUMBER(D898),D898,"")</f>
        <v/>
      </c>
      <c r="M898" s="34">
        <f t="shared" si="43"/>
        <v>0</v>
      </c>
    </row>
    <row r="899" spans="7:13" x14ac:dyDescent="0.25">
      <c r="G899" s="10" t="str">
        <f t="shared" si="44"/>
        <v/>
      </c>
      <c r="H899" t="str">
        <f t="shared" si="45"/>
        <v/>
      </c>
      <c r="M899" s="34">
        <f t="shared" ref="M899:M962" si="46">IF(AND(E899="Chèque",G899="RECETTE"),F899,0)</f>
        <v>0</v>
      </c>
    </row>
    <row r="900" spans="7:13" x14ac:dyDescent="0.25">
      <c r="G900" s="10" t="str">
        <f t="shared" si="44"/>
        <v/>
      </c>
      <c r="H900" t="str">
        <f t="shared" si="45"/>
        <v/>
      </c>
      <c r="M900" s="34">
        <f t="shared" si="46"/>
        <v>0</v>
      </c>
    </row>
    <row r="901" spans="7:13" x14ac:dyDescent="0.25">
      <c r="G901" s="10" t="str">
        <f t="shared" si="44"/>
        <v/>
      </c>
      <c r="H901" t="str">
        <f t="shared" si="45"/>
        <v/>
      </c>
      <c r="M901" s="34">
        <f t="shared" si="46"/>
        <v>0</v>
      </c>
    </row>
    <row r="902" spans="7:13" x14ac:dyDescent="0.25">
      <c r="G902" s="10" t="str">
        <f t="shared" si="44"/>
        <v/>
      </c>
      <c r="H902" t="str">
        <f t="shared" si="45"/>
        <v/>
      </c>
      <c r="M902" s="34">
        <f t="shared" si="46"/>
        <v>0</v>
      </c>
    </row>
    <row r="903" spans="7:13" x14ac:dyDescent="0.25">
      <c r="G903" s="10" t="str">
        <f t="shared" si="44"/>
        <v/>
      </c>
      <c r="H903" t="str">
        <f t="shared" si="45"/>
        <v/>
      </c>
      <c r="M903" s="34">
        <f t="shared" si="46"/>
        <v>0</v>
      </c>
    </row>
    <row r="904" spans="7:13" x14ac:dyDescent="0.25">
      <c r="G904" s="10" t="str">
        <f t="shared" si="44"/>
        <v/>
      </c>
      <c r="H904" t="str">
        <f t="shared" si="45"/>
        <v/>
      </c>
      <c r="M904" s="34">
        <f t="shared" si="46"/>
        <v>0</v>
      </c>
    </row>
    <row r="905" spans="7:13" x14ac:dyDescent="0.25">
      <c r="G905" s="10" t="str">
        <f t="shared" si="44"/>
        <v/>
      </c>
      <c r="H905" t="str">
        <f t="shared" si="45"/>
        <v/>
      </c>
      <c r="M905" s="34">
        <f t="shared" si="46"/>
        <v>0</v>
      </c>
    </row>
    <row r="906" spans="7:13" x14ac:dyDescent="0.25">
      <c r="G906" s="10" t="str">
        <f t="shared" si="44"/>
        <v/>
      </c>
      <c r="H906" t="str">
        <f t="shared" si="45"/>
        <v/>
      </c>
      <c r="M906" s="34">
        <f t="shared" si="46"/>
        <v>0</v>
      </c>
    </row>
    <row r="907" spans="7:13" x14ac:dyDescent="0.25">
      <c r="G907" s="10" t="str">
        <f t="shared" si="44"/>
        <v/>
      </c>
      <c r="H907" t="str">
        <f t="shared" si="45"/>
        <v/>
      </c>
      <c r="M907" s="34">
        <f t="shared" si="46"/>
        <v>0</v>
      </c>
    </row>
    <row r="908" spans="7:13" x14ac:dyDescent="0.25">
      <c r="G908" s="10" t="str">
        <f t="shared" si="44"/>
        <v/>
      </c>
      <c r="H908" t="str">
        <f t="shared" si="45"/>
        <v/>
      </c>
      <c r="M908" s="34">
        <f t="shared" si="46"/>
        <v>0</v>
      </c>
    </row>
    <row r="909" spans="7:13" x14ac:dyDescent="0.25">
      <c r="G909" s="10" t="str">
        <f t="shared" si="44"/>
        <v/>
      </c>
      <c r="H909" t="str">
        <f t="shared" si="45"/>
        <v/>
      </c>
      <c r="M909" s="34">
        <f t="shared" si="46"/>
        <v>0</v>
      </c>
    </row>
    <row r="910" spans="7:13" x14ac:dyDescent="0.25">
      <c r="G910" s="10" t="str">
        <f t="shared" si="44"/>
        <v/>
      </c>
      <c r="H910" t="str">
        <f t="shared" si="45"/>
        <v/>
      </c>
      <c r="M910" s="34">
        <f t="shared" si="46"/>
        <v>0</v>
      </c>
    </row>
    <row r="911" spans="7:13" x14ac:dyDescent="0.25">
      <c r="G911" s="10" t="str">
        <f t="shared" si="44"/>
        <v/>
      </c>
      <c r="H911" t="str">
        <f t="shared" si="45"/>
        <v/>
      </c>
      <c r="M911" s="34">
        <f t="shared" si="46"/>
        <v>0</v>
      </c>
    </row>
    <row r="912" spans="7:13" x14ac:dyDescent="0.25">
      <c r="G912" s="10" t="str">
        <f t="shared" si="44"/>
        <v/>
      </c>
      <c r="H912" t="str">
        <f t="shared" si="45"/>
        <v/>
      </c>
      <c r="M912" s="34">
        <f t="shared" si="46"/>
        <v>0</v>
      </c>
    </row>
    <row r="913" spans="7:13" x14ac:dyDescent="0.25">
      <c r="G913" s="10" t="str">
        <f t="shared" si="44"/>
        <v/>
      </c>
      <c r="H913" t="str">
        <f t="shared" si="45"/>
        <v/>
      </c>
      <c r="M913" s="34">
        <f t="shared" si="46"/>
        <v>0</v>
      </c>
    </row>
    <row r="914" spans="7:13" x14ac:dyDescent="0.25">
      <c r="G914" s="10" t="str">
        <f t="shared" si="44"/>
        <v/>
      </c>
      <c r="H914" t="str">
        <f t="shared" si="45"/>
        <v/>
      </c>
      <c r="M914" s="34">
        <f t="shared" si="46"/>
        <v>0</v>
      </c>
    </row>
    <row r="915" spans="7:13" x14ac:dyDescent="0.25">
      <c r="G915" s="10" t="str">
        <f t="shared" si="44"/>
        <v/>
      </c>
      <c r="H915" t="str">
        <f t="shared" si="45"/>
        <v/>
      </c>
      <c r="M915" s="34">
        <f t="shared" si="46"/>
        <v>0</v>
      </c>
    </row>
    <row r="916" spans="7:13" x14ac:dyDescent="0.25">
      <c r="G916" s="10" t="str">
        <f t="shared" si="44"/>
        <v/>
      </c>
      <c r="H916" t="str">
        <f t="shared" si="45"/>
        <v/>
      </c>
      <c r="M916" s="34">
        <f t="shared" si="46"/>
        <v>0</v>
      </c>
    </row>
    <row r="917" spans="7:13" x14ac:dyDescent="0.25">
      <c r="G917" s="10" t="str">
        <f t="shared" si="44"/>
        <v/>
      </c>
      <c r="H917" t="str">
        <f t="shared" si="45"/>
        <v/>
      </c>
      <c r="M917" s="34">
        <f t="shared" si="46"/>
        <v>0</v>
      </c>
    </row>
    <row r="918" spans="7:13" x14ac:dyDescent="0.25">
      <c r="G918" s="10" t="str">
        <f t="shared" si="44"/>
        <v/>
      </c>
      <c r="H918" t="str">
        <f t="shared" si="45"/>
        <v/>
      </c>
      <c r="M918" s="34">
        <f t="shared" si="46"/>
        <v>0</v>
      </c>
    </row>
    <row r="919" spans="7:13" x14ac:dyDescent="0.25">
      <c r="G919" s="10" t="str">
        <f t="shared" si="44"/>
        <v/>
      </c>
      <c r="H919" t="str">
        <f t="shared" si="45"/>
        <v/>
      </c>
      <c r="M919" s="34">
        <f t="shared" si="46"/>
        <v>0</v>
      </c>
    </row>
    <row r="920" spans="7:13" x14ac:dyDescent="0.25">
      <c r="G920" s="10" t="str">
        <f t="shared" si="44"/>
        <v/>
      </c>
      <c r="H920" t="str">
        <f t="shared" si="45"/>
        <v/>
      </c>
      <c r="M920" s="34">
        <f t="shared" si="46"/>
        <v>0</v>
      </c>
    </row>
    <row r="921" spans="7:13" x14ac:dyDescent="0.25">
      <c r="G921" s="10" t="str">
        <f t="shared" si="44"/>
        <v/>
      </c>
      <c r="H921" t="str">
        <f t="shared" si="45"/>
        <v/>
      </c>
      <c r="M921" s="34">
        <f t="shared" si="46"/>
        <v>0</v>
      </c>
    </row>
    <row r="922" spans="7:13" x14ac:dyDescent="0.25">
      <c r="G922" s="10" t="str">
        <f t="shared" si="44"/>
        <v/>
      </c>
      <c r="H922" t="str">
        <f t="shared" si="45"/>
        <v/>
      </c>
      <c r="M922" s="34">
        <f t="shared" si="46"/>
        <v>0</v>
      </c>
    </row>
    <row r="923" spans="7:13" x14ac:dyDescent="0.25">
      <c r="G923" s="10" t="str">
        <f t="shared" si="44"/>
        <v/>
      </c>
      <c r="H923" t="str">
        <f t="shared" si="45"/>
        <v/>
      </c>
      <c r="M923" s="34">
        <f t="shared" si="46"/>
        <v>0</v>
      </c>
    </row>
    <row r="924" spans="7:13" x14ac:dyDescent="0.25">
      <c r="G924" s="10" t="str">
        <f t="shared" si="44"/>
        <v/>
      </c>
      <c r="H924" t="str">
        <f t="shared" si="45"/>
        <v/>
      </c>
      <c r="M924" s="34">
        <f t="shared" si="46"/>
        <v>0</v>
      </c>
    </row>
    <row r="925" spans="7:13" x14ac:dyDescent="0.25">
      <c r="G925" s="10" t="str">
        <f t="shared" si="44"/>
        <v/>
      </c>
      <c r="H925" t="str">
        <f t="shared" si="45"/>
        <v/>
      </c>
      <c r="M925" s="34">
        <f t="shared" si="46"/>
        <v>0</v>
      </c>
    </row>
    <row r="926" spans="7:13" x14ac:dyDescent="0.25">
      <c r="G926" s="10" t="str">
        <f t="shared" si="44"/>
        <v/>
      </c>
      <c r="H926" t="str">
        <f t="shared" si="45"/>
        <v/>
      </c>
      <c r="M926" s="34">
        <f t="shared" si="46"/>
        <v>0</v>
      </c>
    </row>
    <row r="927" spans="7:13" x14ac:dyDescent="0.25">
      <c r="G927" s="10" t="str">
        <f t="shared" si="44"/>
        <v/>
      </c>
      <c r="H927" t="str">
        <f t="shared" si="45"/>
        <v/>
      </c>
      <c r="M927" s="34">
        <f t="shared" si="46"/>
        <v>0</v>
      </c>
    </row>
    <row r="928" spans="7:13" x14ac:dyDescent="0.25">
      <c r="G928" s="10" t="str">
        <f t="shared" si="44"/>
        <v/>
      </c>
      <c r="H928" t="str">
        <f t="shared" si="45"/>
        <v/>
      </c>
      <c r="M928" s="34">
        <f t="shared" si="46"/>
        <v>0</v>
      </c>
    </row>
    <row r="929" spans="7:13" x14ac:dyDescent="0.25">
      <c r="G929" s="10" t="str">
        <f t="shared" si="44"/>
        <v/>
      </c>
      <c r="H929" t="str">
        <f t="shared" si="45"/>
        <v/>
      </c>
      <c r="M929" s="34">
        <f t="shared" si="46"/>
        <v>0</v>
      </c>
    </row>
    <row r="930" spans="7:13" x14ac:dyDescent="0.25">
      <c r="G930" s="10" t="str">
        <f t="shared" si="44"/>
        <v/>
      </c>
      <c r="H930" t="str">
        <f t="shared" si="45"/>
        <v/>
      </c>
      <c r="M930" s="34">
        <f t="shared" si="46"/>
        <v>0</v>
      </c>
    </row>
    <row r="931" spans="7:13" x14ac:dyDescent="0.25">
      <c r="G931" s="10" t="str">
        <f t="shared" si="44"/>
        <v/>
      </c>
      <c r="H931" t="str">
        <f t="shared" si="45"/>
        <v/>
      </c>
      <c r="M931" s="34">
        <f t="shared" si="46"/>
        <v>0</v>
      </c>
    </row>
    <row r="932" spans="7:13" x14ac:dyDescent="0.25">
      <c r="G932" s="10" t="str">
        <f t="shared" si="44"/>
        <v/>
      </c>
      <c r="H932" t="str">
        <f t="shared" si="45"/>
        <v/>
      </c>
      <c r="M932" s="34">
        <f t="shared" si="46"/>
        <v>0</v>
      </c>
    </row>
    <row r="933" spans="7:13" x14ac:dyDescent="0.25">
      <c r="G933" s="10" t="str">
        <f t="shared" si="44"/>
        <v/>
      </c>
      <c r="H933" t="str">
        <f t="shared" si="45"/>
        <v/>
      </c>
      <c r="M933" s="34">
        <f t="shared" si="46"/>
        <v>0</v>
      </c>
    </row>
    <row r="934" spans="7:13" x14ac:dyDescent="0.25">
      <c r="G934" s="10" t="str">
        <f t="shared" si="44"/>
        <v/>
      </c>
      <c r="H934" t="str">
        <f t="shared" si="45"/>
        <v/>
      </c>
      <c r="M934" s="34">
        <f t="shared" si="46"/>
        <v>0</v>
      </c>
    </row>
    <row r="935" spans="7:13" x14ac:dyDescent="0.25">
      <c r="G935" s="10" t="str">
        <f t="shared" si="44"/>
        <v/>
      </c>
      <c r="H935" t="str">
        <f t="shared" si="45"/>
        <v/>
      </c>
      <c r="M935" s="34">
        <f t="shared" si="46"/>
        <v>0</v>
      </c>
    </row>
    <row r="936" spans="7:13" x14ac:dyDescent="0.25">
      <c r="G936" s="10" t="str">
        <f t="shared" si="44"/>
        <v/>
      </c>
      <c r="H936" t="str">
        <f t="shared" si="45"/>
        <v/>
      </c>
      <c r="M936" s="34">
        <f t="shared" si="46"/>
        <v>0</v>
      </c>
    </row>
    <row r="937" spans="7:13" x14ac:dyDescent="0.25">
      <c r="G937" s="10" t="str">
        <f t="shared" si="44"/>
        <v/>
      </c>
      <c r="H937" t="str">
        <f t="shared" si="45"/>
        <v/>
      </c>
      <c r="M937" s="34">
        <f t="shared" si="46"/>
        <v>0</v>
      </c>
    </row>
    <row r="938" spans="7:13" x14ac:dyDescent="0.25">
      <c r="G938" s="10" t="str">
        <f t="shared" si="44"/>
        <v/>
      </c>
      <c r="H938" t="str">
        <f t="shared" si="45"/>
        <v/>
      </c>
      <c r="M938" s="34">
        <f t="shared" si="46"/>
        <v>0</v>
      </c>
    </row>
    <row r="939" spans="7:13" x14ac:dyDescent="0.25">
      <c r="G939" s="10" t="str">
        <f t="shared" si="44"/>
        <v/>
      </c>
      <c r="H939" t="str">
        <f t="shared" si="45"/>
        <v/>
      </c>
      <c r="M939" s="34">
        <f t="shared" si="46"/>
        <v>0</v>
      </c>
    </row>
    <row r="940" spans="7:13" x14ac:dyDescent="0.25">
      <c r="G940" s="10" t="str">
        <f t="shared" si="44"/>
        <v/>
      </c>
      <c r="H940" t="str">
        <f t="shared" si="45"/>
        <v/>
      </c>
      <c r="M940" s="34">
        <f t="shared" si="46"/>
        <v>0</v>
      </c>
    </row>
    <row r="941" spans="7:13" x14ac:dyDescent="0.25">
      <c r="G941" s="10" t="str">
        <f t="shared" si="44"/>
        <v/>
      </c>
      <c r="H941" t="str">
        <f t="shared" si="45"/>
        <v/>
      </c>
      <c r="M941" s="34">
        <f t="shared" si="46"/>
        <v>0</v>
      </c>
    </row>
    <row r="942" spans="7:13" x14ac:dyDescent="0.25">
      <c r="G942" s="10" t="str">
        <f t="shared" si="44"/>
        <v/>
      </c>
      <c r="H942" t="str">
        <f t="shared" si="45"/>
        <v/>
      </c>
      <c r="M942" s="34">
        <f t="shared" si="46"/>
        <v>0</v>
      </c>
    </row>
    <row r="943" spans="7:13" x14ac:dyDescent="0.25">
      <c r="G943" s="10" t="str">
        <f t="shared" si="44"/>
        <v/>
      </c>
      <c r="H943" t="str">
        <f t="shared" si="45"/>
        <v/>
      </c>
      <c r="M943" s="34">
        <f t="shared" si="46"/>
        <v>0</v>
      </c>
    </row>
    <row r="944" spans="7:13" x14ac:dyDescent="0.25">
      <c r="G944" s="10" t="str">
        <f t="shared" si="44"/>
        <v/>
      </c>
      <c r="H944" t="str">
        <f t="shared" si="45"/>
        <v/>
      </c>
      <c r="M944" s="34">
        <f t="shared" si="46"/>
        <v>0</v>
      </c>
    </row>
    <row r="945" spans="7:13" x14ac:dyDescent="0.25">
      <c r="G945" s="10" t="str">
        <f t="shared" si="44"/>
        <v/>
      </c>
      <c r="H945" t="str">
        <f t="shared" si="45"/>
        <v/>
      </c>
      <c r="M945" s="34">
        <f t="shared" si="46"/>
        <v>0</v>
      </c>
    </row>
    <row r="946" spans="7:13" x14ac:dyDescent="0.25">
      <c r="G946" s="10" t="str">
        <f t="shared" si="44"/>
        <v/>
      </c>
      <c r="H946" t="str">
        <f t="shared" si="45"/>
        <v/>
      </c>
      <c r="M946" s="34">
        <f t="shared" si="46"/>
        <v>0</v>
      </c>
    </row>
    <row r="947" spans="7:13" x14ac:dyDescent="0.25">
      <c r="G947" s="10" t="str">
        <f t="shared" si="44"/>
        <v/>
      </c>
      <c r="H947" t="str">
        <f t="shared" si="45"/>
        <v/>
      </c>
      <c r="M947" s="34">
        <f t="shared" si="46"/>
        <v>0</v>
      </c>
    </row>
    <row r="948" spans="7:13" x14ac:dyDescent="0.25">
      <c r="G948" s="10" t="str">
        <f t="shared" si="44"/>
        <v/>
      </c>
      <c r="H948" t="str">
        <f t="shared" si="45"/>
        <v/>
      </c>
      <c r="M948" s="34">
        <f t="shared" si="46"/>
        <v>0</v>
      </c>
    </row>
    <row r="949" spans="7:13" x14ac:dyDescent="0.25">
      <c r="G949" s="10" t="str">
        <f t="shared" si="44"/>
        <v/>
      </c>
      <c r="H949" t="str">
        <f t="shared" si="45"/>
        <v/>
      </c>
      <c r="M949" s="34">
        <f t="shared" si="46"/>
        <v>0</v>
      </c>
    </row>
    <row r="950" spans="7:13" x14ac:dyDescent="0.25">
      <c r="G950" s="10" t="str">
        <f t="shared" si="44"/>
        <v/>
      </c>
      <c r="H950" t="str">
        <f t="shared" si="45"/>
        <v/>
      </c>
      <c r="M950" s="34">
        <f t="shared" si="46"/>
        <v>0</v>
      </c>
    </row>
    <row r="951" spans="7:13" x14ac:dyDescent="0.25">
      <c r="G951" s="10" t="str">
        <f t="shared" si="44"/>
        <v/>
      </c>
      <c r="H951" t="str">
        <f t="shared" si="45"/>
        <v/>
      </c>
      <c r="M951" s="34">
        <f t="shared" si="46"/>
        <v>0</v>
      </c>
    </row>
    <row r="952" spans="7:13" x14ac:dyDescent="0.25">
      <c r="G952" s="10" t="str">
        <f t="shared" si="44"/>
        <v/>
      </c>
      <c r="H952" t="str">
        <f t="shared" si="45"/>
        <v/>
      </c>
      <c r="M952" s="34">
        <f t="shared" si="46"/>
        <v>0</v>
      </c>
    </row>
    <row r="953" spans="7:13" x14ac:dyDescent="0.25">
      <c r="G953" s="10" t="str">
        <f t="shared" si="44"/>
        <v/>
      </c>
      <c r="H953" t="str">
        <f t="shared" si="45"/>
        <v/>
      </c>
      <c r="M953" s="34">
        <f t="shared" si="46"/>
        <v>0</v>
      </c>
    </row>
    <row r="954" spans="7:13" x14ac:dyDescent="0.25">
      <c r="G954" s="10" t="str">
        <f t="shared" si="44"/>
        <v/>
      </c>
      <c r="H954" t="str">
        <f t="shared" si="45"/>
        <v/>
      </c>
      <c r="M954" s="34">
        <f t="shared" si="46"/>
        <v>0</v>
      </c>
    </row>
    <row r="955" spans="7:13" x14ac:dyDescent="0.25">
      <c r="G955" s="10" t="str">
        <f t="shared" si="44"/>
        <v/>
      </c>
      <c r="H955" t="str">
        <f t="shared" si="45"/>
        <v/>
      </c>
      <c r="M955" s="34">
        <f t="shared" si="46"/>
        <v>0</v>
      </c>
    </row>
    <row r="956" spans="7:13" x14ac:dyDescent="0.25">
      <c r="G956" s="10" t="str">
        <f t="shared" si="44"/>
        <v/>
      </c>
      <c r="H956" t="str">
        <f t="shared" si="45"/>
        <v/>
      </c>
      <c r="M956" s="34">
        <f t="shared" si="46"/>
        <v>0</v>
      </c>
    </row>
    <row r="957" spans="7:13" x14ac:dyDescent="0.25">
      <c r="G957" s="10" t="str">
        <f t="shared" si="44"/>
        <v/>
      </c>
      <c r="H957" t="str">
        <f t="shared" si="45"/>
        <v/>
      </c>
      <c r="M957" s="34">
        <f t="shared" si="46"/>
        <v>0</v>
      </c>
    </row>
    <row r="958" spans="7:13" x14ac:dyDescent="0.25">
      <c r="G958" s="10" t="str">
        <f t="shared" si="44"/>
        <v/>
      </c>
      <c r="H958" t="str">
        <f t="shared" si="45"/>
        <v/>
      </c>
      <c r="M958" s="34">
        <f t="shared" si="46"/>
        <v>0</v>
      </c>
    </row>
    <row r="959" spans="7:13" x14ac:dyDescent="0.25">
      <c r="G959" s="10" t="str">
        <f t="shared" si="44"/>
        <v/>
      </c>
      <c r="H959" t="str">
        <f t="shared" si="45"/>
        <v/>
      </c>
      <c r="M959" s="34">
        <f t="shared" si="46"/>
        <v>0</v>
      </c>
    </row>
    <row r="960" spans="7:13" x14ac:dyDescent="0.25">
      <c r="G960" s="10" t="str">
        <f t="shared" si="44"/>
        <v/>
      </c>
      <c r="H960" t="str">
        <f t="shared" si="45"/>
        <v/>
      </c>
      <c r="M960" s="34">
        <f t="shared" si="46"/>
        <v>0</v>
      </c>
    </row>
    <row r="961" spans="7:13" x14ac:dyDescent="0.25">
      <c r="G961" s="10" t="str">
        <f t="shared" si="44"/>
        <v/>
      </c>
      <c r="H961" t="str">
        <f t="shared" si="45"/>
        <v/>
      </c>
      <c r="M961" s="34">
        <f t="shared" si="46"/>
        <v>0</v>
      </c>
    </row>
    <row r="962" spans="7:13" x14ac:dyDescent="0.25">
      <c r="G962" s="10" t="str">
        <f t="shared" ref="G962:G1025" si="47">IF(F962&gt;0,"RECETTE",IF(F962&lt;0,"DÉPENSE",""))</f>
        <v/>
      </c>
      <c r="H962" t="str">
        <f t="shared" ref="H962:H1025" si="48">+IF(ISNUMBER(D962),D962,"")</f>
        <v/>
      </c>
      <c r="M962" s="34">
        <f t="shared" si="46"/>
        <v>0</v>
      </c>
    </row>
    <row r="963" spans="7:13" x14ac:dyDescent="0.25">
      <c r="G963" s="10" t="str">
        <f t="shared" si="47"/>
        <v/>
      </c>
      <c r="H963" t="str">
        <f t="shared" si="48"/>
        <v/>
      </c>
      <c r="M963" s="34">
        <f t="shared" ref="M963:M1026" si="49">IF(AND(E963="Chèque",G963="RECETTE"),F963,0)</f>
        <v>0</v>
      </c>
    </row>
    <row r="964" spans="7:13" x14ac:dyDescent="0.25">
      <c r="G964" s="10" t="str">
        <f t="shared" si="47"/>
        <v/>
      </c>
      <c r="H964" t="str">
        <f t="shared" si="48"/>
        <v/>
      </c>
      <c r="M964" s="34">
        <f t="shared" si="49"/>
        <v>0</v>
      </c>
    </row>
    <row r="965" spans="7:13" x14ac:dyDescent="0.25">
      <c r="G965" s="10" t="str">
        <f t="shared" si="47"/>
        <v/>
      </c>
      <c r="H965" t="str">
        <f t="shared" si="48"/>
        <v/>
      </c>
      <c r="M965" s="34">
        <f t="shared" si="49"/>
        <v>0</v>
      </c>
    </row>
    <row r="966" spans="7:13" x14ac:dyDescent="0.25">
      <c r="G966" s="10" t="str">
        <f t="shared" si="47"/>
        <v/>
      </c>
      <c r="H966" t="str">
        <f t="shared" si="48"/>
        <v/>
      </c>
      <c r="M966" s="34">
        <f t="shared" si="49"/>
        <v>0</v>
      </c>
    </row>
    <row r="967" spans="7:13" x14ac:dyDescent="0.25">
      <c r="G967" s="10" t="str">
        <f t="shared" si="47"/>
        <v/>
      </c>
      <c r="H967" t="str">
        <f t="shared" si="48"/>
        <v/>
      </c>
      <c r="M967" s="34">
        <f t="shared" si="49"/>
        <v>0</v>
      </c>
    </row>
    <row r="968" spans="7:13" x14ac:dyDescent="0.25">
      <c r="G968" s="10" t="str">
        <f t="shared" si="47"/>
        <v/>
      </c>
      <c r="H968" t="str">
        <f t="shared" si="48"/>
        <v/>
      </c>
      <c r="M968" s="34">
        <f t="shared" si="49"/>
        <v>0</v>
      </c>
    </row>
    <row r="969" spans="7:13" x14ac:dyDescent="0.25">
      <c r="G969" s="10" t="str">
        <f t="shared" si="47"/>
        <v/>
      </c>
      <c r="H969" t="str">
        <f t="shared" si="48"/>
        <v/>
      </c>
      <c r="M969" s="34">
        <f t="shared" si="49"/>
        <v>0</v>
      </c>
    </row>
    <row r="970" spans="7:13" x14ac:dyDescent="0.25">
      <c r="G970" s="10" t="str">
        <f t="shared" si="47"/>
        <v/>
      </c>
      <c r="H970" t="str">
        <f t="shared" si="48"/>
        <v/>
      </c>
      <c r="M970" s="34">
        <f t="shared" si="49"/>
        <v>0</v>
      </c>
    </row>
    <row r="971" spans="7:13" x14ac:dyDescent="0.25">
      <c r="G971" s="10" t="str">
        <f t="shared" si="47"/>
        <v/>
      </c>
      <c r="H971" t="str">
        <f t="shared" si="48"/>
        <v/>
      </c>
      <c r="M971" s="34">
        <f t="shared" si="49"/>
        <v>0</v>
      </c>
    </row>
    <row r="972" spans="7:13" x14ac:dyDescent="0.25">
      <c r="G972" s="10" t="str">
        <f t="shared" si="47"/>
        <v/>
      </c>
      <c r="H972" t="str">
        <f t="shared" si="48"/>
        <v/>
      </c>
      <c r="M972" s="34">
        <f t="shared" si="49"/>
        <v>0</v>
      </c>
    </row>
    <row r="973" spans="7:13" x14ac:dyDescent="0.25">
      <c r="G973" s="10" t="str">
        <f t="shared" si="47"/>
        <v/>
      </c>
      <c r="H973" t="str">
        <f t="shared" si="48"/>
        <v/>
      </c>
      <c r="M973" s="34">
        <f t="shared" si="49"/>
        <v>0</v>
      </c>
    </row>
    <row r="974" spans="7:13" x14ac:dyDescent="0.25">
      <c r="G974" s="10" t="str">
        <f t="shared" si="47"/>
        <v/>
      </c>
      <c r="H974" t="str">
        <f t="shared" si="48"/>
        <v/>
      </c>
      <c r="M974" s="34">
        <f t="shared" si="49"/>
        <v>0</v>
      </c>
    </row>
    <row r="975" spans="7:13" x14ac:dyDescent="0.25">
      <c r="G975" s="10" t="str">
        <f t="shared" si="47"/>
        <v/>
      </c>
      <c r="H975" t="str">
        <f t="shared" si="48"/>
        <v/>
      </c>
      <c r="M975" s="34">
        <f t="shared" si="49"/>
        <v>0</v>
      </c>
    </row>
    <row r="976" spans="7:13" x14ac:dyDescent="0.25">
      <c r="G976" s="10" t="str">
        <f t="shared" si="47"/>
        <v/>
      </c>
      <c r="H976" t="str">
        <f t="shared" si="48"/>
        <v/>
      </c>
      <c r="M976" s="34">
        <f t="shared" si="49"/>
        <v>0</v>
      </c>
    </row>
    <row r="977" spans="7:13" x14ac:dyDescent="0.25">
      <c r="G977" s="10" t="str">
        <f t="shared" si="47"/>
        <v/>
      </c>
      <c r="H977" t="str">
        <f t="shared" si="48"/>
        <v/>
      </c>
      <c r="M977" s="34">
        <f t="shared" si="49"/>
        <v>0</v>
      </c>
    </row>
    <row r="978" spans="7:13" x14ac:dyDescent="0.25">
      <c r="G978" s="10" t="str">
        <f t="shared" si="47"/>
        <v/>
      </c>
      <c r="H978" t="str">
        <f t="shared" si="48"/>
        <v/>
      </c>
      <c r="M978" s="34">
        <f t="shared" si="49"/>
        <v>0</v>
      </c>
    </row>
    <row r="979" spans="7:13" x14ac:dyDescent="0.25">
      <c r="G979" s="10" t="str">
        <f t="shared" si="47"/>
        <v/>
      </c>
      <c r="H979" t="str">
        <f t="shared" si="48"/>
        <v/>
      </c>
      <c r="M979" s="34">
        <f t="shared" si="49"/>
        <v>0</v>
      </c>
    </row>
    <row r="980" spans="7:13" x14ac:dyDescent="0.25">
      <c r="G980" s="10" t="str">
        <f t="shared" si="47"/>
        <v/>
      </c>
      <c r="H980" t="str">
        <f t="shared" si="48"/>
        <v/>
      </c>
      <c r="M980" s="34">
        <f t="shared" si="49"/>
        <v>0</v>
      </c>
    </row>
    <row r="981" spans="7:13" x14ac:dyDescent="0.25">
      <c r="G981" s="10" t="str">
        <f t="shared" si="47"/>
        <v/>
      </c>
      <c r="H981" t="str">
        <f t="shared" si="48"/>
        <v/>
      </c>
      <c r="M981" s="34">
        <f t="shared" si="49"/>
        <v>0</v>
      </c>
    </row>
    <row r="982" spans="7:13" x14ac:dyDescent="0.25">
      <c r="G982" s="10" t="str">
        <f t="shared" si="47"/>
        <v/>
      </c>
      <c r="H982" t="str">
        <f t="shared" si="48"/>
        <v/>
      </c>
      <c r="M982" s="34">
        <f t="shared" si="49"/>
        <v>0</v>
      </c>
    </row>
    <row r="983" spans="7:13" x14ac:dyDescent="0.25">
      <c r="G983" s="10" t="str">
        <f t="shared" si="47"/>
        <v/>
      </c>
      <c r="H983" t="str">
        <f t="shared" si="48"/>
        <v/>
      </c>
      <c r="M983" s="34">
        <f t="shared" si="49"/>
        <v>0</v>
      </c>
    </row>
    <row r="984" spans="7:13" x14ac:dyDescent="0.25">
      <c r="G984" s="10" t="str">
        <f t="shared" si="47"/>
        <v/>
      </c>
      <c r="H984" t="str">
        <f t="shared" si="48"/>
        <v/>
      </c>
      <c r="M984" s="34">
        <f t="shared" si="49"/>
        <v>0</v>
      </c>
    </row>
    <row r="985" spans="7:13" x14ac:dyDescent="0.25">
      <c r="G985" s="10" t="str">
        <f t="shared" si="47"/>
        <v/>
      </c>
      <c r="H985" t="str">
        <f t="shared" si="48"/>
        <v/>
      </c>
      <c r="M985" s="34">
        <f t="shared" si="49"/>
        <v>0</v>
      </c>
    </row>
    <row r="986" spans="7:13" x14ac:dyDescent="0.25">
      <c r="G986" s="10" t="str">
        <f t="shared" si="47"/>
        <v/>
      </c>
      <c r="H986" t="str">
        <f t="shared" si="48"/>
        <v/>
      </c>
      <c r="M986" s="34">
        <f t="shared" si="49"/>
        <v>0</v>
      </c>
    </row>
    <row r="987" spans="7:13" x14ac:dyDescent="0.25">
      <c r="G987" s="10" t="str">
        <f t="shared" si="47"/>
        <v/>
      </c>
      <c r="H987" t="str">
        <f t="shared" si="48"/>
        <v/>
      </c>
      <c r="M987" s="34">
        <f t="shared" si="49"/>
        <v>0</v>
      </c>
    </row>
    <row r="988" spans="7:13" x14ac:dyDescent="0.25">
      <c r="G988" s="10" t="str">
        <f t="shared" si="47"/>
        <v/>
      </c>
      <c r="H988" t="str">
        <f t="shared" si="48"/>
        <v/>
      </c>
      <c r="M988" s="34">
        <f t="shared" si="49"/>
        <v>0</v>
      </c>
    </row>
    <row r="989" spans="7:13" x14ac:dyDescent="0.25">
      <c r="G989" s="10" t="str">
        <f t="shared" si="47"/>
        <v/>
      </c>
      <c r="H989" t="str">
        <f t="shared" si="48"/>
        <v/>
      </c>
      <c r="M989" s="34">
        <f t="shared" si="49"/>
        <v>0</v>
      </c>
    </row>
    <row r="990" spans="7:13" x14ac:dyDescent="0.25">
      <c r="G990" s="10" t="str">
        <f t="shared" si="47"/>
        <v/>
      </c>
      <c r="H990" t="str">
        <f t="shared" si="48"/>
        <v/>
      </c>
      <c r="M990" s="34">
        <f t="shared" si="49"/>
        <v>0</v>
      </c>
    </row>
    <row r="991" spans="7:13" x14ac:dyDescent="0.25">
      <c r="G991" s="10" t="str">
        <f t="shared" si="47"/>
        <v/>
      </c>
      <c r="H991" t="str">
        <f t="shared" si="48"/>
        <v/>
      </c>
      <c r="M991" s="34">
        <f t="shared" si="49"/>
        <v>0</v>
      </c>
    </row>
    <row r="992" spans="7:13" x14ac:dyDescent="0.25">
      <c r="G992" s="10" t="str">
        <f t="shared" si="47"/>
        <v/>
      </c>
      <c r="H992" t="str">
        <f t="shared" si="48"/>
        <v/>
      </c>
      <c r="M992" s="34">
        <f t="shared" si="49"/>
        <v>0</v>
      </c>
    </row>
    <row r="993" spans="7:13" x14ac:dyDescent="0.25">
      <c r="G993" s="10" t="str">
        <f t="shared" si="47"/>
        <v/>
      </c>
      <c r="H993" t="str">
        <f t="shared" si="48"/>
        <v/>
      </c>
      <c r="M993" s="34">
        <f t="shared" si="49"/>
        <v>0</v>
      </c>
    </row>
    <row r="994" spans="7:13" x14ac:dyDescent="0.25">
      <c r="G994" s="10" t="str">
        <f t="shared" si="47"/>
        <v/>
      </c>
      <c r="H994" t="str">
        <f t="shared" si="48"/>
        <v/>
      </c>
      <c r="M994" s="34">
        <f t="shared" si="49"/>
        <v>0</v>
      </c>
    </row>
    <row r="995" spans="7:13" x14ac:dyDescent="0.25">
      <c r="G995" s="10" t="str">
        <f t="shared" si="47"/>
        <v/>
      </c>
      <c r="H995" t="str">
        <f t="shared" si="48"/>
        <v/>
      </c>
      <c r="M995" s="34">
        <f t="shared" si="49"/>
        <v>0</v>
      </c>
    </row>
    <row r="996" spans="7:13" x14ac:dyDescent="0.25">
      <c r="G996" s="10" t="str">
        <f t="shared" si="47"/>
        <v/>
      </c>
      <c r="H996" t="str">
        <f t="shared" si="48"/>
        <v/>
      </c>
      <c r="M996" s="34">
        <f t="shared" si="49"/>
        <v>0</v>
      </c>
    </row>
    <row r="997" spans="7:13" x14ac:dyDescent="0.25">
      <c r="G997" s="10" t="str">
        <f t="shared" si="47"/>
        <v/>
      </c>
      <c r="H997" t="str">
        <f t="shared" si="48"/>
        <v/>
      </c>
      <c r="M997" s="34">
        <f t="shared" si="49"/>
        <v>0</v>
      </c>
    </row>
    <row r="998" spans="7:13" x14ac:dyDescent="0.25">
      <c r="G998" s="10" t="str">
        <f t="shared" si="47"/>
        <v/>
      </c>
      <c r="H998" t="str">
        <f t="shared" si="48"/>
        <v/>
      </c>
      <c r="M998" s="34">
        <f t="shared" si="49"/>
        <v>0</v>
      </c>
    </row>
    <row r="999" spans="7:13" x14ac:dyDescent="0.25">
      <c r="G999" s="10" t="str">
        <f t="shared" si="47"/>
        <v/>
      </c>
      <c r="H999" t="str">
        <f t="shared" si="48"/>
        <v/>
      </c>
      <c r="M999" s="34">
        <f t="shared" si="49"/>
        <v>0</v>
      </c>
    </row>
    <row r="1000" spans="7:13" x14ac:dyDescent="0.25">
      <c r="G1000" s="10" t="str">
        <f t="shared" si="47"/>
        <v/>
      </c>
      <c r="H1000" t="str">
        <f t="shared" si="48"/>
        <v/>
      </c>
      <c r="M1000" s="34">
        <f t="shared" si="49"/>
        <v>0</v>
      </c>
    </row>
    <row r="1001" spans="7:13" x14ac:dyDescent="0.25">
      <c r="G1001" s="10" t="str">
        <f t="shared" si="47"/>
        <v/>
      </c>
      <c r="H1001" t="str">
        <f t="shared" si="48"/>
        <v/>
      </c>
      <c r="M1001" s="34">
        <f t="shared" si="49"/>
        <v>0</v>
      </c>
    </row>
    <row r="1002" spans="7:13" x14ac:dyDescent="0.25">
      <c r="G1002" s="10" t="str">
        <f t="shared" si="47"/>
        <v/>
      </c>
      <c r="H1002" t="str">
        <f t="shared" si="48"/>
        <v/>
      </c>
      <c r="M1002" s="34">
        <f t="shared" si="49"/>
        <v>0</v>
      </c>
    </row>
    <row r="1003" spans="7:13" x14ac:dyDescent="0.25">
      <c r="G1003" s="10" t="str">
        <f t="shared" si="47"/>
        <v/>
      </c>
      <c r="H1003" t="str">
        <f t="shared" si="48"/>
        <v/>
      </c>
      <c r="M1003" s="34">
        <f t="shared" si="49"/>
        <v>0</v>
      </c>
    </row>
    <row r="1004" spans="7:13" x14ac:dyDescent="0.25">
      <c r="G1004" s="10" t="str">
        <f t="shared" si="47"/>
        <v/>
      </c>
      <c r="H1004" t="str">
        <f t="shared" si="48"/>
        <v/>
      </c>
      <c r="M1004" s="34">
        <f t="shared" si="49"/>
        <v>0</v>
      </c>
    </row>
    <row r="1005" spans="7:13" x14ac:dyDescent="0.25">
      <c r="G1005" s="10" t="str">
        <f t="shared" si="47"/>
        <v/>
      </c>
      <c r="H1005" t="str">
        <f t="shared" si="48"/>
        <v/>
      </c>
      <c r="M1005" s="34">
        <f t="shared" si="49"/>
        <v>0</v>
      </c>
    </row>
    <row r="1006" spans="7:13" x14ac:dyDescent="0.25">
      <c r="G1006" s="10" t="str">
        <f t="shared" si="47"/>
        <v/>
      </c>
      <c r="H1006" t="str">
        <f t="shared" si="48"/>
        <v/>
      </c>
      <c r="M1006" s="34">
        <f t="shared" si="49"/>
        <v>0</v>
      </c>
    </row>
    <row r="1007" spans="7:13" x14ac:dyDescent="0.25">
      <c r="G1007" s="10" t="str">
        <f t="shared" si="47"/>
        <v/>
      </c>
      <c r="H1007" t="str">
        <f t="shared" si="48"/>
        <v/>
      </c>
      <c r="M1007" s="34">
        <f t="shared" si="49"/>
        <v>0</v>
      </c>
    </row>
    <row r="1008" spans="7:13" x14ac:dyDescent="0.25">
      <c r="G1008" s="10" t="str">
        <f t="shared" si="47"/>
        <v/>
      </c>
      <c r="H1008" t="str">
        <f t="shared" si="48"/>
        <v/>
      </c>
      <c r="M1008" s="34">
        <f t="shared" si="49"/>
        <v>0</v>
      </c>
    </row>
    <row r="1009" spans="7:13" x14ac:dyDescent="0.25">
      <c r="G1009" s="10" t="str">
        <f t="shared" si="47"/>
        <v/>
      </c>
      <c r="H1009" t="str">
        <f t="shared" si="48"/>
        <v/>
      </c>
      <c r="M1009" s="34">
        <f t="shared" si="49"/>
        <v>0</v>
      </c>
    </row>
    <row r="1010" spans="7:13" x14ac:dyDescent="0.25">
      <c r="G1010" s="10" t="str">
        <f t="shared" si="47"/>
        <v/>
      </c>
      <c r="H1010" t="str">
        <f t="shared" si="48"/>
        <v/>
      </c>
      <c r="M1010" s="34">
        <f t="shared" si="49"/>
        <v>0</v>
      </c>
    </row>
    <row r="1011" spans="7:13" x14ac:dyDescent="0.25">
      <c r="G1011" s="10" t="str">
        <f t="shared" si="47"/>
        <v/>
      </c>
      <c r="H1011" t="str">
        <f t="shared" si="48"/>
        <v/>
      </c>
      <c r="M1011" s="34">
        <f t="shared" si="49"/>
        <v>0</v>
      </c>
    </row>
    <row r="1012" spans="7:13" x14ac:dyDescent="0.25">
      <c r="G1012" s="10" t="str">
        <f t="shared" si="47"/>
        <v/>
      </c>
      <c r="H1012" t="str">
        <f t="shared" si="48"/>
        <v/>
      </c>
      <c r="M1012" s="34">
        <f t="shared" si="49"/>
        <v>0</v>
      </c>
    </row>
    <row r="1013" spans="7:13" x14ac:dyDescent="0.25">
      <c r="G1013" s="10" t="str">
        <f t="shared" si="47"/>
        <v/>
      </c>
      <c r="H1013" t="str">
        <f t="shared" si="48"/>
        <v/>
      </c>
      <c r="M1013" s="34">
        <f t="shared" si="49"/>
        <v>0</v>
      </c>
    </row>
    <row r="1014" spans="7:13" x14ac:dyDescent="0.25">
      <c r="G1014" s="10" t="str">
        <f t="shared" si="47"/>
        <v/>
      </c>
      <c r="H1014" t="str">
        <f t="shared" si="48"/>
        <v/>
      </c>
      <c r="M1014" s="34">
        <f t="shared" si="49"/>
        <v>0</v>
      </c>
    </row>
    <row r="1015" spans="7:13" x14ac:dyDescent="0.25">
      <c r="G1015" s="10" t="str">
        <f t="shared" si="47"/>
        <v/>
      </c>
      <c r="H1015" t="str">
        <f t="shared" si="48"/>
        <v/>
      </c>
      <c r="M1015" s="34">
        <f t="shared" si="49"/>
        <v>0</v>
      </c>
    </row>
    <row r="1016" spans="7:13" x14ac:dyDescent="0.25">
      <c r="G1016" s="10" t="str">
        <f t="shared" si="47"/>
        <v/>
      </c>
      <c r="H1016" t="str">
        <f t="shared" si="48"/>
        <v/>
      </c>
      <c r="M1016" s="34">
        <f t="shared" si="49"/>
        <v>0</v>
      </c>
    </row>
    <row r="1017" spans="7:13" x14ac:dyDescent="0.25">
      <c r="G1017" s="10" t="str">
        <f t="shared" si="47"/>
        <v/>
      </c>
      <c r="H1017" t="str">
        <f t="shared" si="48"/>
        <v/>
      </c>
      <c r="M1017" s="34">
        <f t="shared" si="49"/>
        <v>0</v>
      </c>
    </row>
    <row r="1018" spans="7:13" x14ac:dyDescent="0.25">
      <c r="G1018" s="10" t="str">
        <f t="shared" si="47"/>
        <v/>
      </c>
      <c r="H1018" t="str">
        <f t="shared" si="48"/>
        <v/>
      </c>
      <c r="M1018" s="34">
        <f t="shared" si="49"/>
        <v>0</v>
      </c>
    </row>
    <row r="1019" spans="7:13" x14ac:dyDescent="0.25">
      <c r="G1019" s="10" t="str">
        <f t="shared" si="47"/>
        <v/>
      </c>
      <c r="H1019" t="str">
        <f t="shared" si="48"/>
        <v/>
      </c>
      <c r="M1019" s="34">
        <f t="shared" si="49"/>
        <v>0</v>
      </c>
    </row>
    <row r="1020" spans="7:13" x14ac:dyDescent="0.25">
      <c r="G1020" s="10" t="str">
        <f t="shared" si="47"/>
        <v/>
      </c>
      <c r="H1020" t="str">
        <f t="shared" si="48"/>
        <v/>
      </c>
      <c r="M1020" s="34">
        <f t="shared" si="49"/>
        <v>0</v>
      </c>
    </row>
    <row r="1021" spans="7:13" x14ac:dyDescent="0.25">
      <c r="G1021" s="10" t="str">
        <f t="shared" si="47"/>
        <v/>
      </c>
      <c r="H1021" t="str">
        <f t="shared" si="48"/>
        <v/>
      </c>
      <c r="M1021" s="34">
        <f t="shared" si="49"/>
        <v>0</v>
      </c>
    </row>
    <row r="1022" spans="7:13" x14ac:dyDescent="0.25">
      <c r="G1022" s="10" t="str">
        <f t="shared" si="47"/>
        <v/>
      </c>
      <c r="H1022" t="str">
        <f t="shared" si="48"/>
        <v/>
      </c>
      <c r="M1022" s="34">
        <f t="shared" si="49"/>
        <v>0</v>
      </c>
    </row>
    <row r="1023" spans="7:13" x14ac:dyDescent="0.25">
      <c r="G1023" s="10" t="str">
        <f t="shared" si="47"/>
        <v/>
      </c>
      <c r="H1023" t="str">
        <f t="shared" si="48"/>
        <v/>
      </c>
      <c r="M1023" s="34">
        <f t="shared" si="49"/>
        <v>0</v>
      </c>
    </row>
    <row r="1024" spans="7:13" x14ac:dyDescent="0.25">
      <c r="G1024" s="10" t="str">
        <f t="shared" si="47"/>
        <v/>
      </c>
      <c r="H1024" t="str">
        <f t="shared" si="48"/>
        <v/>
      </c>
      <c r="M1024" s="34">
        <f t="shared" si="49"/>
        <v>0</v>
      </c>
    </row>
    <row r="1025" spans="7:13" x14ac:dyDescent="0.25">
      <c r="G1025" s="10" t="str">
        <f t="shared" si="47"/>
        <v/>
      </c>
      <c r="H1025" t="str">
        <f t="shared" si="48"/>
        <v/>
      </c>
      <c r="M1025" s="34">
        <f t="shared" si="49"/>
        <v>0</v>
      </c>
    </row>
    <row r="1026" spans="7:13" x14ac:dyDescent="0.25">
      <c r="G1026" s="10" t="str">
        <f t="shared" ref="G1026:G1089" si="50">IF(F1026&gt;0,"RECETTE",IF(F1026&lt;0,"DÉPENSE",""))</f>
        <v/>
      </c>
      <c r="H1026" t="str">
        <f t="shared" ref="H1026:H1089" si="51">+IF(ISNUMBER(D1026),D1026,"")</f>
        <v/>
      </c>
      <c r="M1026" s="34">
        <f t="shared" si="49"/>
        <v>0</v>
      </c>
    </row>
    <row r="1027" spans="7:13" x14ac:dyDescent="0.25">
      <c r="G1027" s="10" t="str">
        <f t="shared" si="50"/>
        <v/>
      </c>
      <c r="H1027" t="str">
        <f t="shared" si="51"/>
        <v/>
      </c>
      <c r="M1027" s="34">
        <f t="shared" ref="M1027:M1090" si="52">IF(AND(E1027="Chèque",G1027="RECETTE"),F1027,0)</f>
        <v>0</v>
      </c>
    </row>
    <row r="1028" spans="7:13" x14ac:dyDescent="0.25">
      <c r="G1028" s="10" t="str">
        <f t="shared" si="50"/>
        <v/>
      </c>
      <c r="H1028" t="str">
        <f t="shared" si="51"/>
        <v/>
      </c>
      <c r="M1028" s="34">
        <f t="shared" si="52"/>
        <v>0</v>
      </c>
    </row>
    <row r="1029" spans="7:13" x14ac:dyDescent="0.25">
      <c r="G1029" s="10" t="str">
        <f t="shared" si="50"/>
        <v/>
      </c>
      <c r="H1029" t="str">
        <f t="shared" si="51"/>
        <v/>
      </c>
      <c r="M1029" s="34">
        <f t="shared" si="52"/>
        <v>0</v>
      </c>
    </row>
    <row r="1030" spans="7:13" x14ac:dyDescent="0.25">
      <c r="G1030" s="10" t="str">
        <f t="shared" si="50"/>
        <v/>
      </c>
      <c r="H1030" t="str">
        <f t="shared" si="51"/>
        <v/>
      </c>
      <c r="M1030" s="34">
        <f t="shared" si="52"/>
        <v>0</v>
      </c>
    </row>
    <row r="1031" spans="7:13" x14ac:dyDescent="0.25">
      <c r="G1031" s="10" t="str">
        <f t="shared" si="50"/>
        <v/>
      </c>
      <c r="H1031" t="str">
        <f t="shared" si="51"/>
        <v/>
      </c>
      <c r="M1031" s="34">
        <f t="shared" si="52"/>
        <v>0</v>
      </c>
    </row>
    <row r="1032" spans="7:13" x14ac:dyDescent="0.25">
      <c r="G1032" s="10" t="str">
        <f t="shared" si="50"/>
        <v/>
      </c>
      <c r="H1032" t="str">
        <f t="shared" si="51"/>
        <v/>
      </c>
      <c r="M1032" s="34">
        <f t="shared" si="52"/>
        <v>0</v>
      </c>
    </row>
    <row r="1033" spans="7:13" x14ac:dyDescent="0.25">
      <c r="G1033" s="10" t="str">
        <f t="shared" si="50"/>
        <v/>
      </c>
      <c r="H1033" t="str">
        <f t="shared" si="51"/>
        <v/>
      </c>
      <c r="M1033" s="34">
        <f t="shared" si="52"/>
        <v>0</v>
      </c>
    </row>
    <row r="1034" spans="7:13" x14ac:dyDescent="0.25">
      <c r="G1034" s="10" t="str">
        <f t="shared" si="50"/>
        <v/>
      </c>
      <c r="H1034" t="str">
        <f t="shared" si="51"/>
        <v/>
      </c>
      <c r="M1034" s="34">
        <f t="shared" si="52"/>
        <v>0</v>
      </c>
    </row>
    <row r="1035" spans="7:13" x14ac:dyDescent="0.25">
      <c r="G1035" s="10" t="str">
        <f t="shared" si="50"/>
        <v/>
      </c>
      <c r="H1035" t="str">
        <f t="shared" si="51"/>
        <v/>
      </c>
      <c r="M1035" s="34">
        <f t="shared" si="52"/>
        <v>0</v>
      </c>
    </row>
    <row r="1036" spans="7:13" x14ac:dyDescent="0.25">
      <c r="G1036" s="10" t="str">
        <f t="shared" si="50"/>
        <v/>
      </c>
      <c r="H1036" t="str">
        <f t="shared" si="51"/>
        <v/>
      </c>
      <c r="M1036" s="34">
        <f t="shared" si="52"/>
        <v>0</v>
      </c>
    </row>
    <row r="1037" spans="7:13" x14ac:dyDescent="0.25">
      <c r="G1037" s="10" t="str">
        <f t="shared" si="50"/>
        <v/>
      </c>
      <c r="H1037" t="str">
        <f t="shared" si="51"/>
        <v/>
      </c>
      <c r="M1037" s="34">
        <f t="shared" si="52"/>
        <v>0</v>
      </c>
    </row>
    <row r="1038" spans="7:13" x14ac:dyDescent="0.25">
      <c r="G1038" s="10" t="str">
        <f t="shared" si="50"/>
        <v/>
      </c>
      <c r="H1038" t="str">
        <f t="shared" si="51"/>
        <v/>
      </c>
      <c r="M1038" s="34">
        <f t="shared" si="52"/>
        <v>0</v>
      </c>
    </row>
    <row r="1039" spans="7:13" x14ac:dyDescent="0.25">
      <c r="G1039" s="10" t="str">
        <f t="shared" si="50"/>
        <v/>
      </c>
      <c r="H1039" t="str">
        <f t="shared" si="51"/>
        <v/>
      </c>
      <c r="M1039" s="34">
        <f t="shared" si="52"/>
        <v>0</v>
      </c>
    </row>
    <row r="1040" spans="7:13" x14ac:dyDescent="0.25">
      <c r="G1040" s="10" t="str">
        <f t="shared" si="50"/>
        <v/>
      </c>
      <c r="H1040" t="str">
        <f t="shared" si="51"/>
        <v/>
      </c>
      <c r="M1040" s="34">
        <f t="shared" si="52"/>
        <v>0</v>
      </c>
    </row>
    <row r="1041" spans="7:13" x14ac:dyDescent="0.25">
      <c r="G1041" s="10" t="str">
        <f t="shared" si="50"/>
        <v/>
      </c>
      <c r="H1041" t="str">
        <f t="shared" si="51"/>
        <v/>
      </c>
      <c r="M1041" s="34">
        <f t="shared" si="52"/>
        <v>0</v>
      </c>
    </row>
    <row r="1042" spans="7:13" x14ac:dyDescent="0.25">
      <c r="G1042" s="10" t="str">
        <f t="shared" si="50"/>
        <v/>
      </c>
      <c r="H1042" t="str">
        <f t="shared" si="51"/>
        <v/>
      </c>
      <c r="M1042" s="34">
        <f t="shared" si="52"/>
        <v>0</v>
      </c>
    </row>
    <row r="1043" spans="7:13" x14ac:dyDescent="0.25">
      <c r="G1043" s="10" t="str">
        <f t="shared" si="50"/>
        <v/>
      </c>
      <c r="H1043" t="str">
        <f t="shared" si="51"/>
        <v/>
      </c>
      <c r="M1043" s="34">
        <f t="shared" si="52"/>
        <v>0</v>
      </c>
    </row>
    <row r="1044" spans="7:13" x14ac:dyDescent="0.25">
      <c r="G1044" s="10" t="str">
        <f t="shared" si="50"/>
        <v/>
      </c>
      <c r="H1044" t="str">
        <f t="shared" si="51"/>
        <v/>
      </c>
      <c r="M1044" s="34">
        <f t="shared" si="52"/>
        <v>0</v>
      </c>
    </row>
    <row r="1045" spans="7:13" x14ac:dyDescent="0.25">
      <c r="G1045" s="10" t="str">
        <f t="shared" si="50"/>
        <v/>
      </c>
      <c r="H1045" t="str">
        <f t="shared" si="51"/>
        <v/>
      </c>
      <c r="M1045" s="34">
        <f t="shared" si="52"/>
        <v>0</v>
      </c>
    </row>
    <row r="1046" spans="7:13" x14ac:dyDescent="0.25">
      <c r="G1046" s="10" t="str">
        <f t="shared" si="50"/>
        <v/>
      </c>
      <c r="H1046" t="str">
        <f t="shared" si="51"/>
        <v/>
      </c>
      <c r="M1046" s="34">
        <f t="shared" si="52"/>
        <v>0</v>
      </c>
    </row>
    <row r="1047" spans="7:13" x14ac:dyDescent="0.25">
      <c r="G1047" s="10" t="str">
        <f t="shared" si="50"/>
        <v/>
      </c>
      <c r="H1047" t="str">
        <f t="shared" si="51"/>
        <v/>
      </c>
      <c r="M1047" s="34">
        <f t="shared" si="52"/>
        <v>0</v>
      </c>
    </row>
    <row r="1048" spans="7:13" x14ac:dyDescent="0.25">
      <c r="G1048" s="10" t="str">
        <f t="shared" si="50"/>
        <v/>
      </c>
      <c r="H1048" t="str">
        <f t="shared" si="51"/>
        <v/>
      </c>
      <c r="M1048" s="34">
        <f t="shared" si="52"/>
        <v>0</v>
      </c>
    </row>
    <row r="1049" spans="7:13" x14ac:dyDescent="0.25">
      <c r="G1049" s="10" t="str">
        <f t="shared" si="50"/>
        <v/>
      </c>
      <c r="H1049" t="str">
        <f t="shared" si="51"/>
        <v/>
      </c>
      <c r="M1049" s="34">
        <f t="shared" si="52"/>
        <v>0</v>
      </c>
    </row>
    <row r="1050" spans="7:13" x14ac:dyDescent="0.25">
      <c r="G1050" s="10" t="str">
        <f t="shared" si="50"/>
        <v/>
      </c>
      <c r="H1050" t="str">
        <f t="shared" si="51"/>
        <v/>
      </c>
      <c r="M1050" s="34">
        <f t="shared" si="52"/>
        <v>0</v>
      </c>
    </row>
    <row r="1051" spans="7:13" x14ac:dyDescent="0.25">
      <c r="G1051" s="10" t="str">
        <f t="shared" si="50"/>
        <v/>
      </c>
      <c r="H1051" t="str">
        <f t="shared" si="51"/>
        <v/>
      </c>
      <c r="M1051" s="34">
        <f t="shared" si="52"/>
        <v>0</v>
      </c>
    </row>
    <row r="1052" spans="7:13" x14ac:dyDescent="0.25">
      <c r="G1052" s="10" t="str">
        <f t="shared" si="50"/>
        <v/>
      </c>
      <c r="H1052" t="str">
        <f t="shared" si="51"/>
        <v/>
      </c>
      <c r="M1052" s="34">
        <f t="shared" si="52"/>
        <v>0</v>
      </c>
    </row>
    <row r="1053" spans="7:13" x14ac:dyDescent="0.25">
      <c r="G1053" s="10" t="str">
        <f t="shared" si="50"/>
        <v/>
      </c>
      <c r="H1053" t="str">
        <f t="shared" si="51"/>
        <v/>
      </c>
      <c r="M1053" s="34">
        <f t="shared" si="52"/>
        <v>0</v>
      </c>
    </row>
    <row r="1054" spans="7:13" x14ac:dyDescent="0.25">
      <c r="G1054" s="10" t="str">
        <f t="shared" si="50"/>
        <v/>
      </c>
      <c r="H1054" t="str">
        <f t="shared" si="51"/>
        <v/>
      </c>
      <c r="M1054" s="34">
        <f t="shared" si="52"/>
        <v>0</v>
      </c>
    </row>
    <row r="1055" spans="7:13" x14ac:dyDescent="0.25">
      <c r="G1055" s="10" t="str">
        <f t="shared" si="50"/>
        <v/>
      </c>
      <c r="H1055" t="str">
        <f t="shared" si="51"/>
        <v/>
      </c>
      <c r="M1055" s="34">
        <f t="shared" si="52"/>
        <v>0</v>
      </c>
    </row>
    <row r="1056" spans="7:13" x14ac:dyDescent="0.25">
      <c r="G1056" s="10" t="str">
        <f t="shared" si="50"/>
        <v/>
      </c>
      <c r="H1056" t="str">
        <f t="shared" si="51"/>
        <v/>
      </c>
      <c r="M1056" s="34">
        <f t="shared" si="52"/>
        <v>0</v>
      </c>
    </row>
    <row r="1057" spans="7:13" x14ac:dyDescent="0.25">
      <c r="G1057" s="10" t="str">
        <f t="shared" si="50"/>
        <v/>
      </c>
      <c r="H1057" t="str">
        <f t="shared" si="51"/>
        <v/>
      </c>
      <c r="M1057" s="34">
        <f t="shared" si="52"/>
        <v>0</v>
      </c>
    </row>
    <row r="1058" spans="7:13" x14ac:dyDescent="0.25">
      <c r="G1058" s="10" t="str">
        <f t="shared" si="50"/>
        <v/>
      </c>
      <c r="H1058" t="str">
        <f t="shared" si="51"/>
        <v/>
      </c>
      <c r="M1058" s="34">
        <f t="shared" si="52"/>
        <v>0</v>
      </c>
    </row>
    <row r="1059" spans="7:13" x14ac:dyDescent="0.25">
      <c r="G1059" s="10" t="str">
        <f t="shared" si="50"/>
        <v/>
      </c>
      <c r="H1059" t="str">
        <f t="shared" si="51"/>
        <v/>
      </c>
      <c r="M1059" s="34">
        <f t="shared" si="52"/>
        <v>0</v>
      </c>
    </row>
    <row r="1060" spans="7:13" x14ac:dyDescent="0.25">
      <c r="G1060" s="10" t="str">
        <f t="shared" si="50"/>
        <v/>
      </c>
      <c r="H1060" t="str">
        <f t="shared" si="51"/>
        <v/>
      </c>
      <c r="M1060" s="34">
        <f t="shared" si="52"/>
        <v>0</v>
      </c>
    </row>
    <row r="1061" spans="7:13" x14ac:dyDescent="0.25">
      <c r="G1061" s="10" t="str">
        <f t="shared" si="50"/>
        <v/>
      </c>
      <c r="H1061" t="str">
        <f t="shared" si="51"/>
        <v/>
      </c>
      <c r="M1061" s="34">
        <f t="shared" si="52"/>
        <v>0</v>
      </c>
    </row>
    <row r="1062" spans="7:13" x14ac:dyDescent="0.25">
      <c r="G1062" s="10" t="str">
        <f t="shared" si="50"/>
        <v/>
      </c>
      <c r="H1062" t="str">
        <f t="shared" si="51"/>
        <v/>
      </c>
      <c r="M1062" s="34">
        <f t="shared" si="52"/>
        <v>0</v>
      </c>
    </row>
    <row r="1063" spans="7:13" x14ac:dyDescent="0.25">
      <c r="G1063" s="10" t="str">
        <f t="shared" si="50"/>
        <v/>
      </c>
      <c r="H1063" t="str">
        <f t="shared" si="51"/>
        <v/>
      </c>
      <c r="M1063" s="34">
        <f t="shared" si="52"/>
        <v>0</v>
      </c>
    </row>
    <row r="1064" spans="7:13" x14ac:dyDescent="0.25">
      <c r="G1064" s="10" t="str">
        <f t="shared" si="50"/>
        <v/>
      </c>
      <c r="H1064" t="str">
        <f t="shared" si="51"/>
        <v/>
      </c>
      <c r="M1064" s="34">
        <f t="shared" si="52"/>
        <v>0</v>
      </c>
    </row>
    <row r="1065" spans="7:13" x14ac:dyDescent="0.25">
      <c r="G1065" s="10" t="str">
        <f t="shared" si="50"/>
        <v/>
      </c>
      <c r="H1065" t="str">
        <f t="shared" si="51"/>
        <v/>
      </c>
      <c r="M1065" s="34">
        <f t="shared" si="52"/>
        <v>0</v>
      </c>
    </row>
    <row r="1066" spans="7:13" x14ac:dyDescent="0.25">
      <c r="G1066" s="10" t="str">
        <f t="shared" si="50"/>
        <v/>
      </c>
      <c r="H1066" t="str">
        <f t="shared" si="51"/>
        <v/>
      </c>
      <c r="M1066" s="34">
        <f t="shared" si="52"/>
        <v>0</v>
      </c>
    </row>
    <row r="1067" spans="7:13" x14ac:dyDescent="0.25">
      <c r="G1067" s="10" t="str">
        <f t="shared" si="50"/>
        <v/>
      </c>
      <c r="H1067" t="str">
        <f t="shared" si="51"/>
        <v/>
      </c>
      <c r="M1067" s="34">
        <f t="shared" si="52"/>
        <v>0</v>
      </c>
    </row>
    <row r="1068" spans="7:13" x14ac:dyDescent="0.25">
      <c r="G1068" s="10" t="str">
        <f t="shared" si="50"/>
        <v/>
      </c>
      <c r="H1068" t="str">
        <f t="shared" si="51"/>
        <v/>
      </c>
      <c r="M1068" s="34">
        <f t="shared" si="52"/>
        <v>0</v>
      </c>
    </row>
    <row r="1069" spans="7:13" x14ac:dyDescent="0.25">
      <c r="G1069" s="10" t="str">
        <f t="shared" si="50"/>
        <v/>
      </c>
      <c r="H1069" t="str">
        <f t="shared" si="51"/>
        <v/>
      </c>
      <c r="M1069" s="34">
        <f t="shared" si="52"/>
        <v>0</v>
      </c>
    </row>
    <row r="1070" spans="7:13" x14ac:dyDescent="0.25">
      <c r="G1070" s="10" t="str">
        <f t="shared" si="50"/>
        <v/>
      </c>
      <c r="H1070" t="str">
        <f t="shared" si="51"/>
        <v/>
      </c>
      <c r="M1070" s="34">
        <f t="shared" si="52"/>
        <v>0</v>
      </c>
    </row>
    <row r="1071" spans="7:13" x14ac:dyDescent="0.25">
      <c r="G1071" s="10" t="str">
        <f t="shared" si="50"/>
        <v/>
      </c>
      <c r="H1071" t="str">
        <f t="shared" si="51"/>
        <v/>
      </c>
      <c r="M1071" s="34">
        <f t="shared" si="52"/>
        <v>0</v>
      </c>
    </row>
    <row r="1072" spans="7:13" x14ac:dyDescent="0.25">
      <c r="G1072" s="10" t="str">
        <f t="shared" si="50"/>
        <v/>
      </c>
      <c r="H1072" t="str">
        <f t="shared" si="51"/>
        <v/>
      </c>
      <c r="M1072" s="34">
        <f t="shared" si="52"/>
        <v>0</v>
      </c>
    </row>
    <row r="1073" spans="7:13" x14ac:dyDescent="0.25">
      <c r="G1073" s="10" t="str">
        <f t="shared" si="50"/>
        <v/>
      </c>
      <c r="H1073" t="str">
        <f t="shared" si="51"/>
        <v/>
      </c>
      <c r="M1073" s="34">
        <f t="shared" si="52"/>
        <v>0</v>
      </c>
    </row>
    <row r="1074" spans="7:13" x14ac:dyDescent="0.25">
      <c r="G1074" s="10" t="str">
        <f t="shared" si="50"/>
        <v/>
      </c>
      <c r="H1074" t="str">
        <f t="shared" si="51"/>
        <v/>
      </c>
      <c r="M1074" s="34">
        <f t="shared" si="52"/>
        <v>0</v>
      </c>
    </row>
    <row r="1075" spans="7:13" x14ac:dyDescent="0.25">
      <c r="G1075" s="10" t="str">
        <f t="shared" si="50"/>
        <v/>
      </c>
      <c r="H1075" t="str">
        <f t="shared" si="51"/>
        <v/>
      </c>
      <c r="M1075" s="34">
        <f t="shared" si="52"/>
        <v>0</v>
      </c>
    </row>
    <row r="1076" spans="7:13" x14ac:dyDescent="0.25">
      <c r="G1076" s="10" t="str">
        <f t="shared" si="50"/>
        <v/>
      </c>
      <c r="H1076" t="str">
        <f t="shared" si="51"/>
        <v/>
      </c>
      <c r="M1076" s="34">
        <f t="shared" si="52"/>
        <v>0</v>
      </c>
    </row>
    <row r="1077" spans="7:13" x14ac:dyDescent="0.25">
      <c r="G1077" s="10" t="str">
        <f t="shared" si="50"/>
        <v/>
      </c>
      <c r="H1077" t="str">
        <f t="shared" si="51"/>
        <v/>
      </c>
      <c r="M1077" s="34">
        <f t="shared" si="52"/>
        <v>0</v>
      </c>
    </row>
    <row r="1078" spans="7:13" x14ac:dyDescent="0.25">
      <c r="G1078" s="10" t="str">
        <f t="shared" si="50"/>
        <v/>
      </c>
      <c r="H1078" t="str">
        <f t="shared" si="51"/>
        <v/>
      </c>
      <c r="M1078" s="34">
        <f t="shared" si="52"/>
        <v>0</v>
      </c>
    </row>
    <row r="1079" spans="7:13" x14ac:dyDescent="0.25">
      <c r="G1079" s="10" t="str">
        <f t="shared" si="50"/>
        <v/>
      </c>
      <c r="H1079" t="str">
        <f t="shared" si="51"/>
        <v/>
      </c>
      <c r="M1079" s="34">
        <f t="shared" si="52"/>
        <v>0</v>
      </c>
    </row>
    <row r="1080" spans="7:13" x14ac:dyDescent="0.25">
      <c r="G1080" s="10" t="str">
        <f t="shared" si="50"/>
        <v/>
      </c>
      <c r="H1080" t="str">
        <f t="shared" si="51"/>
        <v/>
      </c>
      <c r="M1080" s="34">
        <f t="shared" si="52"/>
        <v>0</v>
      </c>
    </row>
    <row r="1081" spans="7:13" x14ac:dyDescent="0.25">
      <c r="G1081" s="10" t="str">
        <f t="shared" si="50"/>
        <v/>
      </c>
      <c r="H1081" t="str">
        <f t="shared" si="51"/>
        <v/>
      </c>
      <c r="M1081" s="34">
        <f t="shared" si="52"/>
        <v>0</v>
      </c>
    </row>
    <row r="1082" spans="7:13" x14ac:dyDescent="0.25">
      <c r="G1082" s="10" t="str">
        <f t="shared" si="50"/>
        <v/>
      </c>
      <c r="H1082" t="str">
        <f t="shared" si="51"/>
        <v/>
      </c>
      <c r="M1082" s="34">
        <f t="shared" si="52"/>
        <v>0</v>
      </c>
    </row>
    <row r="1083" spans="7:13" x14ac:dyDescent="0.25">
      <c r="G1083" s="10" t="str">
        <f t="shared" si="50"/>
        <v/>
      </c>
      <c r="H1083" t="str">
        <f t="shared" si="51"/>
        <v/>
      </c>
      <c r="M1083" s="34">
        <f t="shared" si="52"/>
        <v>0</v>
      </c>
    </row>
    <row r="1084" spans="7:13" x14ac:dyDescent="0.25">
      <c r="G1084" s="10" t="str">
        <f t="shared" si="50"/>
        <v/>
      </c>
      <c r="H1084" t="str">
        <f t="shared" si="51"/>
        <v/>
      </c>
      <c r="M1084" s="34">
        <f t="shared" si="52"/>
        <v>0</v>
      </c>
    </row>
    <row r="1085" spans="7:13" x14ac:dyDescent="0.25">
      <c r="G1085" s="10" t="str">
        <f t="shared" si="50"/>
        <v/>
      </c>
      <c r="H1085" t="str">
        <f t="shared" si="51"/>
        <v/>
      </c>
      <c r="M1085" s="34">
        <f t="shared" si="52"/>
        <v>0</v>
      </c>
    </row>
    <row r="1086" spans="7:13" x14ac:dyDescent="0.25">
      <c r="G1086" s="10" t="str">
        <f t="shared" si="50"/>
        <v/>
      </c>
      <c r="H1086" t="str">
        <f t="shared" si="51"/>
        <v/>
      </c>
      <c r="M1086" s="34">
        <f t="shared" si="52"/>
        <v>0</v>
      </c>
    </row>
    <row r="1087" spans="7:13" x14ac:dyDescent="0.25">
      <c r="G1087" s="10" t="str">
        <f t="shared" si="50"/>
        <v/>
      </c>
      <c r="H1087" t="str">
        <f t="shared" si="51"/>
        <v/>
      </c>
      <c r="M1087" s="34">
        <f t="shared" si="52"/>
        <v>0</v>
      </c>
    </row>
    <row r="1088" spans="7:13" x14ac:dyDescent="0.25">
      <c r="G1088" s="10" t="str">
        <f t="shared" si="50"/>
        <v/>
      </c>
      <c r="H1088" t="str">
        <f t="shared" si="51"/>
        <v/>
      </c>
      <c r="M1088" s="34">
        <f t="shared" si="52"/>
        <v>0</v>
      </c>
    </row>
    <row r="1089" spans="7:13" x14ac:dyDescent="0.25">
      <c r="G1089" s="10" t="str">
        <f t="shared" si="50"/>
        <v/>
      </c>
      <c r="H1089" t="str">
        <f t="shared" si="51"/>
        <v/>
      </c>
      <c r="M1089" s="34">
        <f t="shared" si="52"/>
        <v>0</v>
      </c>
    </row>
    <row r="1090" spans="7:13" x14ac:dyDescent="0.25">
      <c r="G1090" s="10" t="str">
        <f t="shared" ref="G1090:G1153" si="53">IF(F1090&gt;0,"RECETTE",IF(F1090&lt;0,"DÉPENSE",""))</f>
        <v/>
      </c>
      <c r="H1090" t="str">
        <f t="shared" ref="H1090:H1153" si="54">+IF(ISNUMBER(D1090),D1090,"")</f>
        <v/>
      </c>
      <c r="M1090" s="34">
        <f t="shared" si="52"/>
        <v>0</v>
      </c>
    </row>
    <row r="1091" spans="7:13" x14ac:dyDescent="0.25">
      <c r="G1091" s="10" t="str">
        <f t="shared" si="53"/>
        <v/>
      </c>
      <c r="H1091" t="str">
        <f t="shared" si="54"/>
        <v/>
      </c>
      <c r="M1091" s="34">
        <f t="shared" ref="M1091:M1154" si="55">IF(AND(E1091="Chèque",G1091="RECETTE"),F1091,0)</f>
        <v>0</v>
      </c>
    </row>
    <row r="1092" spans="7:13" x14ac:dyDescent="0.25">
      <c r="G1092" s="10" t="str">
        <f t="shared" si="53"/>
        <v/>
      </c>
      <c r="H1092" t="str">
        <f t="shared" si="54"/>
        <v/>
      </c>
      <c r="M1092" s="34">
        <f t="shared" si="55"/>
        <v>0</v>
      </c>
    </row>
    <row r="1093" spans="7:13" x14ac:dyDescent="0.25">
      <c r="G1093" s="10" t="str">
        <f t="shared" si="53"/>
        <v/>
      </c>
      <c r="H1093" t="str">
        <f t="shared" si="54"/>
        <v/>
      </c>
      <c r="M1093" s="34">
        <f t="shared" si="55"/>
        <v>0</v>
      </c>
    </row>
    <row r="1094" spans="7:13" x14ac:dyDescent="0.25">
      <c r="G1094" s="10" t="str">
        <f t="shared" si="53"/>
        <v/>
      </c>
      <c r="H1094" t="str">
        <f t="shared" si="54"/>
        <v/>
      </c>
      <c r="M1094" s="34">
        <f t="shared" si="55"/>
        <v>0</v>
      </c>
    </row>
    <row r="1095" spans="7:13" x14ac:dyDescent="0.25">
      <c r="G1095" s="10" t="str">
        <f t="shared" si="53"/>
        <v/>
      </c>
      <c r="H1095" t="str">
        <f t="shared" si="54"/>
        <v/>
      </c>
      <c r="M1095" s="34">
        <f t="shared" si="55"/>
        <v>0</v>
      </c>
    </row>
    <row r="1096" spans="7:13" x14ac:dyDescent="0.25">
      <c r="G1096" s="10" t="str">
        <f t="shared" si="53"/>
        <v/>
      </c>
      <c r="H1096" t="str">
        <f t="shared" si="54"/>
        <v/>
      </c>
      <c r="M1096" s="34">
        <f t="shared" si="55"/>
        <v>0</v>
      </c>
    </row>
    <row r="1097" spans="7:13" x14ac:dyDescent="0.25">
      <c r="G1097" s="10" t="str">
        <f t="shared" si="53"/>
        <v/>
      </c>
      <c r="H1097" t="str">
        <f t="shared" si="54"/>
        <v/>
      </c>
      <c r="M1097" s="34">
        <f t="shared" si="55"/>
        <v>0</v>
      </c>
    </row>
    <row r="1098" spans="7:13" x14ac:dyDescent="0.25">
      <c r="G1098" s="10" t="str">
        <f t="shared" si="53"/>
        <v/>
      </c>
      <c r="H1098" t="str">
        <f t="shared" si="54"/>
        <v/>
      </c>
      <c r="M1098" s="34">
        <f t="shared" si="55"/>
        <v>0</v>
      </c>
    </row>
    <row r="1099" spans="7:13" x14ac:dyDescent="0.25">
      <c r="G1099" s="10" t="str">
        <f t="shared" si="53"/>
        <v/>
      </c>
      <c r="H1099" t="str">
        <f t="shared" si="54"/>
        <v/>
      </c>
      <c r="M1099" s="34">
        <f t="shared" si="55"/>
        <v>0</v>
      </c>
    </row>
    <row r="1100" spans="7:13" x14ac:dyDescent="0.25">
      <c r="G1100" s="10" t="str">
        <f t="shared" si="53"/>
        <v/>
      </c>
      <c r="H1100" t="str">
        <f t="shared" si="54"/>
        <v/>
      </c>
      <c r="M1100" s="34">
        <f t="shared" si="55"/>
        <v>0</v>
      </c>
    </row>
    <row r="1101" spans="7:13" x14ac:dyDescent="0.25">
      <c r="G1101" s="10" t="str">
        <f t="shared" si="53"/>
        <v/>
      </c>
      <c r="H1101" t="str">
        <f t="shared" si="54"/>
        <v/>
      </c>
      <c r="M1101" s="34">
        <f t="shared" si="55"/>
        <v>0</v>
      </c>
    </row>
    <row r="1102" spans="7:13" x14ac:dyDescent="0.25">
      <c r="G1102" s="10" t="str">
        <f t="shared" si="53"/>
        <v/>
      </c>
      <c r="H1102" t="str">
        <f t="shared" si="54"/>
        <v/>
      </c>
      <c r="M1102" s="34">
        <f t="shared" si="55"/>
        <v>0</v>
      </c>
    </row>
    <row r="1103" spans="7:13" x14ac:dyDescent="0.25">
      <c r="G1103" s="10" t="str">
        <f t="shared" si="53"/>
        <v/>
      </c>
      <c r="H1103" t="str">
        <f t="shared" si="54"/>
        <v/>
      </c>
      <c r="M1103" s="34">
        <f t="shared" si="55"/>
        <v>0</v>
      </c>
    </row>
    <row r="1104" spans="7:13" x14ac:dyDescent="0.25">
      <c r="G1104" s="10" t="str">
        <f t="shared" si="53"/>
        <v/>
      </c>
      <c r="H1104" t="str">
        <f t="shared" si="54"/>
        <v/>
      </c>
      <c r="M1104" s="34">
        <f t="shared" si="55"/>
        <v>0</v>
      </c>
    </row>
    <row r="1105" spans="7:13" x14ac:dyDescent="0.25">
      <c r="G1105" s="10" t="str">
        <f t="shared" si="53"/>
        <v/>
      </c>
      <c r="H1105" t="str">
        <f t="shared" si="54"/>
        <v/>
      </c>
      <c r="M1105" s="34">
        <f t="shared" si="55"/>
        <v>0</v>
      </c>
    </row>
    <row r="1106" spans="7:13" x14ac:dyDescent="0.25">
      <c r="G1106" s="10" t="str">
        <f t="shared" si="53"/>
        <v/>
      </c>
      <c r="H1106" t="str">
        <f t="shared" si="54"/>
        <v/>
      </c>
      <c r="M1106" s="34">
        <f t="shared" si="55"/>
        <v>0</v>
      </c>
    </row>
    <row r="1107" spans="7:13" x14ac:dyDescent="0.25">
      <c r="G1107" s="10" t="str">
        <f t="shared" si="53"/>
        <v/>
      </c>
      <c r="H1107" t="str">
        <f t="shared" si="54"/>
        <v/>
      </c>
      <c r="M1107" s="34">
        <f t="shared" si="55"/>
        <v>0</v>
      </c>
    </row>
    <row r="1108" spans="7:13" x14ac:dyDescent="0.25">
      <c r="G1108" s="10" t="str">
        <f t="shared" si="53"/>
        <v/>
      </c>
      <c r="H1108" t="str">
        <f t="shared" si="54"/>
        <v/>
      </c>
      <c r="M1108" s="34">
        <f t="shared" si="55"/>
        <v>0</v>
      </c>
    </row>
    <row r="1109" spans="7:13" x14ac:dyDescent="0.25">
      <c r="G1109" s="10" t="str">
        <f t="shared" si="53"/>
        <v/>
      </c>
      <c r="H1109" t="str">
        <f t="shared" si="54"/>
        <v/>
      </c>
      <c r="M1109" s="34">
        <f t="shared" si="55"/>
        <v>0</v>
      </c>
    </row>
    <row r="1110" spans="7:13" x14ac:dyDescent="0.25">
      <c r="G1110" s="10" t="str">
        <f t="shared" si="53"/>
        <v/>
      </c>
      <c r="H1110" t="str">
        <f t="shared" si="54"/>
        <v/>
      </c>
      <c r="M1110" s="34">
        <f t="shared" si="55"/>
        <v>0</v>
      </c>
    </row>
    <row r="1111" spans="7:13" x14ac:dyDescent="0.25">
      <c r="G1111" s="10" t="str">
        <f t="shared" si="53"/>
        <v/>
      </c>
      <c r="H1111" t="str">
        <f t="shared" si="54"/>
        <v/>
      </c>
      <c r="M1111" s="34">
        <f t="shared" si="55"/>
        <v>0</v>
      </c>
    </row>
    <row r="1112" spans="7:13" x14ac:dyDescent="0.25">
      <c r="G1112" s="10" t="str">
        <f t="shared" si="53"/>
        <v/>
      </c>
      <c r="H1112" t="str">
        <f t="shared" si="54"/>
        <v/>
      </c>
      <c r="M1112" s="34">
        <f t="shared" si="55"/>
        <v>0</v>
      </c>
    </row>
    <row r="1113" spans="7:13" x14ac:dyDescent="0.25">
      <c r="G1113" s="10" t="str">
        <f t="shared" si="53"/>
        <v/>
      </c>
      <c r="H1113" t="str">
        <f t="shared" si="54"/>
        <v/>
      </c>
      <c r="M1113" s="34">
        <f t="shared" si="55"/>
        <v>0</v>
      </c>
    </row>
    <row r="1114" spans="7:13" x14ac:dyDescent="0.25">
      <c r="G1114" s="10" t="str">
        <f t="shared" si="53"/>
        <v/>
      </c>
      <c r="H1114" t="str">
        <f t="shared" si="54"/>
        <v/>
      </c>
      <c r="M1114" s="34">
        <f t="shared" si="55"/>
        <v>0</v>
      </c>
    </row>
    <row r="1115" spans="7:13" x14ac:dyDescent="0.25">
      <c r="G1115" s="10" t="str">
        <f t="shared" si="53"/>
        <v/>
      </c>
      <c r="H1115" t="str">
        <f t="shared" si="54"/>
        <v/>
      </c>
      <c r="M1115" s="34">
        <f t="shared" si="55"/>
        <v>0</v>
      </c>
    </row>
    <row r="1116" spans="7:13" x14ac:dyDescent="0.25">
      <c r="G1116" s="10" t="str">
        <f t="shared" si="53"/>
        <v/>
      </c>
      <c r="H1116" t="str">
        <f t="shared" si="54"/>
        <v/>
      </c>
      <c r="M1116" s="34">
        <f t="shared" si="55"/>
        <v>0</v>
      </c>
    </row>
    <row r="1117" spans="7:13" x14ac:dyDescent="0.25">
      <c r="G1117" s="10" t="str">
        <f t="shared" si="53"/>
        <v/>
      </c>
      <c r="H1117" t="str">
        <f t="shared" si="54"/>
        <v/>
      </c>
      <c r="M1117" s="34">
        <f t="shared" si="55"/>
        <v>0</v>
      </c>
    </row>
    <row r="1118" spans="7:13" x14ac:dyDescent="0.25">
      <c r="G1118" s="10" t="str">
        <f t="shared" si="53"/>
        <v/>
      </c>
      <c r="H1118" t="str">
        <f t="shared" si="54"/>
        <v/>
      </c>
      <c r="M1118" s="34">
        <f t="shared" si="55"/>
        <v>0</v>
      </c>
    </row>
    <row r="1119" spans="7:13" x14ac:dyDescent="0.25">
      <c r="G1119" s="10" t="str">
        <f t="shared" si="53"/>
        <v/>
      </c>
      <c r="H1119" t="str">
        <f t="shared" si="54"/>
        <v/>
      </c>
      <c r="M1119" s="34">
        <f t="shared" si="55"/>
        <v>0</v>
      </c>
    </row>
    <row r="1120" spans="7:13" x14ac:dyDescent="0.25">
      <c r="G1120" s="10" t="str">
        <f t="shared" si="53"/>
        <v/>
      </c>
      <c r="H1120" t="str">
        <f t="shared" si="54"/>
        <v/>
      </c>
      <c r="M1120" s="34">
        <f t="shared" si="55"/>
        <v>0</v>
      </c>
    </row>
    <row r="1121" spans="7:13" x14ac:dyDescent="0.25">
      <c r="G1121" s="10" t="str">
        <f t="shared" si="53"/>
        <v/>
      </c>
      <c r="H1121" t="str">
        <f t="shared" si="54"/>
        <v/>
      </c>
      <c r="M1121" s="34">
        <f t="shared" si="55"/>
        <v>0</v>
      </c>
    </row>
    <row r="1122" spans="7:13" x14ac:dyDescent="0.25">
      <c r="G1122" s="10" t="str">
        <f t="shared" si="53"/>
        <v/>
      </c>
      <c r="H1122" t="str">
        <f t="shared" si="54"/>
        <v/>
      </c>
      <c r="M1122" s="34">
        <f t="shared" si="55"/>
        <v>0</v>
      </c>
    </row>
    <row r="1123" spans="7:13" x14ac:dyDescent="0.25">
      <c r="G1123" s="10" t="str">
        <f t="shared" si="53"/>
        <v/>
      </c>
      <c r="H1123" t="str">
        <f t="shared" si="54"/>
        <v/>
      </c>
      <c r="M1123" s="34">
        <f t="shared" si="55"/>
        <v>0</v>
      </c>
    </row>
    <row r="1124" spans="7:13" x14ac:dyDescent="0.25">
      <c r="G1124" s="10" t="str">
        <f t="shared" si="53"/>
        <v/>
      </c>
      <c r="H1124" t="str">
        <f t="shared" si="54"/>
        <v/>
      </c>
      <c r="M1124" s="34">
        <f t="shared" si="55"/>
        <v>0</v>
      </c>
    </row>
    <row r="1125" spans="7:13" x14ac:dyDescent="0.25">
      <c r="G1125" s="10" t="str">
        <f t="shared" si="53"/>
        <v/>
      </c>
      <c r="H1125" t="str">
        <f t="shared" si="54"/>
        <v/>
      </c>
      <c r="M1125" s="34">
        <f t="shared" si="55"/>
        <v>0</v>
      </c>
    </row>
    <row r="1126" spans="7:13" x14ac:dyDescent="0.25">
      <c r="G1126" s="10" t="str">
        <f t="shared" si="53"/>
        <v/>
      </c>
      <c r="H1126" t="str">
        <f t="shared" si="54"/>
        <v/>
      </c>
      <c r="M1126" s="34">
        <f t="shared" si="55"/>
        <v>0</v>
      </c>
    </row>
    <row r="1127" spans="7:13" x14ac:dyDescent="0.25">
      <c r="G1127" s="10" t="str">
        <f t="shared" si="53"/>
        <v/>
      </c>
      <c r="H1127" t="str">
        <f t="shared" si="54"/>
        <v/>
      </c>
      <c r="M1127" s="34">
        <f t="shared" si="55"/>
        <v>0</v>
      </c>
    </row>
    <row r="1128" spans="7:13" x14ac:dyDescent="0.25">
      <c r="G1128" s="10" t="str">
        <f t="shared" si="53"/>
        <v/>
      </c>
      <c r="H1128" t="str">
        <f t="shared" si="54"/>
        <v/>
      </c>
      <c r="M1128" s="34">
        <f t="shared" si="55"/>
        <v>0</v>
      </c>
    </row>
    <row r="1129" spans="7:13" x14ac:dyDescent="0.25">
      <c r="G1129" s="10" t="str">
        <f t="shared" si="53"/>
        <v/>
      </c>
      <c r="H1129" t="str">
        <f t="shared" si="54"/>
        <v/>
      </c>
      <c r="M1129" s="34">
        <f t="shared" si="55"/>
        <v>0</v>
      </c>
    </row>
    <row r="1130" spans="7:13" x14ac:dyDescent="0.25">
      <c r="G1130" s="10" t="str">
        <f t="shared" si="53"/>
        <v/>
      </c>
      <c r="H1130" t="str">
        <f t="shared" si="54"/>
        <v/>
      </c>
      <c r="M1130" s="34">
        <f t="shared" si="55"/>
        <v>0</v>
      </c>
    </row>
    <row r="1131" spans="7:13" x14ac:dyDescent="0.25">
      <c r="G1131" s="10" t="str">
        <f t="shared" si="53"/>
        <v/>
      </c>
      <c r="H1131" t="str">
        <f t="shared" si="54"/>
        <v/>
      </c>
      <c r="M1131" s="34">
        <f t="shared" si="55"/>
        <v>0</v>
      </c>
    </row>
    <row r="1132" spans="7:13" x14ac:dyDescent="0.25">
      <c r="G1132" s="10" t="str">
        <f t="shared" si="53"/>
        <v/>
      </c>
      <c r="H1132" t="str">
        <f t="shared" si="54"/>
        <v/>
      </c>
      <c r="M1132" s="34">
        <f t="shared" si="55"/>
        <v>0</v>
      </c>
    </row>
    <row r="1133" spans="7:13" x14ac:dyDescent="0.25">
      <c r="G1133" s="10" t="str">
        <f t="shared" si="53"/>
        <v/>
      </c>
      <c r="H1133" t="str">
        <f t="shared" si="54"/>
        <v/>
      </c>
      <c r="M1133" s="34">
        <f t="shared" si="55"/>
        <v>0</v>
      </c>
    </row>
    <row r="1134" spans="7:13" x14ac:dyDescent="0.25">
      <c r="G1134" s="10" t="str">
        <f t="shared" si="53"/>
        <v/>
      </c>
      <c r="H1134" t="str">
        <f t="shared" si="54"/>
        <v/>
      </c>
      <c r="M1134" s="34">
        <f t="shared" si="55"/>
        <v>0</v>
      </c>
    </row>
    <row r="1135" spans="7:13" x14ac:dyDescent="0.25">
      <c r="G1135" s="10" t="str">
        <f t="shared" si="53"/>
        <v/>
      </c>
      <c r="H1135" t="str">
        <f t="shared" si="54"/>
        <v/>
      </c>
      <c r="M1135" s="34">
        <f t="shared" si="55"/>
        <v>0</v>
      </c>
    </row>
    <row r="1136" spans="7:13" x14ac:dyDescent="0.25">
      <c r="G1136" s="10" t="str">
        <f t="shared" si="53"/>
        <v/>
      </c>
      <c r="H1136" t="str">
        <f t="shared" si="54"/>
        <v/>
      </c>
      <c r="M1136" s="34">
        <f t="shared" si="55"/>
        <v>0</v>
      </c>
    </row>
    <row r="1137" spans="7:13" x14ac:dyDescent="0.25">
      <c r="G1137" s="10" t="str">
        <f t="shared" si="53"/>
        <v/>
      </c>
      <c r="H1137" t="str">
        <f t="shared" si="54"/>
        <v/>
      </c>
      <c r="M1137" s="34">
        <f t="shared" si="55"/>
        <v>0</v>
      </c>
    </row>
    <row r="1138" spans="7:13" x14ac:dyDescent="0.25">
      <c r="G1138" s="10" t="str">
        <f t="shared" si="53"/>
        <v/>
      </c>
      <c r="H1138" t="str">
        <f t="shared" si="54"/>
        <v/>
      </c>
      <c r="M1138" s="34">
        <f t="shared" si="55"/>
        <v>0</v>
      </c>
    </row>
    <row r="1139" spans="7:13" x14ac:dyDescent="0.25">
      <c r="G1139" s="10" t="str">
        <f t="shared" si="53"/>
        <v/>
      </c>
      <c r="H1139" t="str">
        <f t="shared" si="54"/>
        <v/>
      </c>
      <c r="M1139" s="34">
        <f t="shared" si="55"/>
        <v>0</v>
      </c>
    </row>
    <row r="1140" spans="7:13" x14ac:dyDescent="0.25">
      <c r="G1140" s="10" t="str">
        <f t="shared" si="53"/>
        <v/>
      </c>
      <c r="H1140" t="str">
        <f t="shared" si="54"/>
        <v/>
      </c>
      <c r="M1140" s="34">
        <f t="shared" si="55"/>
        <v>0</v>
      </c>
    </row>
    <row r="1141" spans="7:13" x14ac:dyDescent="0.25">
      <c r="G1141" s="10" t="str">
        <f t="shared" si="53"/>
        <v/>
      </c>
      <c r="H1141" t="str">
        <f t="shared" si="54"/>
        <v/>
      </c>
      <c r="M1141" s="34">
        <f t="shared" si="55"/>
        <v>0</v>
      </c>
    </row>
    <row r="1142" spans="7:13" x14ac:dyDescent="0.25">
      <c r="G1142" s="10" t="str">
        <f t="shared" si="53"/>
        <v/>
      </c>
      <c r="H1142" t="str">
        <f t="shared" si="54"/>
        <v/>
      </c>
      <c r="M1142" s="34">
        <f t="shared" si="55"/>
        <v>0</v>
      </c>
    </row>
    <row r="1143" spans="7:13" x14ac:dyDescent="0.25">
      <c r="G1143" s="10" t="str">
        <f t="shared" si="53"/>
        <v/>
      </c>
      <c r="H1143" t="str">
        <f t="shared" si="54"/>
        <v/>
      </c>
      <c r="M1143" s="34">
        <f t="shared" si="55"/>
        <v>0</v>
      </c>
    </row>
    <row r="1144" spans="7:13" x14ac:dyDescent="0.25">
      <c r="G1144" s="10" t="str">
        <f t="shared" si="53"/>
        <v/>
      </c>
      <c r="H1144" t="str">
        <f t="shared" si="54"/>
        <v/>
      </c>
      <c r="M1144" s="34">
        <f t="shared" si="55"/>
        <v>0</v>
      </c>
    </row>
    <row r="1145" spans="7:13" x14ac:dyDescent="0.25">
      <c r="G1145" s="10" t="str">
        <f t="shared" si="53"/>
        <v/>
      </c>
      <c r="H1145" t="str">
        <f t="shared" si="54"/>
        <v/>
      </c>
      <c r="M1145" s="34">
        <f t="shared" si="55"/>
        <v>0</v>
      </c>
    </row>
    <row r="1146" spans="7:13" x14ac:dyDescent="0.25">
      <c r="G1146" s="10" t="str">
        <f t="shared" si="53"/>
        <v/>
      </c>
      <c r="H1146" t="str">
        <f t="shared" si="54"/>
        <v/>
      </c>
      <c r="M1146" s="34">
        <f t="shared" si="55"/>
        <v>0</v>
      </c>
    </row>
    <row r="1147" spans="7:13" x14ac:dyDescent="0.25">
      <c r="G1147" s="10" t="str">
        <f t="shared" si="53"/>
        <v/>
      </c>
      <c r="H1147" t="str">
        <f t="shared" si="54"/>
        <v/>
      </c>
      <c r="M1147" s="34">
        <f t="shared" si="55"/>
        <v>0</v>
      </c>
    </row>
    <row r="1148" spans="7:13" x14ac:dyDescent="0.25">
      <c r="G1148" s="10" t="str">
        <f t="shared" si="53"/>
        <v/>
      </c>
      <c r="H1148" t="str">
        <f t="shared" si="54"/>
        <v/>
      </c>
      <c r="M1148" s="34">
        <f t="shared" si="55"/>
        <v>0</v>
      </c>
    </row>
    <row r="1149" spans="7:13" x14ac:dyDescent="0.25">
      <c r="G1149" s="10" t="str">
        <f t="shared" si="53"/>
        <v/>
      </c>
      <c r="H1149" t="str">
        <f t="shared" si="54"/>
        <v/>
      </c>
      <c r="M1149" s="34">
        <f t="shared" si="55"/>
        <v>0</v>
      </c>
    </row>
    <row r="1150" spans="7:13" x14ac:dyDescent="0.25">
      <c r="G1150" s="10" t="str">
        <f t="shared" si="53"/>
        <v/>
      </c>
      <c r="H1150" t="str">
        <f t="shared" si="54"/>
        <v/>
      </c>
      <c r="M1150" s="34">
        <f t="shared" si="55"/>
        <v>0</v>
      </c>
    </row>
    <row r="1151" spans="7:13" x14ac:dyDescent="0.25">
      <c r="G1151" s="10" t="str">
        <f t="shared" si="53"/>
        <v/>
      </c>
      <c r="H1151" t="str">
        <f t="shared" si="54"/>
        <v/>
      </c>
      <c r="M1151" s="34">
        <f t="shared" si="55"/>
        <v>0</v>
      </c>
    </row>
    <row r="1152" spans="7:13" x14ac:dyDescent="0.25">
      <c r="G1152" s="10" t="str">
        <f t="shared" si="53"/>
        <v/>
      </c>
      <c r="H1152" t="str">
        <f t="shared" si="54"/>
        <v/>
      </c>
      <c r="M1152" s="34">
        <f t="shared" si="55"/>
        <v>0</v>
      </c>
    </row>
    <row r="1153" spans="7:13" x14ac:dyDescent="0.25">
      <c r="G1153" s="10" t="str">
        <f t="shared" si="53"/>
        <v/>
      </c>
      <c r="H1153" t="str">
        <f t="shared" si="54"/>
        <v/>
      </c>
      <c r="M1153" s="34">
        <f t="shared" si="55"/>
        <v>0</v>
      </c>
    </row>
    <row r="1154" spans="7:13" x14ac:dyDescent="0.25">
      <c r="G1154" s="10" t="str">
        <f t="shared" ref="G1154:G1217" si="56">IF(F1154&gt;0,"RECETTE",IF(F1154&lt;0,"DÉPENSE",""))</f>
        <v/>
      </c>
      <c r="H1154" t="str">
        <f t="shared" ref="H1154:H1217" si="57">+IF(ISNUMBER(D1154),D1154,"")</f>
        <v/>
      </c>
      <c r="M1154" s="34">
        <f t="shared" si="55"/>
        <v>0</v>
      </c>
    </row>
    <row r="1155" spans="7:13" x14ac:dyDescent="0.25">
      <c r="G1155" s="10" t="str">
        <f t="shared" si="56"/>
        <v/>
      </c>
      <c r="H1155" t="str">
        <f t="shared" si="57"/>
        <v/>
      </c>
      <c r="M1155" s="34">
        <f t="shared" ref="M1155:M1218" si="58">IF(AND(E1155="Chèque",G1155="RECETTE"),F1155,0)</f>
        <v>0</v>
      </c>
    </row>
    <row r="1156" spans="7:13" x14ac:dyDescent="0.25">
      <c r="G1156" s="10" t="str">
        <f t="shared" si="56"/>
        <v/>
      </c>
      <c r="H1156" t="str">
        <f t="shared" si="57"/>
        <v/>
      </c>
      <c r="M1156" s="34">
        <f t="shared" si="58"/>
        <v>0</v>
      </c>
    </row>
    <row r="1157" spans="7:13" x14ac:dyDescent="0.25">
      <c r="G1157" s="10" t="str">
        <f t="shared" si="56"/>
        <v/>
      </c>
      <c r="H1157" t="str">
        <f t="shared" si="57"/>
        <v/>
      </c>
      <c r="M1157" s="34">
        <f t="shared" si="58"/>
        <v>0</v>
      </c>
    </row>
    <row r="1158" spans="7:13" x14ac:dyDescent="0.25">
      <c r="G1158" s="10" t="str">
        <f t="shared" si="56"/>
        <v/>
      </c>
      <c r="H1158" t="str">
        <f t="shared" si="57"/>
        <v/>
      </c>
      <c r="M1158" s="34">
        <f t="shared" si="58"/>
        <v>0</v>
      </c>
    </row>
    <row r="1159" spans="7:13" x14ac:dyDescent="0.25">
      <c r="G1159" s="10" t="str">
        <f t="shared" si="56"/>
        <v/>
      </c>
      <c r="H1159" t="str">
        <f t="shared" si="57"/>
        <v/>
      </c>
      <c r="M1159" s="34">
        <f t="shared" si="58"/>
        <v>0</v>
      </c>
    </row>
    <row r="1160" spans="7:13" x14ac:dyDescent="0.25">
      <c r="G1160" s="10" t="str">
        <f t="shared" si="56"/>
        <v/>
      </c>
      <c r="H1160" t="str">
        <f t="shared" si="57"/>
        <v/>
      </c>
      <c r="M1160" s="34">
        <f t="shared" si="58"/>
        <v>0</v>
      </c>
    </row>
    <row r="1161" spans="7:13" x14ac:dyDescent="0.25">
      <c r="G1161" s="10" t="str">
        <f t="shared" si="56"/>
        <v/>
      </c>
      <c r="H1161" t="str">
        <f t="shared" si="57"/>
        <v/>
      </c>
      <c r="M1161" s="34">
        <f t="shared" si="58"/>
        <v>0</v>
      </c>
    </row>
    <row r="1162" spans="7:13" x14ac:dyDescent="0.25">
      <c r="G1162" s="10" t="str">
        <f t="shared" si="56"/>
        <v/>
      </c>
      <c r="H1162" t="str">
        <f t="shared" si="57"/>
        <v/>
      </c>
      <c r="M1162" s="34">
        <f t="shared" si="58"/>
        <v>0</v>
      </c>
    </row>
    <row r="1163" spans="7:13" x14ac:dyDescent="0.25">
      <c r="G1163" s="10" t="str">
        <f t="shared" si="56"/>
        <v/>
      </c>
      <c r="H1163" t="str">
        <f t="shared" si="57"/>
        <v/>
      </c>
      <c r="M1163" s="34">
        <f t="shared" si="58"/>
        <v>0</v>
      </c>
    </row>
    <row r="1164" spans="7:13" x14ac:dyDescent="0.25">
      <c r="G1164" s="10" t="str">
        <f t="shared" si="56"/>
        <v/>
      </c>
      <c r="H1164" t="str">
        <f t="shared" si="57"/>
        <v/>
      </c>
      <c r="M1164" s="34">
        <f t="shared" si="58"/>
        <v>0</v>
      </c>
    </row>
    <row r="1165" spans="7:13" x14ac:dyDescent="0.25">
      <c r="G1165" s="10" t="str">
        <f t="shared" si="56"/>
        <v/>
      </c>
      <c r="H1165" t="str">
        <f t="shared" si="57"/>
        <v/>
      </c>
      <c r="M1165" s="34">
        <f t="shared" si="58"/>
        <v>0</v>
      </c>
    </row>
    <row r="1166" spans="7:13" x14ac:dyDescent="0.25">
      <c r="G1166" s="10" t="str">
        <f t="shared" si="56"/>
        <v/>
      </c>
      <c r="H1166" t="str">
        <f t="shared" si="57"/>
        <v/>
      </c>
      <c r="M1166" s="34">
        <f t="shared" si="58"/>
        <v>0</v>
      </c>
    </row>
    <row r="1167" spans="7:13" x14ac:dyDescent="0.25">
      <c r="G1167" s="10" t="str">
        <f t="shared" si="56"/>
        <v/>
      </c>
      <c r="H1167" t="str">
        <f t="shared" si="57"/>
        <v/>
      </c>
      <c r="M1167" s="34">
        <f t="shared" si="58"/>
        <v>0</v>
      </c>
    </row>
    <row r="1168" spans="7:13" x14ac:dyDescent="0.25">
      <c r="G1168" s="10" t="str">
        <f t="shared" si="56"/>
        <v/>
      </c>
      <c r="H1168" t="str">
        <f t="shared" si="57"/>
        <v/>
      </c>
      <c r="M1168" s="34">
        <f t="shared" si="58"/>
        <v>0</v>
      </c>
    </row>
    <row r="1169" spans="7:13" x14ac:dyDescent="0.25">
      <c r="G1169" s="10" t="str">
        <f t="shared" si="56"/>
        <v/>
      </c>
      <c r="H1169" t="str">
        <f t="shared" si="57"/>
        <v/>
      </c>
      <c r="M1169" s="34">
        <f t="shared" si="58"/>
        <v>0</v>
      </c>
    </row>
    <row r="1170" spans="7:13" x14ac:dyDescent="0.25">
      <c r="G1170" s="10" t="str">
        <f t="shared" si="56"/>
        <v/>
      </c>
      <c r="H1170" t="str">
        <f t="shared" si="57"/>
        <v/>
      </c>
      <c r="M1170" s="34">
        <f t="shared" si="58"/>
        <v>0</v>
      </c>
    </row>
    <row r="1171" spans="7:13" x14ac:dyDescent="0.25">
      <c r="G1171" s="10" t="str">
        <f t="shared" si="56"/>
        <v/>
      </c>
      <c r="H1171" t="str">
        <f t="shared" si="57"/>
        <v/>
      </c>
      <c r="M1171" s="34">
        <f t="shared" si="58"/>
        <v>0</v>
      </c>
    </row>
    <row r="1172" spans="7:13" x14ac:dyDescent="0.25">
      <c r="G1172" s="10" t="str">
        <f t="shared" si="56"/>
        <v/>
      </c>
      <c r="H1172" t="str">
        <f t="shared" si="57"/>
        <v/>
      </c>
      <c r="M1172" s="34">
        <f t="shared" si="58"/>
        <v>0</v>
      </c>
    </row>
    <row r="1173" spans="7:13" x14ac:dyDescent="0.25">
      <c r="G1173" s="10" t="str">
        <f t="shared" si="56"/>
        <v/>
      </c>
      <c r="H1173" t="str">
        <f t="shared" si="57"/>
        <v/>
      </c>
      <c r="M1173" s="34">
        <f t="shared" si="58"/>
        <v>0</v>
      </c>
    </row>
    <row r="1174" spans="7:13" x14ac:dyDescent="0.25">
      <c r="G1174" s="10" t="str">
        <f t="shared" si="56"/>
        <v/>
      </c>
      <c r="H1174" t="str">
        <f t="shared" si="57"/>
        <v/>
      </c>
      <c r="M1174" s="34">
        <f t="shared" si="58"/>
        <v>0</v>
      </c>
    </row>
    <row r="1175" spans="7:13" x14ac:dyDescent="0.25">
      <c r="G1175" s="10" t="str">
        <f t="shared" si="56"/>
        <v/>
      </c>
      <c r="H1175" t="str">
        <f t="shared" si="57"/>
        <v/>
      </c>
      <c r="M1175" s="34">
        <f t="shared" si="58"/>
        <v>0</v>
      </c>
    </row>
    <row r="1176" spans="7:13" x14ac:dyDescent="0.25">
      <c r="G1176" s="10" t="str">
        <f t="shared" si="56"/>
        <v/>
      </c>
      <c r="H1176" t="str">
        <f t="shared" si="57"/>
        <v/>
      </c>
      <c r="M1176" s="34">
        <f t="shared" si="58"/>
        <v>0</v>
      </c>
    </row>
    <row r="1177" spans="7:13" x14ac:dyDescent="0.25">
      <c r="G1177" s="10" t="str">
        <f t="shared" si="56"/>
        <v/>
      </c>
      <c r="H1177" t="str">
        <f t="shared" si="57"/>
        <v/>
      </c>
      <c r="M1177" s="34">
        <f t="shared" si="58"/>
        <v>0</v>
      </c>
    </row>
    <row r="1178" spans="7:13" x14ac:dyDescent="0.25">
      <c r="G1178" s="10" t="str">
        <f t="shared" si="56"/>
        <v/>
      </c>
      <c r="H1178" t="str">
        <f t="shared" si="57"/>
        <v/>
      </c>
      <c r="M1178" s="34">
        <f t="shared" si="58"/>
        <v>0</v>
      </c>
    </row>
    <row r="1179" spans="7:13" x14ac:dyDescent="0.25">
      <c r="G1179" s="10" t="str">
        <f t="shared" si="56"/>
        <v/>
      </c>
      <c r="H1179" t="str">
        <f t="shared" si="57"/>
        <v/>
      </c>
      <c r="M1179" s="34">
        <f t="shared" si="58"/>
        <v>0</v>
      </c>
    </row>
    <row r="1180" spans="7:13" x14ac:dyDescent="0.25">
      <c r="G1180" s="10" t="str">
        <f t="shared" si="56"/>
        <v/>
      </c>
      <c r="H1180" t="str">
        <f t="shared" si="57"/>
        <v/>
      </c>
      <c r="M1180" s="34">
        <f t="shared" si="58"/>
        <v>0</v>
      </c>
    </row>
    <row r="1181" spans="7:13" x14ac:dyDescent="0.25">
      <c r="G1181" s="10" t="str">
        <f t="shared" si="56"/>
        <v/>
      </c>
      <c r="H1181" t="str">
        <f t="shared" si="57"/>
        <v/>
      </c>
      <c r="M1181" s="34">
        <f t="shared" si="58"/>
        <v>0</v>
      </c>
    </row>
    <row r="1182" spans="7:13" x14ac:dyDescent="0.25">
      <c r="G1182" s="10" t="str">
        <f t="shared" si="56"/>
        <v/>
      </c>
      <c r="H1182" t="str">
        <f t="shared" si="57"/>
        <v/>
      </c>
      <c r="M1182" s="34">
        <f t="shared" si="58"/>
        <v>0</v>
      </c>
    </row>
    <row r="1183" spans="7:13" x14ac:dyDescent="0.25">
      <c r="G1183" s="10" t="str">
        <f t="shared" si="56"/>
        <v/>
      </c>
      <c r="H1183" t="str">
        <f t="shared" si="57"/>
        <v/>
      </c>
      <c r="M1183" s="34">
        <f t="shared" si="58"/>
        <v>0</v>
      </c>
    </row>
    <row r="1184" spans="7:13" x14ac:dyDescent="0.25">
      <c r="G1184" s="10" t="str">
        <f t="shared" si="56"/>
        <v/>
      </c>
      <c r="H1184" t="str">
        <f t="shared" si="57"/>
        <v/>
      </c>
      <c r="M1184" s="34">
        <f t="shared" si="58"/>
        <v>0</v>
      </c>
    </row>
    <row r="1185" spans="7:13" x14ac:dyDescent="0.25">
      <c r="G1185" s="10" t="str">
        <f t="shared" si="56"/>
        <v/>
      </c>
      <c r="H1185" t="str">
        <f t="shared" si="57"/>
        <v/>
      </c>
      <c r="M1185" s="34">
        <f t="shared" si="58"/>
        <v>0</v>
      </c>
    </row>
    <row r="1186" spans="7:13" x14ac:dyDescent="0.25">
      <c r="G1186" s="10" t="str">
        <f t="shared" si="56"/>
        <v/>
      </c>
      <c r="H1186" t="str">
        <f t="shared" si="57"/>
        <v/>
      </c>
      <c r="M1186" s="34">
        <f t="shared" si="58"/>
        <v>0</v>
      </c>
    </row>
    <row r="1187" spans="7:13" x14ac:dyDescent="0.25">
      <c r="G1187" s="10" t="str">
        <f t="shared" si="56"/>
        <v/>
      </c>
      <c r="H1187" t="str">
        <f t="shared" si="57"/>
        <v/>
      </c>
      <c r="M1187" s="34">
        <f t="shared" si="58"/>
        <v>0</v>
      </c>
    </row>
    <row r="1188" spans="7:13" x14ac:dyDescent="0.25">
      <c r="G1188" s="10" t="str">
        <f t="shared" si="56"/>
        <v/>
      </c>
      <c r="H1188" t="str">
        <f t="shared" si="57"/>
        <v/>
      </c>
      <c r="M1188" s="34">
        <f t="shared" si="58"/>
        <v>0</v>
      </c>
    </row>
    <row r="1189" spans="7:13" x14ac:dyDescent="0.25">
      <c r="G1189" s="10" t="str">
        <f t="shared" si="56"/>
        <v/>
      </c>
      <c r="H1189" t="str">
        <f t="shared" si="57"/>
        <v/>
      </c>
      <c r="M1189" s="34">
        <f t="shared" si="58"/>
        <v>0</v>
      </c>
    </row>
    <row r="1190" spans="7:13" x14ac:dyDescent="0.25">
      <c r="G1190" s="10" t="str">
        <f t="shared" si="56"/>
        <v/>
      </c>
      <c r="H1190" t="str">
        <f t="shared" si="57"/>
        <v/>
      </c>
      <c r="M1190" s="34">
        <f t="shared" si="58"/>
        <v>0</v>
      </c>
    </row>
    <row r="1191" spans="7:13" x14ac:dyDescent="0.25">
      <c r="G1191" s="10" t="str">
        <f t="shared" si="56"/>
        <v/>
      </c>
      <c r="H1191" t="str">
        <f t="shared" si="57"/>
        <v/>
      </c>
      <c r="M1191" s="34">
        <f t="shared" si="58"/>
        <v>0</v>
      </c>
    </row>
    <row r="1192" spans="7:13" x14ac:dyDescent="0.25">
      <c r="G1192" s="10" t="str">
        <f t="shared" si="56"/>
        <v/>
      </c>
      <c r="H1192" t="str">
        <f t="shared" si="57"/>
        <v/>
      </c>
      <c r="M1192" s="34">
        <f t="shared" si="58"/>
        <v>0</v>
      </c>
    </row>
    <row r="1193" spans="7:13" x14ac:dyDescent="0.25">
      <c r="G1193" s="10" t="str">
        <f t="shared" si="56"/>
        <v/>
      </c>
      <c r="H1193" t="str">
        <f t="shared" si="57"/>
        <v/>
      </c>
      <c r="M1193" s="34">
        <f t="shared" si="58"/>
        <v>0</v>
      </c>
    </row>
    <row r="1194" spans="7:13" x14ac:dyDescent="0.25">
      <c r="G1194" s="10" t="str">
        <f t="shared" si="56"/>
        <v/>
      </c>
      <c r="H1194" t="str">
        <f t="shared" si="57"/>
        <v/>
      </c>
      <c r="M1194" s="34">
        <f t="shared" si="58"/>
        <v>0</v>
      </c>
    </row>
    <row r="1195" spans="7:13" x14ac:dyDescent="0.25">
      <c r="G1195" s="10" t="str">
        <f t="shared" si="56"/>
        <v/>
      </c>
      <c r="H1195" t="str">
        <f t="shared" si="57"/>
        <v/>
      </c>
      <c r="M1195" s="34">
        <f t="shared" si="58"/>
        <v>0</v>
      </c>
    </row>
    <row r="1196" spans="7:13" x14ac:dyDescent="0.25">
      <c r="G1196" s="10" t="str">
        <f t="shared" si="56"/>
        <v/>
      </c>
      <c r="H1196" t="str">
        <f t="shared" si="57"/>
        <v/>
      </c>
      <c r="M1196" s="34">
        <f t="shared" si="58"/>
        <v>0</v>
      </c>
    </row>
    <row r="1197" spans="7:13" x14ac:dyDescent="0.25">
      <c r="G1197" s="10" t="str">
        <f t="shared" si="56"/>
        <v/>
      </c>
      <c r="H1197" t="str">
        <f t="shared" si="57"/>
        <v/>
      </c>
      <c r="M1197" s="34">
        <f t="shared" si="58"/>
        <v>0</v>
      </c>
    </row>
    <row r="1198" spans="7:13" x14ac:dyDescent="0.25">
      <c r="G1198" s="10" t="str">
        <f t="shared" si="56"/>
        <v/>
      </c>
      <c r="H1198" t="str">
        <f t="shared" si="57"/>
        <v/>
      </c>
      <c r="M1198" s="34">
        <f t="shared" si="58"/>
        <v>0</v>
      </c>
    </row>
    <row r="1199" spans="7:13" x14ac:dyDescent="0.25">
      <c r="G1199" s="10" t="str">
        <f t="shared" si="56"/>
        <v/>
      </c>
      <c r="H1199" t="str">
        <f t="shared" si="57"/>
        <v/>
      </c>
      <c r="M1199" s="34">
        <f t="shared" si="58"/>
        <v>0</v>
      </c>
    </row>
    <row r="1200" spans="7:13" x14ac:dyDescent="0.25">
      <c r="G1200" s="10" t="str">
        <f t="shared" si="56"/>
        <v/>
      </c>
      <c r="H1200" t="str">
        <f t="shared" si="57"/>
        <v/>
      </c>
      <c r="M1200" s="34">
        <f t="shared" si="58"/>
        <v>0</v>
      </c>
    </row>
    <row r="1201" spans="7:13" x14ac:dyDescent="0.25">
      <c r="G1201" s="10" t="str">
        <f t="shared" si="56"/>
        <v/>
      </c>
      <c r="H1201" t="str">
        <f t="shared" si="57"/>
        <v/>
      </c>
      <c r="M1201" s="34">
        <f t="shared" si="58"/>
        <v>0</v>
      </c>
    </row>
    <row r="1202" spans="7:13" x14ac:dyDescent="0.25">
      <c r="G1202" s="10" t="str">
        <f t="shared" si="56"/>
        <v/>
      </c>
      <c r="H1202" t="str">
        <f t="shared" si="57"/>
        <v/>
      </c>
      <c r="M1202" s="34">
        <f t="shared" si="58"/>
        <v>0</v>
      </c>
    </row>
    <row r="1203" spans="7:13" x14ac:dyDescent="0.25">
      <c r="G1203" s="10" t="str">
        <f t="shared" si="56"/>
        <v/>
      </c>
      <c r="H1203" t="str">
        <f t="shared" si="57"/>
        <v/>
      </c>
      <c r="M1203" s="34">
        <f t="shared" si="58"/>
        <v>0</v>
      </c>
    </row>
    <row r="1204" spans="7:13" x14ac:dyDescent="0.25">
      <c r="G1204" s="10" t="str">
        <f t="shared" si="56"/>
        <v/>
      </c>
      <c r="H1204" t="str">
        <f t="shared" si="57"/>
        <v/>
      </c>
      <c r="M1204" s="34">
        <f t="shared" si="58"/>
        <v>0</v>
      </c>
    </row>
    <row r="1205" spans="7:13" x14ac:dyDescent="0.25">
      <c r="G1205" s="10" t="str">
        <f t="shared" si="56"/>
        <v/>
      </c>
      <c r="H1205" t="str">
        <f t="shared" si="57"/>
        <v/>
      </c>
      <c r="M1205" s="34">
        <f t="shared" si="58"/>
        <v>0</v>
      </c>
    </row>
    <row r="1206" spans="7:13" x14ac:dyDescent="0.25">
      <c r="G1206" s="10" t="str">
        <f t="shared" si="56"/>
        <v/>
      </c>
      <c r="H1206" t="str">
        <f t="shared" si="57"/>
        <v/>
      </c>
      <c r="M1206" s="34">
        <f t="shared" si="58"/>
        <v>0</v>
      </c>
    </row>
    <row r="1207" spans="7:13" x14ac:dyDescent="0.25">
      <c r="G1207" s="10" t="str">
        <f t="shared" si="56"/>
        <v/>
      </c>
      <c r="H1207" t="str">
        <f t="shared" si="57"/>
        <v/>
      </c>
      <c r="M1207" s="34">
        <f t="shared" si="58"/>
        <v>0</v>
      </c>
    </row>
    <row r="1208" spans="7:13" x14ac:dyDescent="0.25">
      <c r="G1208" s="10" t="str">
        <f t="shared" si="56"/>
        <v/>
      </c>
      <c r="H1208" t="str">
        <f t="shared" si="57"/>
        <v/>
      </c>
      <c r="M1208" s="34">
        <f t="shared" si="58"/>
        <v>0</v>
      </c>
    </row>
    <row r="1209" spans="7:13" x14ac:dyDescent="0.25">
      <c r="G1209" s="10" t="str">
        <f t="shared" si="56"/>
        <v/>
      </c>
      <c r="H1209" t="str">
        <f t="shared" si="57"/>
        <v/>
      </c>
      <c r="M1209" s="34">
        <f t="shared" si="58"/>
        <v>0</v>
      </c>
    </row>
    <row r="1210" spans="7:13" x14ac:dyDescent="0.25">
      <c r="G1210" s="10" t="str">
        <f t="shared" si="56"/>
        <v/>
      </c>
      <c r="H1210" t="str">
        <f t="shared" si="57"/>
        <v/>
      </c>
      <c r="M1210" s="34">
        <f t="shared" si="58"/>
        <v>0</v>
      </c>
    </row>
    <row r="1211" spans="7:13" x14ac:dyDescent="0.25">
      <c r="G1211" s="10" t="str">
        <f t="shared" si="56"/>
        <v/>
      </c>
      <c r="H1211" t="str">
        <f t="shared" si="57"/>
        <v/>
      </c>
      <c r="M1211" s="34">
        <f t="shared" si="58"/>
        <v>0</v>
      </c>
    </row>
    <row r="1212" spans="7:13" x14ac:dyDescent="0.25">
      <c r="G1212" s="10" t="str">
        <f t="shared" si="56"/>
        <v/>
      </c>
      <c r="H1212" t="str">
        <f t="shared" si="57"/>
        <v/>
      </c>
      <c r="M1212" s="34">
        <f t="shared" si="58"/>
        <v>0</v>
      </c>
    </row>
    <row r="1213" spans="7:13" x14ac:dyDescent="0.25">
      <c r="G1213" s="10" t="str">
        <f t="shared" si="56"/>
        <v/>
      </c>
      <c r="H1213" t="str">
        <f t="shared" si="57"/>
        <v/>
      </c>
      <c r="M1213" s="34">
        <f t="shared" si="58"/>
        <v>0</v>
      </c>
    </row>
    <row r="1214" spans="7:13" x14ac:dyDescent="0.25">
      <c r="G1214" s="10" t="str">
        <f t="shared" si="56"/>
        <v/>
      </c>
      <c r="H1214" t="str">
        <f t="shared" si="57"/>
        <v/>
      </c>
      <c r="M1214" s="34">
        <f t="shared" si="58"/>
        <v>0</v>
      </c>
    </row>
    <row r="1215" spans="7:13" x14ac:dyDescent="0.25">
      <c r="G1215" s="10" t="str">
        <f t="shared" si="56"/>
        <v/>
      </c>
      <c r="H1215" t="str">
        <f t="shared" si="57"/>
        <v/>
      </c>
      <c r="M1215" s="34">
        <f t="shared" si="58"/>
        <v>0</v>
      </c>
    </row>
    <row r="1216" spans="7:13" x14ac:dyDescent="0.25">
      <c r="G1216" s="10" t="str">
        <f t="shared" si="56"/>
        <v/>
      </c>
      <c r="H1216" t="str">
        <f t="shared" si="57"/>
        <v/>
      </c>
      <c r="M1216" s="34">
        <f t="shared" si="58"/>
        <v>0</v>
      </c>
    </row>
    <row r="1217" spans="7:13" x14ac:dyDescent="0.25">
      <c r="G1217" s="10" t="str">
        <f t="shared" si="56"/>
        <v/>
      </c>
      <c r="H1217" t="str">
        <f t="shared" si="57"/>
        <v/>
      </c>
      <c r="M1217" s="34">
        <f t="shared" si="58"/>
        <v>0</v>
      </c>
    </row>
    <row r="1218" spans="7:13" x14ac:dyDescent="0.25">
      <c r="G1218" s="10" t="str">
        <f t="shared" ref="G1218:G1281" si="59">IF(F1218&gt;0,"RECETTE",IF(F1218&lt;0,"DÉPENSE",""))</f>
        <v/>
      </c>
      <c r="H1218" t="str">
        <f t="shared" ref="H1218:H1281" si="60">+IF(ISNUMBER(D1218),D1218,"")</f>
        <v/>
      </c>
      <c r="M1218" s="34">
        <f t="shared" si="58"/>
        <v>0</v>
      </c>
    </row>
    <row r="1219" spans="7:13" x14ac:dyDescent="0.25">
      <c r="G1219" s="10" t="str">
        <f t="shared" si="59"/>
        <v/>
      </c>
      <c r="H1219" t="str">
        <f t="shared" si="60"/>
        <v/>
      </c>
      <c r="M1219" s="34">
        <f t="shared" ref="M1219:M1282" si="61">IF(AND(E1219="Chèque",G1219="RECETTE"),F1219,0)</f>
        <v>0</v>
      </c>
    </row>
    <row r="1220" spans="7:13" x14ac:dyDescent="0.25">
      <c r="G1220" s="10" t="str">
        <f t="shared" si="59"/>
        <v/>
      </c>
      <c r="H1220" t="str">
        <f t="shared" si="60"/>
        <v/>
      </c>
      <c r="M1220" s="34">
        <f t="shared" si="61"/>
        <v>0</v>
      </c>
    </row>
    <row r="1221" spans="7:13" x14ac:dyDescent="0.25">
      <c r="G1221" s="10" t="str">
        <f t="shared" si="59"/>
        <v/>
      </c>
      <c r="H1221" t="str">
        <f t="shared" si="60"/>
        <v/>
      </c>
      <c r="M1221" s="34">
        <f t="shared" si="61"/>
        <v>0</v>
      </c>
    </row>
    <row r="1222" spans="7:13" x14ac:dyDescent="0.25">
      <c r="G1222" s="10" t="str">
        <f t="shared" si="59"/>
        <v/>
      </c>
      <c r="H1222" t="str">
        <f t="shared" si="60"/>
        <v/>
      </c>
      <c r="M1222" s="34">
        <f t="shared" si="61"/>
        <v>0</v>
      </c>
    </row>
    <row r="1223" spans="7:13" x14ac:dyDescent="0.25">
      <c r="G1223" s="10" t="str">
        <f t="shared" si="59"/>
        <v/>
      </c>
      <c r="H1223" t="str">
        <f t="shared" si="60"/>
        <v/>
      </c>
      <c r="M1223" s="34">
        <f t="shared" si="61"/>
        <v>0</v>
      </c>
    </row>
    <row r="1224" spans="7:13" x14ac:dyDescent="0.25">
      <c r="G1224" s="10" t="str">
        <f t="shared" si="59"/>
        <v/>
      </c>
      <c r="H1224" t="str">
        <f t="shared" si="60"/>
        <v/>
      </c>
      <c r="M1224" s="34">
        <f t="shared" si="61"/>
        <v>0</v>
      </c>
    </row>
    <row r="1225" spans="7:13" x14ac:dyDescent="0.25">
      <c r="G1225" s="10" t="str">
        <f t="shared" si="59"/>
        <v/>
      </c>
      <c r="H1225" t="str">
        <f t="shared" si="60"/>
        <v/>
      </c>
      <c r="M1225" s="34">
        <f t="shared" si="61"/>
        <v>0</v>
      </c>
    </row>
    <row r="1226" spans="7:13" x14ac:dyDescent="0.25">
      <c r="G1226" s="10" t="str">
        <f t="shared" si="59"/>
        <v/>
      </c>
      <c r="H1226" t="str">
        <f t="shared" si="60"/>
        <v/>
      </c>
      <c r="M1226" s="34">
        <f t="shared" si="61"/>
        <v>0</v>
      </c>
    </row>
    <row r="1227" spans="7:13" x14ac:dyDescent="0.25">
      <c r="G1227" s="10" t="str">
        <f t="shared" si="59"/>
        <v/>
      </c>
      <c r="H1227" t="str">
        <f t="shared" si="60"/>
        <v/>
      </c>
      <c r="M1227" s="34">
        <f t="shared" si="61"/>
        <v>0</v>
      </c>
    </row>
    <row r="1228" spans="7:13" x14ac:dyDescent="0.25">
      <c r="G1228" s="10" t="str">
        <f t="shared" si="59"/>
        <v/>
      </c>
      <c r="H1228" t="str">
        <f t="shared" si="60"/>
        <v/>
      </c>
      <c r="M1228" s="34">
        <f t="shared" si="61"/>
        <v>0</v>
      </c>
    </row>
    <row r="1229" spans="7:13" x14ac:dyDescent="0.25">
      <c r="G1229" s="10" t="str">
        <f t="shared" si="59"/>
        <v/>
      </c>
      <c r="H1229" t="str">
        <f t="shared" si="60"/>
        <v/>
      </c>
      <c r="M1229" s="34">
        <f t="shared" si="61"/>
        <v>0</v>
      </c>
    </row>
    <row r="1230" spans="7:13" x14ac:dyDescent="0.25">
      <c r="G1230" s="10" t="str">
        <f t="shared" si="59"/>
        <v/>
      </c>
      <c r="H1230" t="str">
        <f t="shared" si="60"/>
        <v/>
      </c>
      <c r="M1230" s="34">
        <f t="shared" si="61"/>
        <v>0</v>
      </c>
    </row>
    <row r="1231" spans="7:13" x14ac:dyDescent="0.25">
      <c r="G1231" s="10" t="str">
        <f t="shared" si="59"/>
        <v/>
      </c>
      <c r="H1231" t="str">
        <f t="shared" si="60"/>
        <v/>
      </c>
      <c r="M1231" s="34">
        <f t="shared" si="61"/>
        <v>0</v>
      </c>
    </row>
    <row r="1232" spans="7:13" x14ac:dyDescent="0.25">
      <c r="G1232" s="10" t="str">
        <f t="shared" si="59"/>
        <v/>
      </c>
      <c r="H1232" t="str">
        <f t="shared" si="60"/>
        <v/>
      </c>
      <c r="M1232" s="34">
        <f t="shared" si="61"/>
        <v>0</v>
      </c>
    </row>
    <row r="1233" spans="7:13" x14ac:dyDescent="0.25">
      <c r="G1233" s="10" t="str">
        <f t="shared" si="59"/>
        <v/>
      </c>
      <c r="H1233" t="str">
        <f t="shared" si="60"/>
        <v/>
      </c>
      <c r="M1233" s="34">
        <f t="shared" si="61"/>
        <v>0</v>
      </c>
    </row>
    <row r="1234" spans="7:13" x14ac:dyDescent="0.25">
      <c r="G1234" s="10" t="str">
        <f t="shared" si="59"/>
        <v/>
      </c>
      <c r="H1234" t="str">
        <f t="shared" si="60"/>
        <v/>
      </c>
      <c r="M1234" s="34">
        <f t="shared" si="61"/>
        <v>0</v>
      </c>
    </row>
    <row r="1235" spans="7:13" x14ac:dyDescent="0.25">
      <c r="G1235" s="10" t="str">
        <f t="shared" si="59"/>
        <v/>
      </c>
      <c r="H1235" t="str">
        <f t="shared" si="60"/>
        <v/>
      </c>
      <c r="M1235" s="34">
        <f t="shared" si="61"/>
        <v>0</v>
      </c>
    </row>
    <row r="1236" spans="7:13" x14ac:dyDescent="0.25">
      <c r="G1236" s="10" t="str">
        <f t="shared" si="59"/>
        <v/>
      </c>
      <c r="H1236" t="str">
        <f t="shared" si="60"/>
        <v/>
      </c>
      <c r="M1236" s="34">
        <f t="shared" si="61"/>
        <v>0</v>
      </c>
    </row>
    <row r="1237" spans="7:13" x14ac:dyDescent="0.25">
      <c r="G1237" s="10" t="str">
        <f t="shared" si="59"/>
        <v/>
      </c>
      <c r="H1237" t="str">
        <f t="shared" si="60"/>
        <v/>
      </c>
      <c r="M1237" s="34">
        <f t="shared" si="61"/>
        <v>0</v>
      </c>
    </row>
    <row r="1238" spans="7:13" x14ac:dyDescent="0.25">
      <c r="G1238" s="10" t="str">
        <f t="shared" si="59"/>
        <v/>
      </c>
      <c r="H1238" t="str">
        <f t="shared" si="60"/>
        <v/>
      </c>
      <c r="M1238" s="34">
        <f t="shared" si="61"/>
        <v>0</v>
      </c>
    </row>
    <row r="1239" spans="7:13" x14ac:dyDescent="0.25">
      <c r="G1239" s="10" t="str">
        <f t="shared" si="59"/>
        <v/>
      </c>
      <c r="H1239" t="str">
        <f t="shared" si="60"/>
        <v/>
      </c>
      <c r="M1239" s="34">
        <f t="shared" si="61"/>
        <v>0</v>
      </c>
    </row>
    <row r="1240" spans="7:13" x14ac:dyDescent="0.25">
      <c r="G1240" s="10" t="str">
        <f t="shared" si="59"/>
        <v/>
      </c>
      <c r="H1240" t="str">
        <f t="shared" si="60"/>
        <v/>
      </c>
      <c r="M1240" s="34">
        <f t="shared" si="61"/>
        <v>0</v>
      </c>
    </row>
    <row r="1241" spans="7:13" x14ac:dyDescent="0.25">
      <c r="G1241" s="10" t="str">
        <f t="shared" si="59"/>
        <v/>
      </c>
      <c r="H1241" t="str">
        <f t="shared" si="60"/>
        <v/>
      </c>
      <c r="M1241" s="34">
        <f t="shared" si="61"/>
        <v>0</v>
      </c>
    </row>
    <row r="1242" spans="7:13" x14ac:dyDescent="0.25">
      <c r="G1242" s="10" t="str">
        <f t="shared" si="59"/>
        <v/>
      </c>
      <c r="H1242" t="str">
        <f t="shared" si="60"/>
        <v/>
      </c>
      <c r="M1242" s="34">
        <f t="shared" si="61"/>
        <v>0</v>
      </c>
    </row>
    <row r="1243" spans="7:13" x14ac:dyDescent="0.25">
      <c r="G1243" s="10" t="str">
        <f t="shared" si="59"/>
        <v/>
      </c>
      <c r="H1243" t="str">
        <f t="shared" si="60"/>
        <v/>
      </c>
      <c r="M1243" s="34">
        <f t="shared" si="61"/>
        <v>0</v>
      </c>
    </row>
    <row r="1244" spans="7:13" x14ac:dyDescent="0.25">
      <c r="G1244" s="10" t="str">
        <f t="shared" si="59"/>
        <v/>
      </c>
      <c r="H1244" t="str">
        <f t="shared" si="60"/>
        <v/>
      </c>
      <c r="M1244" s="34">
        <f t="shared" si="61"/>
        <v>0</v>
      </c>
    </row>
    <row r="1245" spans="7:13" x14ac:dyDescent="0.25">
      <c r="G1245" s="10" t="str">
        <f t="shared" si="59"/>
        <v/>
      </c>
      <c r="H1245" t="str">
        <f t="shared" si="60"/>
        <v/>
      </c>
      <c r="M1245" s="34">
        <f t="shared" si="61"/>
        <v>0</v>
      </c>
    </row>
    <row r="1246" spans="7:13" x14ac:dyDescent="0.25">
      <c r="G1246" s="10" t="str">
        <f t="shared" si="59"/>
        <v/>
      </c>
      <c r="H1246" t="str">
        <f t="shared" si="60"/>
        <v/>
      </c>
      <c r="M1246" s="34">
        <f t="shared" si="61"/>
        <v>0</v>
      </c>
    </row>
    <row r="1247" spans="7:13" x14ac:dyDescent="0.25">
      <c r="G1247" s="10" t="str">
        <f t="shared" si="59"/>
        <v/>
      </c>
      <c r="H1247" t="str">
        <f t="shared" si="60"/>
        <v/>
      </c>
      <c r="M1247" s="34">
        <f t="shared" si="61"/>
        <v>0</v>
      </c>
    </row>
    <row r="1248" spans="7:13" x14ac:dyDescent="0.25">
      <c r="G1248" s="10" t="str">
        <f t="shared" si="59"/>
        <v/>
      </c>
      <c r="H1248" t="str">
        <f t="shared" si="60"/>
        <v/>
      </c>
      <c r="M1248" s="34">
        <f t="shared" si="61"/>
        <v>0</v>
      </c>
    </row>
    <row r="1249" spans="7:13" x14ac:dyDescent="0.25">
      <c r="G1249" s="10" t="str">
        <f t="shared" si="59"/>
        <v/>
      </c>
      <c r="H1249" t="str">
        <f t="shared" si="60"/>
        <v/>
      </c>
      <c r="M1249" s="34">
        <f t="shared" si="61"/>
        <v>0</v>
      </c>
    </row>
    <row r="1250" spans="7:13" x14ac:dyDescent="0.25">
      <c r="G1250" s="10" t="str">
        <f t="shared" si="59"/>
        <v/>
      </c>
      <c r="H1250" t="str">
        <f t="shared" si="60"/>
        <v/>
      </c>
      <c r="M1250" s="34">
        <f t="shared" si="61"/>
        <v>0</v>
      </c>
    </row>
    <row r="1251" spans="7:13" x14ac:dyDescent="0.25">
      <c r="G1251" s="10" t="str">
        <f t="shared" si="59"/>
        <v/>
      </c>
      <c r="H1251" t="str">
        <f t="shared" si="60"/>
        <v/>
      </c>
      <c r="M1251" s="34">
        <f t="shared" si="61"/>
        <v>0</v>
      </c>
    </row>
    <row r="1252" spans="7:13" x14ac:dyDescent="0.25">
      <c r="G1252" s="10" t="str">
        <f t="shared" si="59"/>
        <v/>
      </c>
      <c r="H1252" t="str">
        <f t="shared" si="60"/>
        <v/>
      </c>
      <c r="M1252" s="34">
        <f t="shared" si="61"/>
        <v>0</v>
      </c>
    </row>
    <row r="1253" spans="7:13" x14ac:dyDescent="0.25">
      <c r="G1253" s="10" t="str">
        <f t="shared" si="59"/>
        <v/>
      </c>
      <c r="H1253" t="str">
        <f t="shared" si="60"/>
        <v/>
      </c>
      <c r="M1253" s="34">
        <f t="shared" si="61"/>
        <v>0</v>
      </c>
    </row>
    <row r="1254" spans="7:13" x14ac:dyDescent="0.25">
      <c r="G1254" s="10" t="str">
        <f t="shared" si="59"/>
        <v/>
      </c>
      <c r="H1254" t="str">
        <f t="shared" si="60"/>
        <v/>
      </c>
      <c r="M1254" s="34">
        <f t="shared" si="61"/>
        <v>0</v>
      </c>
    </row>
    <row r="1255" spans="7:13" x14ac:dyDescent="0.25">
      <c r="G1255" s="10" t="str">
        <f t="shared" si="59"/>
        <v/>
      </c>
      <c r="H1255" t="str">
        <f t="shared" si="60"/>
        <v/>
      </c>
      <c r="M1255" s="34">
        <f t="shared" si="61"/>
        <v>0</v>
      </c>
    </row>
    <row r="1256" spans="7:13" x14ac:dyDescent="0.25">
      <c r="G1256" s="10" t="str">
        <f t="shared" si="59"/>
        <v/>
      </c>
      <c r="H1256" t="str">
        <f t="shared" si="60"/>
        <v/>
      </c>
      <c r="M1256" s="34">
        <f t="shared" si="61"/>
        <v>0</v>
      </c>
    </row>
    <row r="1257" spans="7:13" x14ac:dyDescent="0.25">
      <c r="G1257" s="10" t="str">
        <f t="shared" si="59"/>
        <v/>
      </c>
      <c r="H1257" t="str">
        <f t="shared" si="60"/>
        <v/>
      </c>
      <c r="M1257" s="34">
        <f t="shared" si="61"/>
        <v>0</v>
      </c>
    </row>
    <row r="1258" spans="7:13" x14ac:dyDescent="0.25">
      <c r="G1258" s="10" t="str">
        <f t="shared" si="59"/>
        <v/>
      </c>
      <c r="H1258" t="str">
        <f t="shared" si="60"/>
        <v/>
      </c>
      <c r="M1258" s="34">
        <f t="shared" si="61"/>
        <v>0</v>
      </c>
    </row>
    <row r="1259" spans="7:13" x14ac:dyDescent="0.25">
      <c r="G1259" s="10" t="str">
        <f t="shared" si="59"/>
        <v/>
      </c>
      <c r="H1259" t="str">
        <f t="shared" si="60"/>
        <v/>
      </c>
      <c r="M1259" s="34">
        <f t="shared" si="61"/>
        <v>0</v>
      </c>
    </row>
    <row r="1260" spans="7:13" x14ac:dyDescent="0.25">
      <c r="G1260" s="10" t="str">
        <f t="shared" si="59"/>
        <v/>
      </c>
      <c r="H1260" t="str">
        <f t="shared" si="60"/>
        <v/>
      </c>
      <c r="M1260" s="34">
        <f t="shared" si="61"/>
        <v>0</v>
      </c>
    </row>
    <row r="1261" spans="7:13" x14ac:dyDescent="0.25">
      <c r="G1261" s="10" t="str">
        <f t="shared" si="59"/>
        <v/>
      </c>
      <c r="H1261" t="str">
        <f t="shared" si="60"/>
        <v/>
      </c>
      <c r="M1261" s="34">
        <f t="shared" si="61"/>
        <v>0</v>
      </c>
    </row>
    <row r="1262" spans="7:13" x14ac:dyDescent="0.25">
      <c r="G1262" s="10" t="str">
        <f t="shared" si="59"/>
        <v/>
      </c>
      <c r="H1262" t="str">
        <f t="shared" si="60"/>
        <v/>
      </c>
      <c r="M1262" s="34">
        <f t="shared" si="61"/>
        <v>0</v>
      </c>
    </row>
    <row r="1263" spans="7:13" x14ac:dyDescent="0.25">
      <c r="G1263" s="10" t="str">
        <f t="shared" si="59"/>
        <v/>
      </c>
      <c r="H1263" t="str">
        <f t="shared" si="60"/>
        <v/>
      </c>
      <c r="M1263" s="34">
        <f t="shared" si="61"/>
        <v>0</v>
      </c>
    </row>
    <row r="1264" spans="7:13" x14ac:dyDescent="0.25">
      <c r="G1264" s="10" t="str">
        <f t="shared" si="59"/>
        <v/>
      </c>
      <c r="H1264" t="str">
        <f t="shared" si="60"/>
        <v/>
      </c>
      <c r="M1264" s="34">
        <f t="shared" si="61"/>
        <v>0</v>
      </c>
    </row>
    <row r="1265" spans="7:13" x14ac:dyDescent="0.25">
      <c r="G1265" s="10" t="str">
        <f t="shared" si="59"/>
        <v/>
      </c>
      <c r="H1265" t="str">
        <f t="shared" si="60"/>
        <v/>
      </c>
      <c r="M1265" s="34">
        <f t="shared" si="61"/>
        <v>0</v>
      </c>
    </row>
    <row r="1266" spans="7:13" x14ac:dyDescent="0.25">
      <c r="G1266" s="10" t="str">
        <f t="shared" si="59"/>
        <v/>
      </c>
      <c r="H1266" t="str">
        <f t="shared" si="60"/>
        <v/>
      </c>
      <c r="M1266" s="34">
        <f t="shared" si="61"/>
        <v>0</v>
      </c>
    </row>
    <row r="1267" spans="7:13" x14ac:dyDescent="0.25">
      <c r="G1267" s="10" t="str">
        <f t="shared" si="59"/>
        <v/>
      </c>
      <c r="H1267" t="str">
        <f t="shared" si="60"/>
        <v/>
      </c>
      <c r="M1267" s="34">
        <f t="shared" si="61"/>
        <v>0</v>
      </c>
    </row>
    <row r="1268" spans="7:13" x14ac:dyDescent="0.25">
      <c r="G1268" s="10" t="str">
        <f t="shared" si="59"/>
        <v/>
      </c>
      <c r="H1268" t="str">
        <f t="shared" si="60"/>
        <v/>
      </c>
      <c r="M1268" s="34">
        <f t="shared" si="61"/>
        <v>0</v>
      </c>
    </row>
    <row r="1269" spans="7:13" x14ac:dyDescent="0.25">
      <c r="G1269" s="10" t="str">
        <f t="shared" si="59"/>
        <v/>
      </c>
      <c r="H1269" t="str">
        <f t="shared" si="60"/>
        <v/>
      </c>
      <c r="M1269" s="34">
        <f t="shared" si="61"/>
        <v>0</v>
      </c>
    </row>
    <row r="1270" spans="7:13" x14ac:dyDescent="0.25">
      <c r="G1270" s="10" t="str">
        <f t="shared" si="59"/>
        <v/>
      </c>
      <c r="H1270" t="str">
        <f t="shared" si="60"/>
        <v/>
      </c>
      <c r="M1270" s="34">
        <f t="shared" si="61"/>
        <v>0</v>
      </c>
    </row>
    <row r="1271" spans="7:13" x14ac:dyDescent="0.25">
      <c r="G1271" s="10" t="str">
        <f t="shared" si="59"/>
        <v/>
      </c>
      <c r="H1271" t="str">
        <f t="shared" si="60"/>
        <v/>
      </c>
      <c r="M1271" s="34">
        <f t="shared" si="61"/>
        <v>0</v>
      </c>
    </row>
    <row r="1272" spans="7:13" x14ac:dyDescent="0.25">
      <c r="G1272" s="10" t="str">
        <f t="shared" si="59"/>
        <v/>
      </c>
      <c r="H1272" t="str">
        <f t="shared" si="60"/>
        <v/>
      </c>
      <c r="M1272" s="34">
        <f t="shared" si="61"/>
        <v>0</v>
      </c>
    </row>
    <row r="1273" spans="7:13" x14ac:dyDescent="0.25">
      <c r="G1273" s="10" t="str">
        <f t="shared" si="59"/>
        <v/>
      </c>
      <c r="H1273" t="str">
        <f t="shared" si="60"/>
        <v/>
      </c>
      <c r="M1273" s="34">
        <f t="shared" si="61"/>
        <v>0</v>
      </c>
    </row>
    <row r="1274" spans="7:13" x14ac:dyDescent="0.25">
      <c r="G1274" s="10" t="str">
        <f t="shared" si="59"/>
        <v/>
      </c>
      <c r="H1274" t="str">
        <f t="shared" si="60"/>
        <v/>
      </c>
      <c r="M1274" s="34">
        <f t="shared" si="61"/>
        <v>0</v>
      </c>
    </row>
    <row r="1275" spans="7:13" x14ac:dyDescent="0.25">
      <c r="G1275" s="10" t="str">
        <f t="shared" si="59"/>
        <v/>
      </c>
      <c r="H1275" t="str">
        <f t="shared" si="60"/>
        <v/>
      </c>
      <c r="M1275" s="34">
        <f t="shared" si="61"/>
        <v>0</v>
      </c>
    </row>
    <row r="1276" spans="7:13" x14ac:dyDescent="0.25">
      <c r="G1276" s="10" t="str">
        <f t="shared" si="59"/>
        <v/>
      </c>
      <c r="H1276" t="str">
        <f t="shared" si="60"/>
        <v/>
      </c>
      <c r="M1276" s="34">
        <f t="shared" si="61"/>
        <v>0</v>
      </c>
    </row>
    <row r="1277" spans="7:13" x14ac:dyDescent="0.25">
      <c r="G1277" s="10" t="str">
        <f t="shared" si="59"/>
        <v/>
      </c>
      <c r="H1277" t="str">
        <f t="shared" si="60"/>
        <v/>
      </c>
      <c r="M1277" s="34">
        <f t="shared" si="61"/>
        <v>0</v>
      </c>
    </row>
    <row r="1278" spans="7:13" x14ac:dyDescent="0.25">
      <c r="G1278" s="10" t="str">
        <f t="shared" si="59"/>
        <v/>
      </c>
      <c r="H1278" t="str">
        <f t="shared" si="60"/>
        <v/>
      </c>
      <c r="M1278" s="34">
        <f t="shared" si="61"/>
        <v>0</v>
      </c>
    </row>
    <row r="1279" spans="7:13" x14ac:dyDescent="0.25">
      <c r="G1279" s="10" t="str">
        <f t="shared" si="59"/>
        <v/>
      </c>
      <c r="H1279" t="str">
        <f t="shared" si="60"/>
        <v/>
      </c>
      <c r="M1279" s="34">
        <f t="shared" si="61"/>
        <v>0</v>
      </c>
    </row>
    <row r="1280" spans="7:13" x14ac:dyDescent="0.25">
      <c r="G1280" s="10" t="str">
        <f t="shared" si="59"/>
        <v/>
      </c>
      <c r="H1280" t="str">
        <f t="shared" si="60"/>
        <v/>
      </c>
      <c r="M1280" s="34">
        <f t="shared" si="61"/>
        <v>0</v>
      </c>
    </row>
    <row r="1281" spans="7:13" x14ac:dyDescent="0.25">
      <c r="G1281" s="10" t="str">
        <f t="shared" si="59"/>
        <v/>
      </c>
      <c r="H1281" t="str">
        <f t="shared" si="60"/>
        <v/>
      </c>
      <c r="M1281" s="34">
        <f t="shared" si="61"/>
        <v>0</v>
      </c>
    </row>
    <row r="1282" spans="7:13" x14ac:dyDescent="0.25">
      <c r="G1282" s="10" t="str">
        <f t="shared" ref="G1282:G1345" si="62">IF(F1282&gt;0,"RECETTE",IF(F1282&lt;0,"DÉPENSE",""))</f>
        <v/>
      </c>
      <c r="H1282" t="str">
        <f t="shared" ref="H1282:H1345" si="63">+IF(ISNUMBER(D1282),D1282,"")</f>
        <v/>
      </c>
      <c r="M1282" s="34">
        <f t="shared" si="61"/>
        <v>0</v>
      </c>
    </row>
    <row r="1283" spans="7:13" x14ac:dyDescent="0.25">
      <c r="G1283" s="10" t="str">
        <f t="shared" si="62"/>
        <v/>
      </c>
      <c r="H1283" t="str">
        <f t="shared" si="63"/>
        <v/>
      </c>
      <c r="M1283" s="34">
        <f t="shared" ref="M1283:M1346" si="64">IF(AND(E1283="Chèque",G1283="RECETTE"),F1283,0)</f>
        <v>0</v>
      </c>
    </row>
    <row r="1284" spans="7:13" x14ac:dyDescent="0.25">
      <c r="G1284" s="10" t="str">
        <f t="shared" si="62"/>
        <v/>
      </c>
      <c r="H1284" t="str">
        <f t="shared" si="63"/>
        <v/>
      </c>
      <c r="M1284" s="34">
        <f t="shared" si="64"/>
        <v>0</v>
      </c>
    </row>
    <row r="1285" spans="7:13" x14ac:dyDescent="0.25">
      <c r="G1285" s="10" t="str">
        <f t="shared" si="62"/>
        <v/>
      </c>
      <c r="H1285" t="str">
        <f t="shared" si="63"/>
        <v/>
      </c>
      <c r="M1285" s="34">
        <f t="shared" si="64"/>
        <v>0</v>
      </c>
    </row>
    <row r="1286" spans="7:13" x14ac:dyDescent="0.25">
      <c r="G1286" s="10" t="str">
        <f t="shared" si="62"/>
        <v/>
      </c>
      <c r="H1286" t="str">
        <f t="shared" si="63"/>
        <v/>
      </c>
      <c r="M1286" s="34">
        <f t="shared" si="64"/>
        <v>0</v>
      </c>
    </row>
    <row r="1287" spans="7:13" x14ac:dyDescent="0.25">
      <c r="G1287" s="10" t="str">
        <f t="shared" si="62"/>
        <v/>
      </c>
      <c r="H1287" t="str">
        <f t="shared" si="63"/>
        <v/>
      </c>
      <c r="M1287" s="34">
        <f t="shared" si="64"/>
        <v>0</v>
      </c>
    </row>
    <row r="1288" spans="7:13" x14ac:dyDescent="0.25">
      <c r="G1288" s="10" t="str">
        <f t="shared" si="62"/>
        <v/>
      </c>
      <c r="H1288" t="str">
        <f t="shared" si="63"/>
        <v/>
      </c>
      <c r="M1288" s="34">
        <f t="shared" si="64"/>
        <v>0</v>
      </c>
    </row>
    <row r="1289" spans="7:13" x14ac:dyDescent="0.25">
      <c r="G1289" s="10" t="str">
        <f t="shared" si="62"/>
        <v/>
      </c>
      <c r="H1289" t="str">
        <f t="shared" si="63"/>
        <v/>
      </c>
      <c r="M1289" s="34">
        <f t="shared" si="64"/>
        <v>0</v>
      </c>
    </row>
    <row r="1290" spans="7:13" x14ac:dyDescent="0.25">
      <c r="G1290" s="10" t="str">
        <f t="shared" si="62"/>
        <v/>
      </c>
      <c r="H1290" t="str">
        <f t="shared" si="63"/>
        <v/>
      </c>
      <c r="M1290" s="34">
        <f t="shared" si="64"/>
        <v>0</v>
      </c>
    </row>
    <row r="1291" spans="7:13" x14ac:dyDescent="0.25">
      <c r="G1291" s="10" t="str">
        <f t="shared" si="62"/>
        <v/>
      </c>
      <c r="H1291" t="str">
        <f t="shared" si="63"/>
        <v/>
      </c>
      <c r="M1291" s="34">
        <f t="shared" si="64"/>
        <v>0</v>
      </c>
    </row>
    <row r="1292" spans="7:13" x14ac:dyDescent="0.25">
      <c r="G1292" s="10" t="str">
        <f t="shared" si="62"/>
        <v/>
      </c>
      <c r="H1292" t="str">
        <f t="shared" si="63"/>
        <v/>
      </c>
      <c r="M1292" s="34">
        <f t="shared" si="64"/>
        <v>0</v>
      </c>
    </row>
    <row r="1293" spans="7:13" x14ac:dyDescent="0.25">
      <c r="G1293" s="10" t="str">
        <f t="shared" si="62"/>
        <v/>
      </c>
      <c r="H1293" t="str">
        <f t="shared" si="63"/>
        <v/>
      </c>
      <c r="M1293" s="34">
        <f t="shared" si="64"/>
        <v>0</v>
      </c>
    </row>
    <row r="1294" spans="7:13" x14ac:dyDescent="0.25">
      <c r="G1294" s="10" t="str">
        <f t="shared" si="62"/>
        <v/>
      </c>
      <c r="H1294" t="str">
        <f t="shared" si="63"/>
        <v/>
      </c>
      <c r="M1294" s="34">
        <f t="shared" si="64"/>
        <v>0</v>
      </c>
    </row>
    <row r="1295" spans="7:13" x14ac:dyDescent="0.25">
      <c r="G1295" s="10" t="str">
        <f t="shared" si="62"/>
        <v/>
      </c>
      <c r="H1295" t="str">
        <f t="shared" si="63"/>
        <v/>
      </c>
      <c r="M1295" s="34">
        <f t="shared" si="64"/>
        <v>0</v>
      </c>
    </row>
    <row r="1296" spans="7:13" x14ac:dyDescent="0.25">
      <c r="G1296" s="10" t="str">
        <f t="shared" si="62"/>
        <v/>
      </c>
      <c r="H1296" t="str">
        <f t="shared" si="63"/>
        <v/>
      </c>
      <c r="M1296" s="34">
        <f t="shared" si="64"/>
        <v>0</v>
      </c>
    </row>
    <row r="1297" spans="7:13" x14ac:dyDescent="0.25">
      <c r="G1297" s="10" t="str">
        <f t="shared" si="62"/>
        <v/>
      </c>
      <c r="H1297" t="str">
        <f t="shared" si="63"/>
        <v/>
      </c>
      <c r="M1297" s="34">
        <f t="shared" si="64"/>
        <v>0</v>
      </c>
    </row>
    <row r="1298" spans="7:13" x14ac:dyDescent="0.25">
      <c r="G1298" s="10" t="str">
        <f t="shared" si="62"/>
        <v/>
      </c>
      <c r="H1298" t="str">
        <f t="shared" si="63"/>
        <v/>
      </c>
      <c r="M1298" s="34">
        <f t="shared" si="64"/>
        <v>0</v>
      </c>
    </row>
    <row r="1299" spans="7:13" x14ac:dyDescent="0.25">
      <c r="G1299" s="10" t="str">
        <f t="shared" si="62"/>
        <v/>
      </c>
      <c r="H1299" t="str">
        <f t="shared" si="63"/>
        <v/>
      </c>
      <c r="M1299" s="34">
        <f t="shared" si="64"/>
        <v>0</v>
      </c>
    </row>
    <row r="1300" spans="7:13" x14ac:dyDescent="0.25">
      <c r="G1300" s="10" t="str">
        <f t="shared" si="62"/>
        <v/>
      </c>
      <c r="H1300" t="str">
        <f t="shared" si="63"/>
        <v/>
      </c>
      <c r="M1300" s="34">
        <f t="shared" si="64"/>
        <v>0</v>
      </c>
    </row>
    <row r="1301" spans="7:13" x14ac:dyDescent="0.25">
      <c r="G1301" s="10" t="str">
        <f t="shared" si="62"/>
        <v/>
      </c>
      <c r="H1301" t="str">
        <f t="shared" si="63"/>
        <v/>
      </c>
      <c r="M1301" s="34">
        <f t="shared" si="64"/>
        <v>0</v>
      </c>
    </row>
    <row r="1302" spans="7:13" x14ac:dyDescent="0.25">
      <c r="G1302" s="10" t="str">
        <f t="shared" si="62"/>
        <v/>
      </c>
      <c r="H1302" t="str">
        <f t="shared" si="63"/>
        <v/>
      </c>
      <c r="M1302" s="34">
        <f t="shared" si="64"/>
        <v>0</v>
      </c>
    </row>
    <row r="1303" spans="7:13" x14ac:dyDescent="0.25">
      <c r="G1303" s="10" t="str">
        <f t="shared" si="62"/>
        <v/>
      </c>
      <c r="H1303" t="str">
        <f t="shared" si="63"/>
        <v/>
      </c>
      <c r="M1303" s="34">
        <f t="shared" si="64"/>
        <v>0</v>
      </c>
    </row>
    <row r="1304" spans="7:13" x14ac:dyDescent="0.25">
      <c r="G1304" s="10" t="str">
        <f t="shared" si="62"/>
        <v/>
      </c>
      <c r="H1304" t="str">
        <f t="shared" si="63"/>
        <v/>
      </c>
      <c r="M1304" s="34">
        <f t="shared" si="64"/>
        <v>0</v>
      </c>
    </row>
    <row r="1305" spans="7:13" x14ac:dyDescent="0.25">
      <c r="G1305" s="10" t="str">
        <f t="shared" si="62"/>
        <v/>
      </c>
      <c r="H1305" t="str">
        <f t="shared" si="63"/>
        <v/>
      </c>
      <c r="M1305" s="34">
        <f t="shared" si="64"/>
        <v>0</v>
      </c>
    </row>
    <row r="1306" spans="7:13" x14ac:dyDescent="0.25">
      <c r="G1306" s="10" t="str">
        <f t="shared" si="62"/>
        <v/>
      </c>
      <c r="H1306" t="str">
        <f t="shared" si="63"/>
        <v/>
      </c>
      <c r="M1306" s="34">
        <f t="shared" si="64"/>
        <v>0</v>
      </c>
    </row>
    <row r="1307" spans="7:13" x14ac:dyDescent="0.25">
      <c r="G1307" s="10" t="str">
        <f t="shared" si="62"/>
        <v/>
      </c>
      <c r="H1307" t="str">
        <f t="shared" si="63"/>
        <v/>
      </c>
      <c r="M1307" s="34">
        <f t="shared" si="64"/>
        <v>0</v>
      </c>
    </row>
    <row r="1308" spans="7:13" x14ac:dyDescent="0.25">
      <c r="G1308" s="10" t="str">
        <f t="shared" si="62"/>
        <v/>
      </c>
      <c r="H1308" t="str">
        <f t="shared" si="63"/>
        <v/>
      </c>
      <c r="M1308" s="34">
        <f t="shared" si="64"/>
        <v>0</v>
      </c>
    </row>
    <row r="1309" spans="7:13" x14ac:dyDescent="0.25">
      <c r="G1309" s="10" t="str">
        <f t="shared" si="62"/>
        <v/>
      </c>
      <c r="H1309" t="str">
        <f t="shared" si="63"/>
        <v/>
      </c>
      <c r="M1309" s="34">
        <f t="shared" si="64"/>
        <v>0</v>
      </c>
    </row>
    <row r="1310" spans="7:13" x14ac:dyDescent="0.25">
      <c r="G1310" s="10" t="str">
        <f t="shared" si="62"/>
        <v/>
      </c>
      <c r="H1310" t="str">
        <f t="shared" si="63"/>
        <v/>
      </c>
      <c r="M1310" s="34">
        <f t="shared" si="64"/>
        <v>0</v>
      </c>
    </row>
    <row r="1311" spans="7:13" x14ac:dyDescent="0.25">
      <c r="G1311" s="10" t="str">
        <f t="shared" si="62"/>
        <v/>
      </c>
      <c r="H1311" t="str">
        <f t="shared" si="63"/>
        <v/>
      </c>
      <c r="M1311" s="34">
        <f t="shared" si="64"/>
        <v>0</v>
      </c>
    </row>
    <row r="1312" spans="7:13" x14ac:dyDescent="0.25">
      <c r="G1312" s="10" t="str">
        <f t="shared" si="62"/>
        <v/>
      </c>
      <c r="H1312" t="str">
        <f t="shared" si="63"/>
        <v/>
      </c>
      <c r="M1312" s="34">
        <f t="shared" si="64"/>
        <v>0</v>
      </c>
    </row>
    <row r="1313" spans="7:13" x14ac:dyDescent="0.25">
      <c r="G1313" s="10" t="str">
        <f t="shared" si="62"/>
        <v/>
      </c>
      <c r="H1313" t="str">
        <f t="shared" si="63"/>
        <v/>
      </c>
      <c r="M1313" s="34">
        <f t="shared" si="64"/>
        <v>0</v>
      </c>
    </row>
    <row r="1314" spans="7:13" x14ac:dyDescent="0.25">
      <c r="G1314" s="10" t="str">
        <f t="shared" si="62"/>
        <v/>
      </c>
      <c r="H1314" t="str">
        <f t="shared" si="63"/>
        <v/>
      </c>
      <c r="M1314" s="34">
        <f t="shared" si="64"/>
        <v>0</v>
      </c>
    </row>
    <row r="1315" spans="7:13" x14ac:dyDescent="0.25">
      <c r="G1315" s="10" t="str">
        <f t="shared" si="62"/>
        <v/>
      </c>
      <c r="H1315" t="str">
        <f t="shared" si="63"/>
        <v/>
      </c>
      <c r="M1315" s="34">
        <f t="shared" si="64"/>
        <v>0</v>
      </c>
    </row>
    <row r="1316" spans="7:13" x14ac:dyDescent="0.25">
      <c r="G1316" s="10" t="str">
        <f t="shared" si="62"/>
        <v/>
      </c>
      <c r="H1316" t="str">
        <f t="shared" si="63"/>
        <v/>
      </c>
      <c r="M1316" s="34">
        <f t="shared" si="64"/>
        <v>0</v>
      </c>
    </row>
    <row r="1317" spans="7:13" x14ac:dyDescent="0.25">
      <c r="G1317" s="10" t="str">
        <f t="shared" si="62"/>
        <v/>
      </c>
      <c r="H1317" t="str">
        <f t="shared" si="63"/>
        <v/>
      </c>
      <c r="M1317" s="34">
        <f t="shared" si="64"/>
        <v>0</v>
      </c>
    </row>
    <row r="1318" spans="7:13" x14ac:dyDescent="0.25">
      <c r="G1318" s="10" t="str">
        <f t="shared" si="62"/>
        <v/>
      </c>
      <c r="H1318" t="str">
        <f t="shared" si="63"/>
        <v/>
      </c>
      <c r="M1318" s="34">
        <f t="shared" si="64"/>
        <v>0</v>
      </c>
    </row>
    <row r="1319" spans="7:13" x14ac:dyDescent="0.25">
      <c r="G1319" s="10" t="str">
        <f t="shared" si="62"/>
        <v/>
      </c>
      <c r="H1319" t="str">
        <f t="shared" si="63"/>
        <v/>
      </c>
      <c r="M1319" s="34">
        <f t="shared" si="64"/>
        <v>0</v>
      </c>
    </row>
    <row r="1320" spans="7:13" x14ac:dyDescent="0.25">
      <c r="G1320" s="10" t="str">
        <f t="shared" si="62"/>
        <v/>
      </c>
      <c r="H1320" t="str">
        <f t="shared" si="63"/>
        <v/>
      </c>
      <c r="M1320" s="34">
        <f t="shared" si="64"/>
        <v>0</v>
      </c>
    </row>
    <row r="1321" spans="7:13" x14ac:dyDescent="0.25">
      <c r="G1321" s="10" t="str">
        <f t="shared" si="62"/>
        <v/>
      </c>
      <c r="H1321" t="str">
        <f t="shared" si="63"/>
        <v/>
      </c>
      <c r="M1321" s="34">
        <f t="shared" si="64"/>
        <v>0</v>
      </c>
    </row>
    <row r="1322" spans="7:13" x14ac:dyDescent="0.25">
      <c r="G1322" s="10" t="str">
        <f t="shared" si="62"/>
        <v/>
      </c>
      <c r="H1322" t="str">
        <f t="shared" si="63"/>
        <v/>
      </c>
      <c r="M1322" s="34">
        <f t="shared" si="64"/>
        <v>0</v>
      </c>
    </row>
    <row r="1323" spans="7:13" x14ac:dyDescent="0.25">
      <c r="G1323" s="10" t="str">
        <f t="shared" si="62"/>
        <v/>
      </c>
      <c r="H1323" t="str">
        <f t="shared" si="63"/>
        <v/>
      </c>
      <c r="M1323" s="34">
        <f t="shared" si="64"/>
        <v>0</v>
      </c>
    </row>
    <row r="1324" spans="7:13" x14ac:dyDescent="0.25">
      <c r="G1324" s="10" t="str">
        <f t="shared" si="62"/>
        <v/>
      </c>
      <c r="H1324" t="str">
        <f t="shared" si="63"/>
        <v/>
      </c>
      <c r="M1324" s="34">
        <f t="shared" si="64"/>
        <v>0</v>
      </c>
    </row>
    <row r="1325" spans="7:13" x14ac:dyDescent="0.25">
      <c r="G1325" s="10" t="str">
        <f t="shared" si="62"/>
        <v/>
      </c>
      <c r="H1325" t="str">
        <f t="shared" si="63"/>
        <v/>
      </c>
      <c r="M1325" s="34">
        <f t="shared" si="64"/>
        <v>0</v>
      </c>
    </row>
    <row r="1326" spans="7:13" x14ac:dyDescent="0.25">
      <c r="G1326" s="10" t="str">
        <f t="shared" si="62"/>
        <v/>
      </c>
      <c r="H1326" t="str">
        <f t="shared" si="63"/>
        <v/>
      </c>
      <c r="M1326" s="34">
        <f t="shared" si="64"/>
        <v>0</v>
      </c>
    </row>
    <row r="1327" spans="7:13" x14ac:dyDescent="0.25">
      <c r="G1327" s="10" t="str">
        <f t="shared" si="62"/>
        <v/>
      </c>
      <c r="H1327" t="str">
        <f t="shared" si="63"/>
        <v/>
      </c>
      <c r="M1327" s="34">
        <f t="shared" si="64"/>
        <v>0</v>
      </c>
    </row>
    <row r="1328" spans="7:13" x14ac:dyDescent="0.25">
      <c r="G1328" s="10" t="str">
        <f t="shared" si="62"/>
        <v/>
      </c>
      <c r="H1328" t="str">
        <f t="shared" si="63"/>
        <v/>
      </c>
      <c r="M1328" s="34">
        <f t="shared" si="64"/>
        <v>0</v>
      </c>
    </row>
    <row r="1329" spans="7:13" x14ac:dyDescent="0.25">
      <c r="G1329" s="10" t="str">
        <f t="shared" si="62"/>
        <v/>
      </c>
      <c r="H1329" t="str">
        <f t="shared" si="63"/>
        <v/>
      </c>
      <c r="M1329" s="34">
        <f t="shared" si="64"/>
        <v>0</v>
      </c>
    </row>
    <row r="1330" spans="7:13" x14ac:dyDescent="0.25">
      <c r="G1330" s="10" t="str">
        <f t="shared" si="62"/>
        <v/>
      </c>
      <c r="H1330" t="str">
        <f t="shared" si="63"/>
        <v/>
      </c>
      <c r="M1330" s="34">
        <f t="shared" si="64"/>
        <v>0</v>
      </c>
    </row>
    <row r="1331" spans="7:13" x14ac:dyDescent="0.25">
      <c r="G1331" s="10" t="str">
        <f t="shared" si="62"/>
        <v/>
      </c>
      <c r="H1331" t="str">
        <f t="shared" si="63"/>
        <v/>
      </c>
      <c r="M1331" s="34">
        <f t="shared" si="64"/>
        <v>0</v>
      </c>
    </row>
    <row r="1332" spans="7:13" x14ac:dyDescent="0.25">
      <c r="G1332" s="10" t="str">
        <f t="shared" si="62"/>
        <v/>
      </c>
      <c r="H1332" t="str">
        <f t="shared" si="63"/>
        <v/>
      </c>
      <c r="M1332" s="34">
        <f t="shared" si="64"/>
        <v>0</v>
      </c>
    </row>
    <row r="1333" spans="7:13" x14ac:dyDescent="0.25">
      <c r="G1333" s="10" t="str">
        <f t="shared" si="62"/>
        <v/>
      </c>
      <c r="H1333" t="str">
        <f t="shared" si="63"/>
        <v/>
      </c>
      <c r="M1333" s="34">
        <f t="shared" si="64"/>
        <v>0</v>
      </c>
    </row>
    <row r="1334" spans="7:13" x14ac:dyDescent="0.25">
      <c r="G1334" s="10" t="str">
        <f t="shared" si="62"/>
        <v/>
      </c>
      <c r="H1334" t="str">
        <f t="shared" si="63"/>
        <v/>
      </c>
      <c r="M1334" s="34">
        <f t="shared" si="64"/>
        <v>0</v>
      </c>
    </row>
    <row r="1335" spans="7:13" x14ac:dyDescent="0.25">
      <c r="G1335" s="10" t="str">
        <f t="shared" si="62"/>
        <v/>
      </c>
      <c r="H1335" t="str">
        <f t="shared" si="63"/>
        <v/>
      </c>
      <c r="M1335" s="34">
        <f t="shared" si="64"/>
        <v>0</v>
      </c>
    </row>
    <row r="1336" spans="7:13" x14ac:dyDescent="0.25">
      <c r="G1336" s="10" t="str">
        <f t="shared" si="62"/>
        <v/>
      </c>
      <c r="H1336" t="str">
        <f t="shared" si="63"/>
        <v/>
      </c>
      <c r="M1336" s="34">
        <f t="shared" si="64"/>
        <v>0</v>
      </c>
    </row>
    <row r="1337" spans="7:13" x14ac:dyDescent="0.25">
      <c r="G1337" s="10" t="str">
        <f t="shared" si="62"/>
        <v/>
      </c>
      <c r="H1337" t="str">
        <f t="shared" si="63"/>
        <v/>
      </c>
      <c r="M1337" s="34">
        <f t="shared" si="64"/>
        <v>0</v>
      </c>
    </row>
    <row r="1338" spans="7:13" x14ac:dyDescent="0.25">
      <c r="G1338" s="10" t="str">
        <f t="shared" si="62"/>
        <v/>
      </c>
      <c r="H1338" t="str">
        <f t="shared" si="63"/>
        <v/>
      </c>
      <c r="M1338" s="34">
        <f t="shared" si="64"/>
        <v>0</v>
      </c>
    </row>
    <row r="1339" spans="7:13" x14ac:dyDescent="0.25">
      <c r="G1339" s="10" t="str">
        <f t="shared" si="62"/>
        <v/>
      </c>
      <c r="H1339" t="str">
        <f t="shared" si="63"/>
        <v/>
      </c>
      <c r="M1339" s="34">
        <f t="shared" si="64"/>
        <v>0</v>
      </c>
    </row>
    <row r="1340" spans="7:13" x14ac:dyDescent="0.25">
      <c r="G1340" s="10" t="str">
        <f t="shared" si="62"/>
        <v/>
      </c>
      <c r="H1340" t="str">
        <f t="shared" si="63"/>
        <v/>
      </c>
      <c r="M1340" s="34">
        <f t="shared" si="64"/>
        <v>0</v>
      </c>
    </row>
    <row r="1341" spans="7:13" x14ac:dyDescent="0.25">
      <c r="G1341" s="10" t="str">
        <f t="shared" si="62"/>
        <v/>
      </c>
      <c r="H1341" t="str">
        <f t="shared" si="63"/>
        <v/>
      </c>
      <c r="M1341" s="34">
        <f t="shared" si="64"/>
        <v>0</v>
      </c>
    </row>
    <row r="1342" spans="7:13" x14ac:dyDescent="0.25">
      <c r="G1342" s="10" t="str">
        <f t="shared" si="62"/>
        <v/>
      </c>
      <c r="H1342" t="str">
        <f t="shared" si="63"/>
        <v/>
      </c>
      <c r="M1342" s="34">
        <f t="shared" si="64"/>
        <v>0</v>
      </c>
    </row>
    <row r="1343" spans="7:13" x14ac:dyDescent="0.25">
      <c r="G1343" s="10" t="str">
        <f t="shared" si="62"/>
        <v/>
      </c>
      <c r="H1343" t="str">
        <f t="shared" si="63"/>
        <v/>
      </c>
      <c r="M1343" s="34">
        <f t="shared" si="64"/>
        <v>0</v>
      </c>
    </row>
    <row r="1344" spans="7:13" x14ac:dyDescent="0.25">
      <c r="G1344" s="10" t="str">
        <f t="shared" si="62"/>
        <v/>
      </c>
      <c r="H1344" t="str">
        <f t="shared" si="63"/>
        <v/>
      </c>
      <c r="M1344" s="34">
        <f t="shared" si="64"/>
        <v>0</v>
      </c>
    </row>
    <row r="1345" spans="7:13" x14ac:dyDescent="0.25">
      <c r="G1345" s="10" t="str">
        <f t="shared" si="62"/>
        <v/>
      </c>
      <c r="H1345" t="str">
        <f t="shared" si="63"/>
        <v/>
      </c>
      <c r="M1345" s="34">
        <f t="shared" si="64"/>
        <v>0</v>
      </c>
    </row>
    <row r="1346" spans="7:13" x14ac:dyDescent="0.25">
      <c r="G1346" s="10" t="str">
        <f t="shared" ref="G1346:G1409" si="65">IF(F1346&gt;0,"RECETTE",IF(F1346&lt;0,"DÉPENSE",""))</f>
        <v/>
      </c>
      <c r="H1346" t="str">
        <f t="shared" ref="H1346:H1409" si="66">+IF(ISNUMBER(D1346),D1346,"")</f>
        <v/>
      </c>
      <c r="M1346" s="34">
        <f t="shared" si="64"/>
        <v>0</v>
      </c>
    </row>
    <row r="1347" spans="7:13" x14ac:dyDescent="0.25">
      <c r="G1347" s="10" t="str">
        <f t="shared" si="65"/>
        <v/>
      </c>
      <c r="H1347" t="str">
        <f t="shared" si="66"/>
        <v/>
      </c>
      <c r="M1347" s="34">
        <f t="shared" ref="M1347:M1410" si="67">IF(AND(E1347="Chèque",G1347="RECETTE"),F1347,0)</f>
        <v>0</v>
      </c>
    </row>
    <row r="1348" spans="7:13" x14ac:dyDescent="0.25">
      <c r="G1348" s="10" t="str">
        <f t="shared" si="65"/>
        <v/>
      </c>
      <c r="H1348" t="str">
        <f t="shared" si="66"/>
        <v/>
      </c>
      <c r="M1348" s="34">
        <f t="shared" si="67"/>
        <v>0</v>
      </c>
    </row>
    <row r="1349" spans="7:13" x14ac:dyDescent="0.25">
      <c r="G1349" s="10" t="str">
        <f t="shared" si="65"/>
        <v/>
      </c>
      <c r="H1349" t="str">
        <f t="shared" si="66"/>
        <v/>
      </c>
      <c r="M1349" s="34">
        <f t="shared" si="67"/>
        <v>0</v>
      </c>
    </row>
    <row r="1350" spans="7:13" x14ac:dyDescent="0.25">
      <c r="G1350" s="10" t="str">
        <f t="shared" si="65"/>
        <v/>
      </c>
      <c r="H1350" t="str">
        <f t="shared" si="66"/>
        <v/>
      </c>
      <c r="M1350" s="34">
        <f t="shared" si="67"/>
        <v>0</v>
      </c>
    </row>
    <row r="1351" spans="7:13" x14ac:dyDescent="0.25">
      <c r="G1351" s="10" t="str">
        <f t="shared" si="65"/>
        <v/>
      </c>
      <c r="H1351" t="str">
        <f t="shared" si="66"/>
        <v/>
      </c>
      <c r="M1351" s="34">
        <f t="shared" si="67"/>
        <v>0</v>
      </c>
    </row>
    <row r="1352" spans="7:13" x14ac:dyDescent="0.25">
      <c r="G1352" s="10" t="str">
        <f t="shared" si="65"/>
        <v/>
      </c>
      <c r="H1352" t="str">
        <f t="shared" si="66"/>
        <v/>
      </c>
      <c r="M1352" s="34">
        <f t="shared" si="67"/>
        <v>0</v>
      </c>
    </row>
    <row r="1353" spans="7:13" x14ac:dyDescent="0.25">
      <c r="G1353" s="10" t="str">
        <f t="shared" si="65"/>
        <v/>
      </c>
      <c r="H1353" t="str">
        <f t="shared" si="66"/>
        <v/>
      </c>
      <c r="M1353" s="34">
        <f t="shared" si="67"/>
        <v>0</v>
      </c>
    </row>
    <row r="1354" spans="7:13" x14ac:dyDescent="0.25">
      <c r="G1354" s="10" t="str">
        <f t="shared" si="65"/>
        <v/>
      </c>
      <c r="H1354" t="str">
        <f t="shared" si="66"/>
        <v/>
      </c>
      <c r="M1354" s="34">
        <f t="shared" si="67"/>
        <v>0</v>
      </c>
    </row>
    <row r="1355" spans="7:13" x14ac:dyDescent="0.25">
      <c r="G1355" s="10" t="str">
        <f t="shared" si="65"/>
        <v/>
      </c>
      <c r="H1355" t="str">
        <f t="shared" si="66"/>
        <v/>
      </c>
      <c r="M1355" s="34">
        <f t="shared" si="67"/>
        <v>0</v>
      </c>
    </row>
    <row r="1356" spans="7:13" x14ac:dyDescent="0.25">
      <c r="G1356" s="10" t="str">
        <f t="shared" si="65"/>
        <v/>
      </c>
      <c r="H1356" t="str">
        <f t="shared" si="66"/>
        <v/>
      </c>
      <c r="M1356" s="34">
        <f t="shared" si="67"/>
        <v>0</v>
      </c>
    </row>
    <row r="1357" spans="7:13" x14ac:dyDescent="0.25">
      <c r="G1357" s="10" t="str">
        <f t="shared" si="65"/>
        <v/>
      </c>
      <c r="H1357" t="str">
        <f t="shared" si="66"/>
        <v/>
      </c>
      <c r="M1357" s="34">
        <f t="shared" si="67"/>
        <v>0</v>
      </c>
    </row>
    <row r="1358" spans="7:13" x14ac:dyDescent="0.25">
      <c r="G1358" s="10" t="str">
        <f t="shared" si="65"/>
        <v/>
      </c>
      <c r="H1358" t="str">
        <f t="shared" si="66"/>
        <v/>
      </c>
      <c r="M1358" s="34">
        <f t="shared" si="67"/>
        <v>0</v>
      </c>
    </row>
    <row r="1359" spans="7:13" x14ac:dyDescent="0.25">
      <c r="G1359" s="10" t="str">
        <f t="shared" si="65"/>
        <v/>
      </c>
      <c r="H1359" t="str">
        <f t="shared" si="66"/>
        <v/>
      </c>
      <c r="M1359" s="34">
        <f t="shared" si="67"/>
        <v>0</v>
      </c>
    </row>
    <row r="1360" spans="7:13" x14ac:dyDescent="0.25">
      <c r="G1360" s="10" t="str">
        <f t="shared" si="65"/>
        <v/>
      </c>
      <c r="H1360" t="str">
        <f t="shared" si="66"/>
        <v/>
      </c>
      <c r="M1360" s="34">
        <f t="shared" si="67"/>
        <v>0</v>
      </c>
    </row>
    <row r="1361" spans="7:13" x14ac:dyDescent="0.25">
      <c r="G1361" s="10" t="str">
        <f t="shared" si="65"/>
        <v/>
      </c>
      <c r="H1361" t="str">
        <f t="shared" si="66"/>
        <v/>
      </c>
      <c r="M1361" s="34">
        <f t="shared" si="67"/>
        <v>0</v>
      </c>
    </row>
    <row r="1362" spans="7:13" x14ac:dyDescent="0.25">
      <c r="G1362" s="10" t="str">
        <f t="shared" si="65"/>
        <v/>
      </c>
      <c r="H1362" t="str">
        <f t="shared" si="66"/>
        <v/>
      </c>
      <c r="M1362" s="34">
        <f t="shared" si="67"/>
        <v>0</v>
      </c>
    </row>
    <row r="1363" spans="7:13" x14ac:dyDescent="0.25">
      <c r="G1363" s="10" t="str">
        <f t="shared" si="65"/>
        <v/>
      </c>
      <c r="H1363" t="str">
        <f t="shared" si="66"/>
        <v/>
      </c>
      <c r="M1363" s="34">
        <f t="shared" si="67"/>
        <v>0</v>
      </c>
    </row>
    <row r="1364" spans="7:13" x14ac:dyDescent="0.25">
      <c r="G1364" s="10" t="str">
        <f t="shared" si="65"/>
        <v/>
      </c>
      <c r="H1364" t="str">
        <f t="shared" si="66"/>
        <v/>
      </c>
      <c r="M1364" s="34">
        <f t="shared" si="67"/>
        <v>0</v>
      </c>
    </row>
    <row r="1365" spans="7:13" x14ac:dyDescent="0.25">
      <c r="G1365" s="10" t="str">
        <f t="shared" si="65"/>
        <v/>
      </c>
      <c r="H1365" t="str">
        <f t="shared" si="66"/>
        <v/>
      </c>
      <c r="M1365" s="34">
        <f t="shared" si="67"/>
        <v>0</v>
      </c>
    </row>
    <row r="1366" spans="7:13" x14ac:dyDescent="0.25">
      <c r="G1366" s="10" t="str">
        <f t="shared" si="65"/>
        <v/>
      </c>
      <c r="H1366" t="str">
        <f t="shared" si="66"/>
        <v/>
      </c>
      <c r="M1366" s="34">
        <f t="shared" si="67"/>
        <v>0</v>
      </c>
    </row>
    <row r="1367" spans="7:13" x14ac:dyDescent="0.25">
      <c r="G1367" s="10" t="str">
        <f t="shared" si="65"/>
        <v/>
      </c>
      <c r="H1367" t="str">
        <f t="shared" si="66"/>
        <v/>
      </c>
      <c r="M1367" s="34">
        <f t="shared" si="67"/>
        <v>0</v>
      </c>
    </row>
    <row r="1368" spans="7:13" x14ac:dyDescent="0.25">
      <c r="G1368" s="10" t="str">
        <f t="shared" si="65"/>
        <v/>
      </c>
      <c r="H1368" t="str">
        <f t="shared" si="66"/>
        <v/>
      </c>
      <c r="M1368" s="34">
        <f t="shared" si="67"/>
        <v>0</v>
      </c>
    </row>
    <row r="1369" spans="7:13" x14ac:dyDescent="0.25">
      <c r="G1369" s="10" t="str">
        <f t="shared" si="65"/>
        <v/>
      </c>
      <c r="H1369" t="str">
        <f t="shared" si="66"/>
        <v/>
      </c>
      <c r="M1369" s="34">
        <f t="shared" si="67"/>
        <v>0</v>
      </c>
    </row>
    <row r="1370" spans="7:13" x14ac:dyDescent="0.25">
      <c r="G1370" s="10" t="str">
        <f t="shared" si="65"/>
        <v/>
      </c>
      <c r="H1370" t="str">
        <f t="shared" si="66"/>
        <v/>
      </c>
      <c r="M1370" s="34">
        <f t="shared" si="67"/>
        <v>0</v>
      </c>
    </row>
    <row r="1371" spans="7:13" x14ac:dyDescent="0.25">
      <c r="G1371" s="10" t="str">
        <f t="shared" si="65"/>
        <v/>
      </c>
      <c r="H1371" t="str">
        <f t="shared" si="66"/>
        <v/>
      </c>
      <c r="M1371" s="34">
        <f t="shared" si="67"/>
        <v>0</v>
      </c>
    </row>
    <row r="1372" spans="7:13" x14ac:dyDescent="0.25">
      <c r="G1372" s="10" t="str">
        <f t="shared" si="65"/>
        <v/>
      </c>
      <c r="H1372" t="str">
        <f t="shared" si="66"/>
        <v/>
      </c>
      <c r="M1372" s="34">
        <f t="shared" si="67"/>
        <v>0</v>
      </c>
    </row>
    <row r="1373" spans="7:13" x14ac:dyDescent="0.25">
      <c r="G1373" s="10" t="str">
        <f t="shared" si="65"/>
        <v/>
      </c>
      <c r="H1373" t="str">
        <f t="shared" si="66"/>
        <v/>
      </c>
      <c r="M1373" s="34">
        <f t="shared" si="67"/>
        <v>0</v>
      </c>
    </row>
    <row r="1374" spans="7:13" x14ac:dyDescent="0.25">
      <c r="G1374" s="10" t="str">
        <f t="shared" si="65"/>
        <v/>
      </c>
      <c r="H1374" t="str">
        <f t="shared" si="66"/>
        <v/>
      </c>
      <c r="M1374" s="34">
        <f t="shared" si="67"/>
        <v>0</v>
      </c>
    </row>
    <row r="1375" spans="7:13" x14ac:dyDescent="0.25">
      <c r="G1375" s="10" t="str">
        <f t="shared" si="65"/>
        <v/>
      </c>
      <c r="H1375" t="str">
        <f t="shared" si="66"/>
        <v/>
      </c>
      <c r="M1375" s="34">
        <f t="shared" si="67"/>
        <v>0</v>
      </c>
    </row>
    <row r="1376" spans="7:13" x14ac:dyDescent="0.25">
      <c r="G1376" s="10" t="str">
        <f t="shared" si="65"/>
        <v/>
      </c>
      <c r="H1376" t="str">
        <f t="shared" si="66"/>
        <v/>
      </c>
      <c r="M1376" s="34">
        <f t="shared" si="67"/>
        <v>0</v>
      </c>
    </row>
    <row r="1377" spans="7:13" x14ac:dyDescent="0.25">
      <c r="G1377" s="10" t="str">
        <f t="shared" si="65"/>
        <v/>
      </c>
      <c r="H1377" t="str">
        <f t="shared" si="66"/>
        <v/>
      </c>
      <c r="M1377" s="34">
        <f t="shared" si="67"/>
        <v>0</v>
      </c>
    </row>
    <row r="1378" spans="7:13" x14ac:dyDescent="0.25">
      <c r="G1378" s="10" t="str">
        <f t="shared" si="65"/>
        <v/>
      </c>
      <c r="H1378" t="str">
        <f t="shared" si="66"/>
        <v/>
      </c>
      <c r="M1378" s="34">
        <f t="shared" si="67"/>
        <v>0</v>
      </c>
    </row>
    <row r="1379" spans="7:13" x14ac:dyDescent="0.25">
      <c r="G1379" s="10" t="str">
        <f t="shared" si="65"/>
        <v/>
      </c>
      <c r="H1379" t="str">
        <f t="shared" si="66"/>
        <v/>
      </c>
      <c r="M1379" s="34">
        <f t="shared" si="67"/>
        <v>0</v>
      </c>
    </row>
    <row r="1380" spans="7:13" x14ac:dyDescent="0.25">
      <c r="G1380" s="10" t="str">
        <f t="shared" si="65"/>
        <v/>
      </c>
      <c r="H1380" t="str">
        <f t="shared" si="66"/>
        <v/>
      </c>
      <c r="M1380" s="34">
        <f t="shared" si="67"/>
        <v>0</v>
      </c>
    </row>
    <row r="1381" spans="7:13" x14ac:dyDescent="0.25">
      <c r="G1381" s="10" t="str">
        <f t="shared" si="65"/>
        <v/>
      </c>
      <c r="H1381" t="str">
        <f t="shared" si="66"/>
        <v/>
      </c>
      <c r="M1381" s="34">
        <f t="shared" si="67"/>
        <v>0</v>
      </c>
    </row>
    <row r="1382" spans="7:13" x14ac:dyDescent="0.25">
      <c r="G1382" s="10" t="str">
        <f t="shared" si="65"/>
        <v/>
      </c>
      <c r="H1382" t="str">
        <f t="shared" si="66"/>
        <v/>
      </c>
      <c r="M1382" s="34">
        <f t="shared" si="67"/>
        <v>0</v>
      </c>
    </row>
    <row r="1383" spans="7:13" x14ac:dyDescent="0.25">
      <c r="G1383" s="10" t="str">
        <f t="shared" si="65"/>
        <v/>
      </c>
      <c r="H1383" t="str">
        <f t="shared" si="66"/>
        <v/>
      </c>
      <c r="M1383" s="34">
        <f t="shared" si="67"/>
        <v>0</v>
      </c>
    </row>
    <row r="1384" spans="7:13" x14ac:dyDescent="0.25">
      <c r="G1384" s="10" t="str">
        <f t="shared" si="65"/>
        <v/>
      </c>
      <c r="H1384" t="str">
        <f t="shared" si="66"/>
        <v/>
      </c>
      <c r="M1384" s="34">
        <f t="shared" si="67"/>
        <v>0</v>
      </c>
    </row>
    <row r="1385" spans="7:13" x14ac:dyDescent="0.25">
      <c r="G1385" s="10" t="str">
        <f t="shared" si="65"/>
        <v/>
      </c>
      <c r="H1385" t="str">
        <f t="shared" si="66"/>
        <v/>
      </c>
      <c r="M1385" s="34">
        <f t="shared" si="67"/>
        <v>0</v>
      </c>
    </row>
    <row r="1386" spans="7:13" x14ac:dyDescent="0.25">
      <c r="G1386" s="10" t="str">
        <f t="shared" si="65"/>
        <v/>
      </c>
      <c r="H1386" t="str">
        <f t="shared" si="66"/>
        <v/>
      </c>
      <c r="M1386" s="34">
        <f t="shared" si="67"/>
        <v>0</v>
      </c>
    </row>
    <row r="1387" spans="7:13" x14ac:dyDescent="0.25">
      <c r="G1387" s="10" t="str">
        <f t="shared" si="65"/>
        <v/>
      </c>
      <c r="H1387" t="str">
        <f t="shared" si="66"/>
        <v/>
      </c>
      <c r="M1387" s="34">
        <f t="shared" si="67"/>
        <v>0</v>
      </c>
    </row>
    <row r="1388" spans="7:13" x14ac:dyDescent="0.25">
      <c r="G1388" s="10" t="str">
        <f t="shared" si="65"/>
        <v/>
      </c>
      <c r="H1388" t="str">
        <f t="shared" si="66"/>
        <v/>
      </c>
      <c r="M1388" s="34">
        <f t="shared" si="67"/>
        <v>0</v>
      </c>
    </row>
    <row r="1389" spans="7:13" x14ac:dyDescent="0.25">
      <c r="G1389" s="10" t="str">
        <f t="shared" si="65"/>
        <v/>
      </c>
      <c r="H1389" t="str">
        <f t="shared" si="66"/>
        <v/>
      </c>
      <c r="M1389" s="34">
        <f t="shared" si="67"/>
        <v>0</v>
      </c>
    </row>
    <row r="1390" spans="7:13" x14ac:dyDescent="0.25">
      <c r="G1390" s="10" t="str">
        <f t="shared" si="65"/>
        <v/>
      </c>
      <c r="H1390" t="str">
        <f t="shared" si="66"/>
        <v/>
      </c>
      <c r="M1390" s="34">
        <f t="shared" si="67"/>
        <v>0</v>
      </c>
    </row>
    <row r="1391" spans="7:13" x14ac:dyDescent="0.25">
      <c r="G1391" s="10" t="str">
        <f t="shared" si="65"/>
        <v/>
      </c>
      <c r="H1391" t="str">
        <f t="shared" si="66"/>
        <v/>
      </c>
      <c r="M1391" s="34">
        <f t="shared" si="67"/>
        <v>0</v>
      </c>
    </row>
    <row r="1392" spans="7:13" x14ac:dyDescent="0.25">
      <c r="G1392" s="10" t="str">
        <f t="shared" si="65"/>
        <v/>
      </c>
      <c r="H1392" t="str">
        <f t="shared" si="66"/>
        <v/>
      </c>
      <c r="M1392" s="34">
        <f t="shared" si="67"/>
        <v>0</v>
      </c>
    </row>
    <row r="1393" spans="7:13" x14ac:dyDescent="0.25">
      <c r="G1393" s="10" t="str">
        <f t="shared" si="65"/>
        <v/>
      </c>
      <c r="H1393" t="str">
        <f t="shared" si="66"/>
        <v/>
      </c>
      <c r="M1393" s="34">
        <f t="shared" si="67"/>
        <v>0</v>
      </c>
    </row>
    <row r="1394" spans="7:13" x14ac:dyDescent="0.25">
      <c r="G1394" s="10" t="str">
        <f t="shared" si="65"/>
        <v/>
      </c>
      <c r="H1394" t="str">
        <f t="shared" si="66"/>
        <v/>
      </c>
      <c r="M1394" s="34">
        <f t="shared" si="67"/>
        <v>0</v>
      </c>
    </row>
    <row r="1395" spans="7:13" x14ac:dyDescent="0.25">
      <c r="G1395" s="10" t="str">
        <f t="shared" si="65"/>
        <v/>
      </c>
      <c r="H1395" t="str">
        <f t="shared" si="66"/>
        <v/>
      </c>
      <c r="M1395" s="34">
        <f t="shared" si="67"/>
        <v>0</v>
      </c>
    </row>
    <row r="1396" spans="7:13" x14ac:dyDescent="0.25">
      <c r="G1396" s="10" t="str">
        <f t="shared" si="65"/>
        <v/>
      </c>
      <c r="H1396" t="str">
        <f t="shared" si="66"/>
        <v/>
      </c>
      <c r="M1396" s="34">
        <f t="shared" si="67"/>
        <v>0</v>
      </c>
    </row>
    <row r="1397" spans="7:13" x14ac:dyDescent="0.25">
      <c r="G1397" s="10" t="str">
        <f t="shared" si="65"/>
        <v/>
      </c>
      <c r="H1397" t="str">
        <f t="shared" si="66"/>
        <v/>
      </c>
      <c r="M1397" s="34">
        <f t="shared" si="67"/>
        <v>0</v>
      </c>
    </row>
    <row r="1398" spans="7:13" x14ac:dyDescent="0.25">
      <c r="G1398" s="10" t="str">
        <f t="shared" si="65"/>
        <v/>
      </c>
      <c r="H1398" t="str">
        <f t="shared" si="66"/>
        <v/>
      </c>
      <c r="M1398" s="34">
        <f t="shared" si="67"/>
        <v>0</v>
      </c>
    </row>
    <row r="1399" spans="7:13" x14ac:dyDescent="0.25">
      <c r="G1399" s="10" t="str">
        <f t="shared" si="65"/>
        <v/>
      </c>
      <c r="H1399" t="str">
        <f t="shared" si="66"/>
        <v/>
      </c>
      <c r="M1399" s="34">
        <f t="shared" si="67"/>
        <v>0</v>
      </c>
    </row>
    <row r="1400" spans="7:13" x14ac:dyDescent="0.25">
      <c r="G1400" s="10" t="str">
        <f t="shared" si="65"/>
        <v/>
      </c>
      <c r="H1400" t="str">
        <f t="shared" si="66"/>
        <v/>
      </c>
      <c r="M1400" s="34">
        <f t="shared" si="67"/>
        <v>0</v>
      </c>
    </row>
    <row r="1401" spans="7:13" x14ac:dyDescent="0.25">
      <c r="G1401" s="10" t="str">
        <f t="shared" si="65"/>
        <v/>
      </c>
      <c r="H1401" t="str">
        <f t="shared" si="66"/>
        <v/>
      </c>
      <c r="M1401" s="34">
        <f t="shared" si="67"/>
        <v>0</v>
      </c>
    </row>
    <row r="1402" spans="7:13" x14ac:dyDescent="0.25">
      <c r="G1402" s="10" t="str">
        <f t="shared" si="65"/>
        <v/>
      </c>
      <c r="H1402" t="str">
        <f t="shared" si="66"/>
        <v/>
      </c>
      <c r="M1402" s="34">
        <f t="shared" si="67"/>
        <v>0</v>
      </c>
    </row>
    <row r="1403" spans="7:13" x14ac:dyDescent="0.25">
      <c r="G1403" s="10" t="str">
        <f t="shared" si="65"/>
        <v/>
      </c>
      <c r="H1403" t="str">
        <f t="shared" si="66"/>
        <v/>
      </c>
      <c r="M1403" s="34">
        <f t="shared" si="67"/>
        <v>0</v>
      </c>
    </row>
    <row r="1404" spans="7:13" x14ac:dyDescent="0.25">
      <c r="G1404" s="10" t="str">
        <f t="shared" si="65"/>
        <v/>
      </c>
      <c r="H1404" t="str">
        <f t="shared" si="66"/>
        <v/>
      </c>
      <c r="M1404" s="34">
        <f t="shared" si="67"/>
        <v>0</v>
      </c>
    </row>
    <row r="1405" spans="7:13" x14ac:dyDescent="0.25">
      <c r="G1405" s="10" t="str">
        <f t="shared" si="65"/>
        <v/>
      </c>
      <c r="H1405" t="str">
        <f t="shared" si="66"/>
        <v/>
      </c>
      <c r="M1405" s="34">
        <f t="shared" si="67"/>
        <v>0</v>
      </c>
    </row>
    <row r="1406" spans="7:13" x14ac:dyDescent="0.25">
      <c r="G1406" s="10" t="str">
        <f t="shared" si="65"/>
        <v/>
      </c>
      <c r="H1406" t="str">
        <f t="shared" si="66"/>
        <v/>
      </c>
      <c r="M1406" s="34">
        <f t="shared" si="67"/>
        <v>0</v>
      </c>
    </row>
    <row r="1407" spans="7:13" x14ac:dyDescent="0.25">
      <c r="G1407" s="10" t="str">
        <f t="shared" si="65"/>
        <v/>
      </c>
      <c r="H1407" t="str">
        <f t="shared" si="66"/>
        <v/>
      </c>
      <c r="M1407" s="34">
        <f t="shared" si="67"/>
        <v>0</v>
      </c>
    </row>
    <row r="1408" spans="7:13" x14ac:dyDescent="0.25">
      <c r="G1408" s="10" t="str">
        <f t="shared" si="65"/>
        <v/>
      </c>
      <c r="H1408" t="str">
        <f t="shared" si="66"/>
        <v/>
      </c>
      <c r="M1408" s="34">
        <f t="shared" si="67"/>
        <v>0</v>
      </c>
    </row>
    <row r="1409" spans="7:13" x14ac:dyDescent="0.25">
      <c r="G1409" s="10" t="str">
        <f t="shared" si="65"/>
        <v/>
      </c>
      <c r="H1409" t="str">
        <f t="shared" si="66"/>
        <v/>
      </c>
      <c r="M1409" s="34">
        <f t="shared" si="67"/>
        <v>0</v>
      </c>
    </row>
    <row r="1410" spans="7:13" x14ac:dyDescent="0.25">
      <c r="G1410" s="10" t="str">
        <f t="shared" ref="G1410:G1473" si="68">IF(F1410&gt;0,"RECETTE",IF(F1410&lt;0,"DÉPENSE",""))</f>
        <v/>
      </c>
      <c r="H1410" t="str">
        <f t="shared" ref="H1410:H1473" si="69">+IF(ISNUMBER(D1410),D1410,"")</f>
        <v/>
      </c>
      <c r="M1410" s="34">
        <f t="shared" si="67"/>
        <v>0</v>
      </c>
    </row>
    <row r="1411" spans="7:13" x14ac:dyDescent="0.25">
      <c r="G1411" s="10" t="str">
        <f t="shared" si="68"/>
        <v/>
      </c>
      <c r="H1411" t="str">
        <f t="shared" si="69"/>
        <v/>
      </c>
      <c r="M1411" s="34">
        <f t="shared" ref="M1411:M1474" si="70">IF(AND(E1411="Chèque",G1411="RECETTE"),F1411,0)</f>
        <v>0</v>
      </c>
    </row>
    <row r="1412" spans="7:13" x14ac:dyDescent="0.25">
      <c r="G1412" s="10" t="str">
        <f t="shared" si="68"/>
        <v/>
      </c>
      <c r="H1412" t="str">
        <f t="shared" si="69"/>
        <v/>
      </c>
      <c r="M1412" s="34">
        <f t="shared" si="70"/>
        <v>0</v>
      </c>
    </row>
    <row r="1413" spans="7:13" x14ac:dyDescent="0.25">
      <c r="G1413" s="10" t="str">
        <f t="shared" si="68"/>
        <v/>
      </c>
      <c r="H1413" t="str">
        <f t="shared" si="69"/>
        <v/>
      </c>
      <c r="M1413" s="34">
        <f t="shared" si="70"/>
        <v>0</v>
      </c>
    </row>
    <row r="1414" spans="7:13" x14ac:dyDescent="0.25">
      <c r="G1414" s="10" t="str">
        <f t="shared" si="68"/>
        <v/>
      </c>
      <c r="H1414" t="str">
        <f t="shared" si="69"/>
        <v/>
      </c>
      <c r="M1414" s="34">
        <f t="shared" si="70"/>
        <v>0</v>
      </c>
    </row>
    <row r="1415" spans="7:13" x14ac:dyDescent="0.25">
      <c r="G1415" s="10" t="str">
        <f t="shared" si="68"/>
        <v/>
      </c>
      <c r="H1415" t="str">
        <f t="shared" si="69"/>
        <v/>
      </c>
      <c r="M1415" s="34">
        <f t="shared" si="70"/>
        <v>0</v>
      </c>
    </row>
    <row r="1416" spans="7:13" x14ac:dyDescent="0.25">
      <c r="G1416" s="10" t="str">
        <f t="shared" si="68"/>
        <v/>
      </c>
      <c r="H1416" t="str">
        <f t="shared" si="69"/>
        <v/>
      </c>
      <c r="M1416" s="34">
        <f t="shared" si="70"/>
        <v>0</v>
      </c>
    </row>
    <row r="1417" spans="7:13" x14ac:dyDescent="0.25">
      <c r="G1417" s="10" t="str">
        <f t="shared" si="68"/>
        <v/>
      </c>
      <c r="H1417" t="str">
        <f t="shared" si="69"/>
        <v/>
      </c>
      <c r="M1417" s="34">
        <f t="shared" si="70"/>
        <v>0</v>
      </c>
    </row>
    <row r="1418" spans="7:13" x14ac:dyDescent="0.25">
      <c r="G1418" s="10" t="str">
        <f t="shared" si="68"/>
        <v/>
      </c>
      <c r="H1418" t="str">
        <f t="shared" si="69"/>
        <v/>
      </c>
      <c r="M1418" s="34">
        <f t="shared" si="70"/>
        <v>0</v>
      </c>
    </row>
    <row r="1419" spans="7:13" x14ac:dyDescent="0.25">
      <c r="G1419" s="10" t="str">
        <f t="shared" si="68"/>
        <v/>
      </c>
      <c r="H1419" t="str">
        <f t="shared" si="69"/>
        <v/>
      </c>
      <c r="M1419" s="34">
        <f t="shared" si="70"/>
        <v>0</v>
      </c>
    </row>
    <row r="1420" spans="7:13" x14ac:dyDescent="0.25">
      <c r="G1420" s="10" t="str">
        <f t="shared" si="68"/>
        <v/>
      </c>
      <c r="H1420" t="str">
        <f t="shared" si="69"/>
        <v/>
      </c>
      <c r="M1420" s="34">
        <f t="shared" si="70"/>
        <v>0</v>
      </c>
    </row>
    <row r="1421" spans="7:13" x14ac:dyDescent="0.25">
      <c r="G1421" s="10" t="str">
        <f t="shared" si="68"/>
        <v/>
      </c>
      <c r="H1421" t="str">
        <f t="shared" si="69"/>
        <v/>
      </c>
      <c r="M1421" s="34">
        <f t="shared" si="70"/>
        <v>0</v>
      </c>
    </row>
    <row r="1422" spans="7:13" x14ac:dyDescent="0.25">
      <c r="G1422" s="10" t="str">
        <f t="shared" si="68"/>
        <v/>
      </c>
      <c r="H1422" t="str">
        <f t="shared" si="69"/>
        <v/>
      </c>
      <c r="M1422" s="34">
        <f t="shared" si="70"/>
        <v>0</v>
      </c>
    </row>
    <row r="1423" spans="7:13" x14ac:dyDescent="0.25">
      <c r="G1423" s="10" t="str">
        <f t="shared" si="68"/>
        <v/>
      </c>
      <c r="H1423" t="str">
        <f t="shared" si="69"/>
        <v/>
      </c>
      <c r="M1423" s="34">
        <f t="shared" si="70"/>
        <v>0</v>
      </c>
    </row>
    <row r="1424" spans="7:13" x14ac:dyDescent="0.25">
      <c r="G1424" s="10" t="str">
        <f t="shared" si="68"/>
        <v/>
      </c>
      <c r="H1424" t="str">
        <f t="shared" si="69"/>
        <v/>
      </c>
      <c r="M1424" s="34">
        <f t="shared" si="70"/>
        <v>0</v>
      </c>
    </row>
    <row r="1425" spans="7:13" x14ac:dyDescent="0.25">
      <c r="G1425" s="10" t="str">
        <f t="shared" si="68"/>
        <v/>
      </c>
      <c r="H1425" t="str">
        <f t="shared" si="69"/>
        <v/>
      </c>
      <c r="M1425" s="34">
        <f t="shared" si="70"/>
        <v>0</v>
      </c>
    </row>
    <row r="1426" spans="7:13" x14ac:dyDescent="0.25">
      <c r="G1426" s="10" t="str">
        <f t="shared" si="68"/>
        <v/>
      </c>
      <c r="H1426" t="str">
        <f t="shared" si="69"/>
        <v/>
      </c>
      <c r="M1426" s="34">
        <f t="shared" si="70"/>
        <v>0</v>
      </c>
    </row>
    <row r="1427" spans="7:13" x14ac:dyDescent="0.25">
      <c r="G1427" s="10" t="str">
        <f t="shared" si="68"/>
        <v/>
      </c>
      <c r="H1427" t="str">
        <f t="shared" si="69"/>
        <v/>
      </c>
      <c r="M1427" s="34">
        <f t="shared" si="70"/>
        <v>0</v>
      </c>
    </row>
    <row r="1428" spans="7:13" x14ac:dyDescent="0.25">
      <c r="G1428" s="10" t="str">
        <f t="shared" si="68"/>
        <v/>
      </c>
      <c r="H1428" t="str">
        <f t="shared" si="69"/>
        <v/>
      </c>
      <c r="M1428" s="34">
        <f t="shared" si="70"/>
        <v>0</v>
      </c>
    </row>
    <row r="1429" spans="7:13" x14ac:dyDescent="0.25">
      <c r="G1429" s="10" t="str">
        <f t="shared" si="68"/>
        <v/>
      </c>
      <c r="H1429" t="str">
        <f t="shared" si="69"/>
        <v/>
      </c>
      <c r="M1429" s="34">
        <f t="shared" si="70"/>
        <v>0</v>
      </c>
    </row>
    <row r="1430" spans="7:13" x14ac:dyDescent="0.25">
      <c r="G1430" s="10" t="str">
        <f t="shared" si="68"/>
        <v/>
      </c>
      <c r="H1430" t="str">
        <f t="shared" si="69"/>
        <v/>
      </c>
      <c r="M1430" s="34">
        <f t="shared" si="70"/>
        <v>0</v>
      </c>
    </row>
    <row r="1431" spans="7:13" x14ac:dyDescent="0.25">
      <c r="G1431" s="10" t="str">
        <f t="shared" si="68"/>
        <v/>
      </c>
      <c r="H1431" t="str">
        <f t="shared" si="69"/>
        <v/>
      </c>
      <c r="M1431" s="34">
        <f t="shared" si="70"/>
        <v>0</v>
      </c>
    </row>
    <row r="1432" spans="7:13" x14ac:dyDescent="0.25">
      <c r="G1432" s="10" t="str">
        <f t="shared" si="68"/>
        <v/>
      </c>
      <c r="H1432" t="str">
        <f t="shared" si="69"/>
        <v/>
      </c>
      <c r="M1432" s="34">
        <f t="shared" si="70"/>
        <v>0</v>
      </c>
    </row>
    <row r="1433" spans="7:13" x14ac:dyDescent="0.25">
      <c r="G1433" s="10" t="str">
        <f t="shared" si="68"/>
        <v/>
      </c>
      <c r="H1433" t="str">
        <f t="shared" si="69"/>
        <v/>
      </c>
      <c r="M1433" s="34">
        <f t="shared" si="70"/>
        <v>0</v>
      </c>
    </row>
    <row r="1434" spans="7:13" x14ac:dyDescent="0.25">
      <c r="G1434" s="10" t="str">
        <f t="shared" si="68"/>
        <v/>
      </c>
      <c r="H1434" t="str">
        <f t="shared" si="69"/>
        <v/>
      </c>
      <c r="M1434" s="34">
        <f t="shared" si="70"/>
        <v>0</v>
      </c>
    </row>
    <row r="1435" spans="7:13" x14ac:dyDescent="0.25">
      <c r="G1435" s="10" t="str">
        <f t="shared" si="68"/>
        <v/>
      </c>
      <c r="H1435" t="str">
        <f t="shared" si="69"/>
        <v/>
      </c>
      <c r="M1435" s="34">
        <f t="shared" si="70"/>
        <v>0</v>
      </c>
    </row>
    <row r="1436" spans="7:13" x14ac:dyDescent="0.25">
      <c r="G1436" s="10" t="str">
        <f t="shared" si="68"/>
        <v/>
      </c>
      <c r="H1436" t="str">
        <f t="shared" si="69"/>
        <v/>
      </c>
      <c r="M1436" s="34">
        <f t="shared" si="70"/>
        <v>0</v>
      </c>
    </row>
    <row r="1437" spans="7:13" x14ac:dyDescent="0.25">
      <c r="G1437" s="10" t="str">
        <f t="shared" si="68"/>
        <v/>
      </c>
      <c r="H1437" t="str">
        <f t="shared" si="69"/>
        <v/>
      </c>
      <c r="M1437" s="34">
        <f t="shared" si="70"/>
        <v>0</v>
      </c>
    </row>
    <row r="1438" spans="7:13" x14ac:dyDescent="0.25">
      <c r="G1438" s="10" t="str">
        <f t="shared" si="68"/>
        <v/>
      </c>
      <c r="H1438" t="str">
        <f t="shared" si="69"/>
        <v/>
      </c>
      <c r="M1438" s="34">
        <f t="shared" si="70"/>
        <v>0</v>
      </c>
    </row>
    <row r="1439" spans="7:13" x14ac:dyDescent="0.25">
      <c r="G1439" s="10" t="str">
        <f t="shared" si="68"/>
        <v/>
      </c>
      <c r="H1439" t="str">
        <f t="shared" si="69"/>
        <v/>
      </c>
      <c r="M1439" s="34">
        <f t="shared" si="70"/>
        <v>0</v>
      </c>
    </row>
    <row r="1440" spans="7:13" x14ac:dyDescent="0.25">
      <c r="G1440" s="10" t="str">
        <f t="shared" si="68"/>
        <v/>
      </c>
      <c r="H1440" t="str">
        <f t="shared" si="69"/>
        <v/>
      </c>
      <c r="M1440" s="34">
        <f t="shared" si="70"/>
        <v>0</v>
      </c>
    </row>
    <row r="1441" spans="7:13" x14ac:dyDescent="0.25">
      <c r="G1441" s="10" t="str">
        <f t="shared" si="68"/>
        <v/>
      </c>
      <c r="H1441" t="str">
        <f t="shared" si="69"/>
        <v/>
      </c>
      <c r="M1441" s="34">
        <f t="shared" si="70"/>
        <v>0</v>
      </c>
    </row>
    <row r="1442" spans="7:13" x14ac:dyDescent="0.25">
      <c r="G1442" s="10" t="str">
        <f t="shared" si="68"/>
        <v/>
      </c>
      <c r="H1442" t="str">
        <f t="shared" si="69"/>
        <v/>
      </c>
      <c r="M1442" s="34">
        <f t="shared" si="70"/>
        <v>0</v>
      </c>
    </row>
    <row r="1443" spans="7:13" x14ac:dyDescent="0.25">
      <c r="G1443" s="10" t="str">
        <f t="shared" si="68"/>
        <v/>
      </c>
      <c r="H1443" t="str">
        <f t="shared" si="69"/>
        <v/>
      </c>
      <c r="M1443" s="34">
        <f t="shared" si="70"/>
        <v>0</v>
      </c>
    </row>
    <row r="1444" spans="7:13" x14ac:dyDescent="0.25">
      <c r="G1444" s="10" t="str">
        <f t="shared" si="68"/>
        <v/>
      </c>
      <c r="H1444" t="str">
        <f t="shared" si="69"/>
        <v/>
      </c>
      <c r="M1444" s="34">
        <f t="shared" si="70"/>
        <v>0</v>
      </c>
    </row>
    <row r="1445" spans="7:13" x14ac:dyDescent="0.25">
      <c r="G1445" s="10" t="str">
        <f t="shared" si="68"/>
        <v/>
      </c>
      <c r="H1445" t="str">
        <f t="shared" si="69"/>
        <v/>
      </c>
      <c r="M1445" s="34">
        <f t="shared" si="70"/>
        <v>0</v>
      </c>
    </row>
    <row r="1446" spans="7:13" x14ac:dyDescent="0.25">
      <c r="G1446" s="10" t="str">
        <f t="shared" si="68"/>
        <v/>
      </c>
      <c r="H1446" t="str">
        <f t="shared" si="69"/>
        <v/>
      </c>
      <c r="M1446" s="34">
        <f t="shared" si="70"/>
        <v>0</v>
      </c>
    </row>
    <row r="1447" spans="7:13" x14ac:dyDescent="0.25">
      <c r="G1447" s="10" t="str">
        <f t="shared" si="68"/>
        <v/>
      </c>
      <c r="H1447" t="str">
        <f t="shared" si="69"/>
        <v/>
      </c>
      <c r="M1447" s="34">
        <f t="shared" si="70"/>
        <v>0</v>
      </c>
    </row>
    <row r="1448" spans="7:13" x14ac:dyDescent="0.25">
      <c r="G1448" s="10" t="str">
        <f t="shared" si="68"/>
        <v/>
      </c>
      <c r="H1448" t="str">
        <f t="shared" si="69"/>
        <v/>
      </c>
      <c r="M1448" s="34">
        <f t="shared" si="70"/>
        <v>0</v>
      </c>
    </row>
    <row r="1449" spans="7:13" x14ac:dyDescent="0.25">
      <c r="G1449" s="10" t="str">
        <f t="shared" si="68"/>
        <v/>
      </c>
      <c r="H1449" t="str">
        <f t="shared" si="69"/>
        <v/>
      </c>
      <c r="M1449" s="34">
        <f t="shared" si="70"/>
        <v>0</v>
      </c>
    </row>
    <row r="1450" spans="7:13" x14ac:dyDescent="0.25">
      <c r="G1450" s="10" t="str">
        <f t="shared" si="68"/>
        <v/>
      </c>
      <c r="H1450" t="str">
        <f t="shared" si="69"/>
        <v/>
      </c>
      <c r="M1450" s="34">
        <f t="shared" si="70"/>
        <v>0</v>
      </c>
    </row>
    <row r="1451" spans="7:13" x14ac:dyDescent="0.25">
      <c r="G1451" s="10" t="str">
        <f t="shared" si="68"/>
        <v/>
      </c>
      <c r="H1451" t="str">
        <f t="shared" si="69"/>
        <v/>
      </c>
      <c r="M1451" s="34">
        <f t="shared" si="70"/>
        <v>0</v>
      </c>
    </row>
    <row r="1452" spans="7:13" x14ac:dyDescent="0.25">
      <c r="G1452" s="10" t="str">
        <f t="shared" si="68"/>
        <v/>
      </c>
      <c r="H1452" t="str">
        <f t="shared" si="69"/>
        <v/>
      </c>
      <c r="M1452" s="34">
        <f t="shared" si="70"/>
        <v>0</v>
      </c>
    </row>
    <row r="1453" spans="7:13" x14ac:dyDescent="0.25">
      <c r="G1453" s="10" t="str">
        <f t="shared" si="68"/>
        <v/>
      </c>
      <c r="H1453" t="str">
        <f t="shared" si="69"/>
        <v/>
      </c>
      <c r="M1453" s="34">
        <f t="shared" si="70"/>
        <v>0</v>
      </c>
    </row>
    <row r="1454" spans="7:13" x14ac:dyDescent="0.25">
      <c r="G1454" s="10" t="str">
        <f t="shared" si="68"/>
        <v/>
      </c>
      <c r="H1454" t="str">
        <f t="shared" si="69"/>
        <v/>
      </c>
      <c r="M1454" s="34">
        <f t="shared" si="70"/>
        <v>0</v>
      </c>
    </row>
    <row r="1455" spans="7:13" x14ac:dyDescent="0.25">
      <c r="G1455" s="10" t="str">
        <f t="shared" si="68"/>
        <v/>
      </c>
      <c r="H1455" t="str">
        <f t="shared" si="69"/>
        <v/>
      </c>
      <c r="M1455" s="34">
        <f t="shared" si="70"/>
        <v>0</v>
      </c>
    </row>
    <row r="1456" spans="7:13" x14ac:dyDescent="0.25">
      <c r="G1456" s="10" t="str">
        <f t="shared" si="68"/>
        <v/>
      </c>
      <c r="H1456" t="str">
        <f t="shared" si="69"/>
        <v/>
      </c>
      <c r="M1456" s="34">
        <f t="shared" si="70"/>
        <v>0</v>
      </c>
    </row>
    <row r="1457" spans="7:13" x14ac:dyDescent="0.25">
      <c r="G1457" s="10" t="str">
        <f t="shared" si="68"/>
        <v/>
      </c>
      <c r="H1457" t="str">
        <f t="shared" si="69"/>
        <v/>
      </c>
      <c r="M1457" s="34">
        <f t="shared" si="70"/>
        <v>0</v>
      </c>
    </row>
    <row r="1458" spans="7:13" x14ac:dyDescent="0.25">
      <c r="G1458" s="10" t="str">
        <f t="shared" si="68"/>
        <v/>
      </c>
      <c r="H1458" t="str">
        <f t="shared" si="69"/>
        <v/>
      </c>
      <c r="M1458" s="34">
        <f t="shared" si="70"/>
        <v>0</v>
      </c>
    </row>
    <row r="1459" spans="7:13" x14ac:dyDescent="0.25">
      <c r="G1459" s="10" t="str">
        <f t="shared" si="68"/>
        <v/>
      </c>
      <c r="H1459" t="str">
        <f t="shared" si="69"/>
        <v/>
      </c>
      <c r="M1459" s="34">
        <f t="shared" si="70"/>
        <v>0</v>
      </c>
    </row>
    <row r="1460" spans="7:13" x14ac:dyDescent="0.25">
      <c r="G1460" s="10" t="str">
        <f t="shared" si="68"/>
        <v/>
      </c>
      <c r="H1460" t="str">
        <f t="shared" si="69"/>
        <v/>
      </c>
      <c r="M1460" s="34">
        <f t="shared" si="70"/>
        <v>0</v>
      </c>
    </row>
    <row r="1461" spans="7:13" x14ac:dyDescent="0.25">
      <c r="G1461" s="10" t="str">
        <f t="shared" si="68"/>
        <v/>
      </c>
      <c r="H1461" t="str">
        <f t="shared" si="69"/>
        <v/>
      </c>
      <c r="M1461" s="34">
        <f t="shared" si="70"/>
        <v>0</v>
      </c>
    </row>
    <row r="1462" spans="7:13" x14ac:dyDescent="0.25">
      <c r="G1462" s="10" t="str">
        <f t="shared" si="68"/>
        <v/>
      </c>
      <c r="H1462" t="str">
        <f t="shared" si="69"/>
        <v/>
      </c>
      <c r="M1462" s="34">
        <f t="shared" si="70"/>
        <v>0</v>
      </c>
    </row>
    <row r="1463" spans="7:13" x14ac:dyDescent="0.25">
      <c r="G1463" s="10" t="str">
        <f t="shared" si="68"/>
        <v/>
      </c>
      <c r="H1463" t="str">
        <f t="shared" si="69"/>
        <v/>
      </c>
      <c r="M1463" s="34">
        <f t="shared" si="70"/>
        <v>0</v>
      </c>
    </row>
    <row r="1464" spans="7:13" x14ac:dyDescent="0.25">
      <c r="G1464" s="10" t="str">
        <f t="shared" si="68"/>
        <v/>
      </c>
      <c r="H1464" t="str">
        <f t="shared" si="69"/>
        <v/>
      </c>
      <c r="M1464" s="34">
        <f t="shared" si="70"/>
        <v>0</v>
      </c>
    </row>
    <row r="1465" spans="7:13" x14ac:dyDescent="0.25">
      <c r="G1465" s="10" t="str">
        <f t="shared" si="68"/>
        <v/>
      </c>
      <c r="H1465" t="str">
        <f t="shared" si="69"/>
        <v/>
      </c>
      <c r="M1465" s="34">
        <f t="shared" si="70"/>
        <v>0</v>
      </c>
    </row>
    <row r="1466" spans="7:13" x14ac:dyDescent="0.25">
      <c r="G1466" s="10" t="str">
        <f t="shared" si="68"/>
        <v/>
      </c>
      <c r="H1466" t="str">
        <f t="shared" si="69"/>
        <v/>
      </c>
      <c r="M1466" s="34">
        <f t="shared" si="70"/>
        <v>0</v>
      </c>
    </row>
    <row r="1467" spans="7:13" x14ac:dyDescent="0.25">
      <c r="G1467" s="10" t="str">
        <f t="shared" si="68"/>
        <v/>
      </c>
      <c r="H1467" t="str">
        <f t="shared" si="69"/>
        <v/>
      </c>
      <c r="M1467" s="34">
        <f t="shared" si="70"/>
        <v>0</v>
      </c>
    </row>
    <row r="1468" spans="7:13" x14ac:dyDescent="0.25">
      <c r="G1468" s="10" t="str">
        <f t="shared" si="68"/>
        <v/>
      </c>
      <c r="H1468" t="str">
        <f t="shared" si="69"/>
        <v/>
      </c>
      <c r="M1468" s="34">
        <f t="shared" si="70"/>
        <v>0</v>
      </c>
    </row>
    <row r="1469" spans="7:13" x14ac:dyDescent="0.25">
      <c r="G1469" s="10" t="str">
        <f t="shared" si="68"/>
        <v/>
      </c>
      <c r="H1469" t="str">
        <f t="shared" si="69"/>
        <v/>
      </c>
      <c r="M1469" s="34">
        <f t="shared" si="70"/>
        <v>0</v>
      </c>
    </row>
    <row r="1470" spans="7:13" x14ac:dyDescent="0.25">
      <c r="G1470" s="10" t="str">
        <f t="shared" si="68"/>
        <v/>
      </c>
      <c r="H1470" t="str">
        <f t="shared" si="69"/>
        <v/>
      </c>
      <c r="M1470" s="34">
        <f t="shared" si="70"/>
        <v>0</v>
      </c>
    </row>
    <row r="1471" spans="7:13" x14ac:dyDescent="0.25">
      <c r="G1471" s="10" t="str">
        <f t="shared" si="68"/>
        <v/>
      </c>
      <c r="H1471" t="str">
        <f t="shared" si="69"/>
        <v/>
      </c>
      <c r="M1471" s="34">
        <f t="shared" si="70"/>
        <v>0</v>
      </c>
    </row>
    <row r="1472" spans="7:13" x14ac:dyDescent="0.25">
      <c r="G1472" s="10" t="str">
        <f t="shared" si="68"/>
        <v/>
      </c>
      <c r="H1472" t="str">
        <f t="shared" si="69"/>
        <v/>
      </c>
      <c r="M1472" s="34">
        <f t="shared" si="70"/>
        <v>0</v>
      </c>
    </row>
    <row r="1473" spans="7:13" x14ac:dyDescent="0.25">
      <c r="G1473" s="10" t="str">
        <f t="shared" si="68"/>
        <v/>
      </c>
      <c r="H1473" t="str">
        <f t="shared" si="69"/>
        <v/>
      </c>
      <c r="M1473" s="34">
        <f t="shared" si="70"/>
        <v>0</v>
      </c>
    </row>
    <row r="1474" spans="7:13" x14ac:dyDescent="0.25">
      <c r="G1474" s="10" t="str">
        <f t="shared" ref="G1474:G1537" si="71">IF(F1474&gt;0,"RECETTE",IF(F1474&lt;0,"DÉPENSE",""))</f>
        <v/>
      </c>
      <c r="H1474" t="str">
        <f t="shared" ref="H1474:H1537" si="72">+IF(ISNUMBER(D1474),D1474,"")</f>
        <v/>
      </c>
      <c r="M1474" s="34">
        <f t="shared" si="70"/>
        <v>0</v>
      </c>
    </row>
    <row r="1475" spans="7:13" x14ac:dyDescent="0.25">
      <c r="G1475" s="10" t="str">
        <f t="shared" si="71"/>
        <v/>
      </c>
      <c r="H1475" t="str">
        <f t="shared" si="72"/>
        <v/>
      </c>
      <c r="M1475" s="34">
        <f t="shared" ref="M1475:M1538" si="73">IF(AND(E1475="Chèque",G1475="RECETTE"),F1475,0)</f>
        <v>0</v>
      </c>
    </row>
    <row r="1476" spans="7:13" x14ac:dyDescent="0.25">
      <c r="G1476" s="10" t="str">
        <f t="shared" si="71"/>
        <v/>
      </c>
      <c r="H1476" t="str">
        <f t="shared" si="72"/>
        <v/>
      </c>
      <c r="M1476" s="34">
        <f t="shared" si="73"/>
        <v>0</v>
      </c>
    </row>
    <row r="1477" spans="7:13" x14ac:dyDescent="0.25">
      <c r="G1477" s="10" t="str">
        <f t="shared" si="71"/>
        <v/>
      </c>
      <c r="H1477" t="str">
        <f t="shared" si="72"/>
        <v/>
      </c>
      <c r="M1477" s="34">
        <f t="shared" si="73"/>
        <v>0</v>
      </c>
    </row>
    <row r="1478" spans="7:13" x14ac:dyDescent="0.25">
      <c r="G1478" s="10" t="str">
        <f t="shared" si="71"/>
        <v/>
      </c>
      <c r="H1478" t="str">
        <f t="shared" si="72"/>
        <v/>
      </c>
      <c r="M1478" s="34">
        <f t="shared" si="73"/>
        <v>0</v>
      </c>
    </row>
    <row r="1479" spans="7:13" x14ac:dyDescent="0.25">
      <c r="G1479" s="10" t="str">
        <f t="shared" si="71"/>
        <v/>
      </c>
      <c r="H1479" t="str">
        <f t="shared" si="72"/>
        <v/>
      </c>
      <c r="M1479" s="34">
        <f t="shared" si="73"/>
        <v>0</v>
      </c>
    </row>
    <row r="1480" spans="7:13" x14ac:dyDescent="0.25">
      <c r="G1480" s="10" t="str">
        <f t="shared" si="71"/>
        <v/>
      </c>
      <c r="H1480" t="str">
        <f t="shared" si="72"/>
        <v/>
      </c>
      <c r="M1480" s="34">
        <f t="shared" si="73"/>
        <v>0</v>
      </c>
    </row>
    <row r="1481" spans="7:13" x14ac:dyDescent="0.25">
      <c r="G1481" s="10" t="str">
        <f t="shared" si="71"/>
        <v/>
      </c>
      <c r="H1481" t="str">
        <f t="shared" si="72"/>
        <v/>
      </c>
      <c r="M1481" s="34">
        <f t="shared" si="73"/>
        <v>0</v>
      </c>
    </row>
    <row r="1482" spans="7:13" x14ac:dyDescent="0.25">
      <c r="G1482" s="10" t="str">
        <f t="shared" si="71"/>
        <v/>
      </c>
      <c r="H1482" t="str">
        <f t="shared" si="72"/>
        <v/>
      </c>
      <c r="M1482" s="34">
        <f t="shared" si="73"/>
        <v>0</v>
      </c>
    </row>
    <row r="1483" spans="7:13" x14ac:dyDescent="0.25">
      <c r="G1483" s="10" t="str">
        <f t="shared" si="71"/>
        <v/>
      </c>
      <c r="H1483" t="str">
        <f t="shared" si="72"/>
        <v/>
      </c>
      <c r="M1483" s="34">
        <f t="shared" si="73"/>
        <v>0</v>
      </c>
    </row>
    <row r="1484" spans="7:13" x14ac:dyDescent="0.25">
      <c r="G1484" s="10" t="str">
        <f t="shared" si="71"/>
        <v/>
      </c>
      <c r="H1484" t="str">
        <f t="shared" si="72"/>
        <v/>
      </c>
      <c r="M1484" s="34">
        <f t="shared" si="73"/>
        <v>0</v>
      </c>
    </row>
    <row r="1485" spans="7:13" x14ac:dyDescent="0.25">
      <c r="G1485" s="10" t="str">
        <f t="shared" si="71"/>
        <v/>
      </c>
      <c r="H1485" t="str">
        <f t="shared" si="72"/>
        <v/>
      </c>
      <c r="M1485" s="34">
        <f t="shared" si="73"/>
        <v>0</v>
      </c>
    </row>
    <row r="1486" spans="7:13" x14ac:dyDescent="0.25">
      <c r="G1486" s="10" t="str">
        <f t="shared" si="71"/>
        <v/>
      </c>
      <c r="H1486" t="str">
        <f t="shared" si="72"/>
        <v/>
      </c>
      <c r="M1486" s="34">
        <f t="shared" si="73"/>
        <v>0</v>
      </c>
    </row>
    <row r="1487" spans="7:13" x14ac:dyDescent="0.25">
      <c r="G1487" s="10" t="str">
        <f t="shared" si="71"/>
        <v/>
      </c>
      <c r="H1487" t="str">
        <f t="shared" si="72"/>
        <v/>
      </c>
      <c r="M1487" s="34">
        <f t="shared" si="73"/>
        <v>0</v>
      </c>
    </row>
    <row r="1488" spans="7:13" x14ac:dyDescent="0.25">
      <c r="G1488" s="10" t="str">
        <f t="shared" si="71"/>
        <v/>
      </c>
      <c r="H1488" t="str">
        <f t="shared" si="72"/>
        <v/>
      </c>
      <c r="M1488" s="34">
        <f t="shared" si="73"/>
        <v>0</v>
      </c>
    </row>
    <row r="1489" spans="7:13" x14ac:dyDescent="0.25">
      <c r="G1489" s="10" t="str">
        <f t="shared" si="71"/>
        <v/>
      </c>
      <c r="H1489" t="str">
        <f t="shared" si="72"/>
        <v/>
      </c>
      <c r="M1489" s="34">
        <f t="shared" si="73"/>
        <v>0</v>
      </c>
    </row>
    <row r="1490" spans="7:13" x14ac:dyDescent="0.25">
      <c r="G1490" s="10" t="str">
        <f t="shared" si="71"/>
        <v/>
      </c>
      <c r="H1490" t="str">
        <f t="shared" si="72"/>
        <v/>
      </c>
      <c r="M1490" s="34">
        <f t="shared" si="73"/>
        <v>0</v>
      </c>
    </row>
    <row r="1491" spans="7:13" x14ac:dyDescent="0.25">
      <c r="G1491" s="10" t="str">
        <f t="shared" si="71"/>
        <v/>
      </c>
      <c r="H1491" t="str">
        <f t="shared" si="72"/>
        <v/>
      </c>
      <c r="M1491" s="34">
        <f t="shared" si="73"/>
        <v>0</v>
      </c>
    </row>
    <row r="1492" spans="7:13" x14ac:dyDescent="0.25">
      <c r="G1492" s="10" t="str">
        <f t="shared" si="71"/>
        <v/>
      </c>
      <c r="H1492" t="str">
        <f t="shared" si="72"/>
        <v/>
      </c>
      <c r="M1492" s="34">
        <f t="shared" si="73"/>
        <v>0</v>
      </c>
    </row>
    <row r="1493" spans="7:13" x14ac:dyDescent="0.25">
      <c r="G1493" s="10" t="str">
        <f t="shared" si="71"/>
        <v/>
      </c>
      <c r="H1493" t="str">
        <f t="shared" si="72"/>
        <v/>
      </c>
      <c r="M1493" s="34">
        <f t="shared" si="73"/>
        <v>0</v>
      </c>
    </row>
    <row r="1494" spans="7:13" x14ac:dyDescent="0.25">
      <c r="G1494" s="10" t="str">
        <f t="shared" si="71"/>
        <v/>
      </c>
      <c r="H1494" t="str">
        <f t="shared" si="72"/>
        <v/>
      </c>
      <c r="M1494" s="34">
        <f t="shared" si="73"/>
        <v>0</v>
      </c>
    </row>
    <row r="1495" spans="7:13" x14ac:dyDescent="0.25">
      <c r="G1495" s="10" t="str">
        <f t="shared" si="71"/>
        <v/>
      </c>
      <c r="H1495" t="str">
        <f t="shared" si="72"/>
        <v/>
      </c>
      <c r="M1495" s="34">
        <f t="shared" si="73"/>
        <v>0</v>
      </c>
    </row>
    <row r="1496" spans="7:13" x14ac:dyDescent="0.25">
      <c r="G1496" s="10" t="str">
        <f t="shared" si="71"/>
        <v/>
      </c>
      <c r="H1496" t="str">
        <f t="shared" si="72"/>
        <v/>
      </c>
      <c r="M1496" s="34">
        <f t="shared" si="73"/>
        <v>0</v>
      </c>
    </row>
    <row r="1497" spans="7:13" x14ac:dyDescent="0.25">
      <c r="G1497" s="10" t="str">
        <f t="shared" si="71"/>
        <v/>
      </c>
      <c r="H1497" t="str">
        <f t="shared" si="72"/>
        <v/>
      </c>
      <c r="M1497" s="34">
        <f t="shared" si="73"/>
        <v>0</v>
      </c>
    </row>
    <row r="1498" spans="7:13" x14ac:dyDescent="0.25">
      <c r="G1498" s="10" t="str">
        <f t="shared" si="71"/>
        <v/>
      </c>
      <c r="H1498" t="str">
        <f t="shared" si="72"/>
        <v/>
      </c>
      <c r="M1498" s="34">
        <f t="shared" si="73"/>
        <v>0</v>
      </c>
    </row>
    <row r="1499" spans="7:13" x14ac:dyDescent="0.25">
      <c r="G1499" s="10" t="str">
        <f t="shared" si="71"/>
        <v/>
      </c>
      <c r="H1499" t="str">
        <f t="shared" si="72"/>
        <v/>
      </c>
      <c r="M1499" s="34">
        <f t="shared" si="73"/>
        <v>0</v>
      </c>
    </row>
    <row r="1500" spans="7:13" x14ac:dyDescent="0.25">
      <c r="G1500" s="10" t="str">
        <f t="shared" si="71"/>
        <v/>
      </c>
      <c r="H1500" t="str">
        <f t="shared" si="72"/>
        <v/>
      </c>
      <c r="M1500" s="34">
        <f t="shared" si="73"/>
        <v>0</v>
      </c>
    </row>
    <row r="1501" spans="7:13" x14ac:dyDescent="0.25">
      <c r="G1501" s="10" t="str">
        <f t="shared" si="71"/>
        <v/>
      </c>
      <c r="H1501" t="str">
        <f t="shared" si="72"/>
        <v/>
      </c>
      <c r="M1501" s="34">
        <f t="shared" si="73"/>
        <v>0</v>
      </c>
    </row>
    <row r="1502" spans="7:13" x14ac:dyDescent="0.25">
      <c r="G1502" s="10" t="str">
        <f t="shared" si="71"/>
        <v/>
      </c>
      <c r="H1502" t="str">
        <f t="shared" si="72"/>
        <v/>
      </c>
      <c r="M1502" s="34">
        <f t="shared" si="73"/>
        <v>0</v>
      </c>
    </row>
    <row r="1503" spans="7:13" x14ac:dyDescent="0.25">
      <c r="G1503" s="10" t="str">
        <f t="shared" si="71"/>
        <v/>
      </c>
      <c r="H1503" t="str">
        <f t="shared" si="72"/>
        <v/>
      </c>
      <c r="M1503" s="34">
        <f t="shared" si="73"/>
        <v>0</v>
      </c>
    </row>
    <row r="1504" spans="7:13" x14ac:dyDescent="0.25">
      <c r="G1504" s="10" t="str">
        <f t="shared" si="71"/>
        <v/>
      </c>
      <c r="H1504" t="str">
        <f t="shared" si="72"/>
        <v/>
      </c>
      <c r="M1504" s="34">
        <f t="shared" si="73"/>
        <v>0</v>
      </c>
    </row>
    <row r="1505" spans="7:13" x14ac:dyDescent="0.25">
      <c r="G1505" s="10" t="str">
        <f t="shared" si="71"/>
        <v/>
      </c>
      <c r="H1505" t="str">
        <f t="shared" si="72"/>
        <v/>
      </c>
      <c r="M1505" s="34">
        <f t="shared" si="73"/>
        <v>0</v>
      </c>
    </row>
    <row r="1506" spans="7:13" x14ac:dyDescent="0.25">
      <c r="G1506" s="10" t="str">
        <f t="shared" si="71"/>
        <v/>
      </c>
      <c r="H1506" t="str">
        <f t="shared" si="72"/>
        <v/>
      </c>
      <c r="M1506" s="34">
        <f t="shared" si="73"/>
        <v>0</v>
      </c>
    </row>
    <row r="1507" spans="7:13" x14ac:dyDescent="0.25">
      <c r="G1507" s="10" t="str">
        <f t="shared" si="71"/>
        <v/>
      </c>
      <c r="H1507" t="str">
        <f t="shared" si="72"/>
        <v/>
      </c>
      <c r="M1507" s="34">
        <f t="shared" si="73"/>
        <v>0</v>
      </c>
    </row>
    <row r="1508" spans="7:13" x14ac:dyDescent="0.25">
      <c r="G1508" s="10" t="str">
        <f t="shared" si="71"/>
        <v/>
      </c>
      <c r="H1508" t="str">
        <f t="shared" si="72"/>
        <v/>
      </c>
      <c r="M1508" s="34">
        <f t="shared" si="73"/>
        <v>0</v>
      </c>
    </row>
    <row r="1509" spans="7:13" x14ac:dyDescent="0.25">
      <c r="G1509" s="10" t="str">
        <f t="shared" si="71"/>
        <v/>
      </c>
      <c r="H1509" t="str">
        <f t="shared" si="72"/>
        <v/>
      </c>
      <c r="M1509" s="34">
        <f t="shared" si="73"/>
        <v>0</v>
      </c>
    </row>
    <row r="1510" spans="7:13" x14ac:dyDescent="0.25">
      <c r="G1510" s="10" t="str">
        <f t="shared" si="71"/>
        <v/>
      </c>
      <c r="H1510" t="str">
        <f t="shared" si="72"/>
        <v/>
      </c>
      <c r="M1510" s="34">
        <f t="shared" si="73"/>
        <v>0</v>
      </c>
    </row>
    <row r="1511" spans="7:13" x14ac:dyDescent="0.25">
      <c r="G1511" s="10" t="str">
        <f t="shared" si="71"/>
        <v/>
      </c>
      <c r="H1511" t="str">
        <f t="shared" si="72"/>
        <v/>
      </c>
      <c r="M1511" s="34">
        <f t="shared" si="73"/>
        <v>0</v>
      </c>
    </row>
    <row r="1512" spans="7:13" x14ac:dyDescent="0.25">
      <c r="G1512" s="10" t="str">
        <f t="shared" si="71"/>
        <v/>
      </c>
      <c r="H1512" t="str">
        <f t="shared" si="72"/>
        <v/>
      </c>
      <c r="M1512" s="34">
        <f t="shared" si="73"/>
        <v>0</v>
      </c>
    </row>
    <row r="1513" spans="7:13" x14ac:dyDescent="0.25">
      <c r="G1513" s="10" t="str">
        <f t="shared" si="71"/>
        <v/>
      </c>
      <c r="H1513" t="str">
        <f t="shared" si="72"/>
        <v/>
      </c>
      <c r="M1513" s="34">
        <f t="shared" si="73"/>
        <v>0</v>
      </c>
    </row>
    <row r="1514" spans="7:13" x14ac:dyDescent="0.25">
      <c r="G1514" s="10" t="str">
        <f t="shared" si="71"/>
        <v/>
      </c>
      <c r="H1514" t="str">
        <f t="shared" si="72"/>
        <v/>
      </c>
      <c r="M1514" s="34">
        <f t="shared" si="73"/>
        <v>0</v>
      </c>
    </row>
    <row r="1515" spans="7:13" x14ac:dyDescent="0.25">
      <c r="G1515" s="10" t="str">
        <f t="shared" si="71"/>
        <v/>
      </c>
      <c r="H1515" t="str">
        <f t="shared" si="72"/>
        <v/>
      </c>
      <c r="M1515" s="34">
        <f t="shared" si="73"/>
        <v>0</v>
      </c>
    </row>
    <row r="1516" spans="7:13" x14ac:dyDescent="0.25">
      <c r="G1516" s="10" t="str">
        <f t="shared" si="71"/>
        <v/>
      </c>
      <c r="H1516" t="str">
        <f t="shared" si="72"/>
        <v/>
      </c>
      <c r="M1516" s="34">
        <f t="shared" si="73"/>
        <v>0</v>
      </c>
    </row>
    <row r="1517" spans="7:13" x14ac:dyDescent="0.25">
      <c r="G1517" s="10" t="str">
        <f t="shared" si="71"/>
        <v/>
      </c>
      <c r="H1517" t="str">
        <f t="shared" si="72"/>
        <v/>
      </c>
      <c r="M1517" s="34">
        <f t="shared" si="73"/>
        <v>0</v>
      </c>
    </row>
    <row r="1518" spans="7:13" x14ac:dyDescent="0.25">
      <c r="G1518" s="10" t="str">
        <f t="shared" si="71"/>
        <v/>
      </c>
      <c r="H1518" t="str">
        <f t="shared" si="72"/>
        <v/>
      </c>
      <c r="M1518" s="34">
        <f t="shared" si="73"/>
        <v>0</v>
      </c>
    </row>
    <row r="1519" spans="7:13" x14ac:dyDescent="0.25">
      <c r="G1519" s="10" t="str">
        <f t="shared" si="71"/>
        <v/>
      </c>
      <c r="H1519" t="str">
        <f t="shared" si="72"/>
        <v/>
      </c>
      <c r="M1519" s="34">
        <f t="shared" si="73"/>
        <v>0</v>
      </c>
    </row>
    <row r="1520" spans="7:13" x14ac:dyDescent="0.25">
      <c r="G1520" s="10" t="str">
        <f t="shared" si="71"/>
        <v/>
      </c>
      <c r="H1520" t="str">
        <f t="shared" si="72"/>
        <v/>
      </c>
      <c r="M1520" s="34">
        <f t="shared" si="73"/>
        <v>0</v>
      </c>
    </row>
    <row r="1521" spans="7:13" x14ac:dyDescent="0.25">
      <c r="G1521" s="10" t="str">
        <f t="shared" si="71"/>
        <v/>
      </c>
      <c r="H1521" t="str">
        <f t="shared" si="72"/>
        <v/>
      </c>
      <c r="M1521" s="34">
        <f t="shared" si="73"/>
        <v>0</v>
      </c>
    </row>
    <row r="1522" spans="7:13" x14ac:dyDescent="0.25">
      <c r="G1522" s="10" t="str">
        <f t="shared" si="71"/>
        <v/>
      </c>
      <c r="H1522" t="str">
        <f t="shared" si="72"/>
        <v/>
      </c>
      <c r="M1522" s="34">
        <f t="shared" si="73"/>
        <v>0</v>
      </c>
    </row>
    <row r="1523" spans="7:13" x14ac:dyDescent="0.25">
      <c r="G1523" s="10" t="str">
        <f t="shared" si="71"/>
        <v/>
      </c>
      <c r="H1523" t="str">
        <f t="shared" si="72"/>
        <v/>
      </c>
      <c r="M1523" s="34">
        <f t="shared" si="73"/>
        <v>0</v>
      </c>
    </row>
    <row r="1524" spans="7:13" x14ac:dyDescent="0.25">
      <c r="G1524" s="10" t="str">
        <f t="shared" si="71"/>
        <v/>
      </c>
      <c r="H1524" t="str">
        <f t="shared" si="72"/>
        <v/>
      </c>
      <c r="M1524" s="34">
        <f t="shared" si="73"/>
        <v>0</v>
      </c>
    </row>
    <row r="1525" spans="7:13" x14ac:dyDescent="0.25">
      <c r="G1525" s="10" t="str">
        <f t="shared" si="71"/>
        <v/>
      </c>
      <c r="H1525" t="str">
        <f t="shared" si="72"/>
        <v/>
      </c>
      <c r="M1525" s="34">
        <f t="shared" si="73"/>
        <v>0</v>
      </c>
    </row>
    <row r="1526" spans="7:13" x14ac:dyDescent="0.25">
      <c r="G1526" s="10" t="str">
        <f t="shared" si="71"/>
        <v/>
      </c>
      <c r="H1526" t="str">
        <f t="shared" si="72"/>
        <v/>
      </c>
      <c r="M1526" s="34">
        <f t="shared" si="73"/>
        <v>0</v>
      </c>
    </row>
    <row r="1527" spans="7:13" x14ac:dyDescent="0.25">
      <c r="G1527" s="10" t="str">
        <f t="shared" si="71"/>
        <v/>
      </c>
      <c r="H1527" t="str">
        <f t="shared" si="72"/>
        <v/>
      </c>
      <c r="M1527" s="34">
        <f t="shared" si="73"/>
        <v>0</v>
      </c>
    </row>
    <row r="1528" spans="7:13" x14ac:dyDescent="0.25">
      <c r="G1528" s="10" t="str">
        <f t="shared" si="71"/>
        <v/>
      </c>
      <c r="H1528" t="str">
        <f t="shared" si="72"/>
        <v/>
      </c>
      <c r="M1528" s="34">
        <f t="shared" si="73"/>
        <v>0</v>
      </c>
    </row>
    <row r="1529" spans="7:13" x14ac:dyDescent="0.25">
      <c r="G1529" s="10" t="str">
        <f t="shared" si="71"/>
        <v/>
      </c>
      <c r="H1529" t="str">
        <f t="shared" si="72"/>
        <v/>
      </c>
      <c r="M1529" s="34">
        <f t="shared" si="73"/>
        <v>0</v>
      </c>
    </row>
    <row r="1530" spans="7:13" x14ac:dyDescent="0.25">
      <c r="G1530" s="10" t="str">
        <f t="shared" si="71"/>
        <v/>
      </c>
      <c r="H1530" t="str">
        <f t="shared" si="72"/>
        <v/>
      </c>
      <c r="M1530" s="34">
        <f t="shared" si="73"/>
        <v>0</v>
      </c>
    </row>
    <row r="1531" spans="7:13" x14ac:dyDescent="0.25">
      <c r="G1531" s="10" t="str">
        <f t="shared" si="71"/>
        <v/>
      </c>
      <c r="H1531" t="str">
        <f t="shared" si="72"/>
        <v/>
      </c>
      <c r="M1531" s="34">
        <f t="shared" si="73"/>
        <v>0</v>
      </c>
    </row>
    <row r="1532" spans="7:13" x14ac:dyDescent="0.25">
      <c r="G1532" s="10" t="str">
        <f t="shared" si="71"/>
        <v/>
      </c>
      <c r="H1532" t="str">
        <f t="shared" si="72"/>
        <v/>
      </c>
      <c r="M1532" s="34">
        <f t="shared" si="73"/>
        <v>0</v>
      </c>
    </row>
    <row r="1533" spans="7:13" x14ac:dyDescent="0.25">
      <c r="G1533" s="10" t="str">
        <f t="shared" si="71"/>
        <v/>
      </c>
      <c r="H1533" t="str">
        <f t="shared" si="72"/>
        <v/>
      </c>
      <c r="M1533" s="34">
        <f t="shared" si="73"/>
        <v>0</v>
      </c>
    </row>
    <row r="1534" spans="7:13" x14ac:dyDescent="0.25">
      <c r="G1534" s="10" t="str">
        <f t="shared" si="71"/>
        <v/>
      </c>
      <c r="H1534" t="str">
        <f t="shared" si="72"/>
        <v/>
      </c>
      <c r="M1534" s="34">
        <f t="shared" si="73"/>
        <v>0</v>
      </c>
    </row>
    <row r="1535" spans="7:13" x14ac:dyDescent="0.25">
      <c r="G1535" s="10" t="str">
        <f t="shared" si="71"/>
        <v/>
      </c>
      <c r="H1535" t="str">
        <f t="shared" si="72"/>
        <v/>
      </c>
      <c r="M1535" s="34">
        <f t="shared" si="73"/>
        <v>0</v>
      </c>
    </row>
    <row r="1536" spans="7:13" x14ac:dyDescent="0.25">
      <c r="G1536" s="10" t="str">
        <f t="shared" si="71"/>
        <v/>
      </c>
      <c r="H1536" t="str">
        <f t="shared" si="72"/>
        <v/>
      </c>
      <c r="M1536" s="34">
        <f t="shared" si="73"/>
        <v>0</v>
      </c>
    </row>
    <row r="1537" spans="7:13" x14ac:dyDescent="0.25">
      <c r="G1537" s="10" t="str">
        <f t="shared" si="71"/>
        <v/>
      </c>
      <c r="H1537" t="str">
        <f t="shared" si="72"/>
        <v/>
      </c>
      <c r="M1537" s="34">
        <f t="shared" si="73"/>
        <v>0</v>
      </c>
    </row>
    <row r="1538" spans="7:13" x14ac:dyDescent="0.25">
      <c r="G1538" s="10" t="str">
        <f t="shared" ref="G1538:G1601" si="74">IF(F1538&gt;0,"RECETTE",IF(F1538&lt;0,"DÉPENSE",""))</f>
        <v/>
      </c>
      <c r="H1538" t="str">
        <f t="shared" ref="H1538:H1601" si="75">+IF(ISNUMBER(D1538),D1538,"")</f>
        <v/>
      </c>
      <c r="M1538" s="34">
        <f t="shared" si="73"/>
        <v>0</v>
      </c>
    </row>
    <row r="1539" spans="7:13" x14ac:dyDescent="0.25">
      <c r="G1539" s="10" t="str">
        <f t="shared" si="74"/>
        <v/>
      </c>
      <c r="H1539" t="str">
        <f t="shared" si="75"/>
        <v/>
      </c>
      <c r="M1539" s="34">
        <f t="shared" ref="M1539:M1602" si="76">IF(AND(E1539="Chèque",G1539="RECETTE"),F1539,0)</f>
        <v>0</v>
      </c>
    </row>
    <row r="1540" spans="7:13" x14ac:dyDescent="0.25">
      <c r="G1540" s="10" t="str">
        <f t="shared" si="74"/>
        <v/>
      </c>
      <c r="H1540" t="str">
        <f t="shared" si="75"/>
        <v/>
      </c>
      <c r="M1540" s="34">
        <f t="shared" si="76"/>
        <v>0</v>
      </c>
    </row>
    <row r="1541" spans="7:13" x14ac:dyDescent="0.25">
      <c r="G1541" s="10" t="str">
        <f t="shared" si="74"/>
        <v/>
      </c>
      <c r="H1541" t="str">
        <f t="shared" si="75"/>
        <v/>
      </c>
      <c r="M1541" s="34">
        <f t="shared" si="76"/>
        <v>0</v>
      </c>
    </row>
    <row r="1542" spans="7:13" x14ac:dyDescent="0.25">
      <c r="G1542" s="10" t="str">
        <f t="shared" si="74"/>
        <v/>
      </c>
      <c r="H1542" t="str">
        <f t="shared" si="75"/>
        <v/>
      </c>
      <c r="M1542" s="34">
        <f t="shared" si="76"/>
        <v>0</v>
      </c>
    </row>
    <row r="1543" spans="7:13" x14ac:dyDescent="0.25">
      <c r="G1543" s="10" t="str">
        <f t="shared" si="74"/>
        <v/>
      </c>
      <c r="H1543" t="str">
        <f t="shared" si="75"/>
        <v/>
      </c>
      <c r="M1543" s="34">
        <f t="shared" si="76"/>
        <v>0</v>
      </c>
    </row>
    <row r="1544" spans="7:13" x14ac:dyDescent="0.25">
      <c r="G1544" s="10" t="str">
        <f t="shared" si="74"/>
        <v/>
      </c>
      <c r="H1544" t="str">
        <f t="shared" si="75"/>
        <v/>
      </c>
      <c r="M1544" s="34">
        <f t="shared" si="76"/>
        <v>0</v>
      </c>
    </row>
    <row r="1545" spans="7:13" x14ac:dyDescent="0.25">
      <c r="G1545" s="10" t="str">
        <f t="shared" si="74"/>
        <v/>
      </c>
      <c r="H1545" t="str">
        <f t="shared" si="75"/>
        <v/>
      </c>
      <c r="M1545" s="34">
        <f t="shared" si="76"/>
        <v>0</v>
      </c>
    </row>
    <row r="1546" spans="7:13" x14ac:dyDescent="0.25">
      <c r="G1546" s="10" t="str">
        <f t="shared" si="74"/>
        <v/>
      </c>
      <c r="H1546" t="str">
        <f t="shared" si="75"/>
        <v/>
      </c>
      <c r="M1546" s="34">
        <f t="shared" si="76"/>
        <v>0</v>
      </c>
    </row>
    <row r="1547" spans="7:13" x14ac:dyDescent="0.25">
      <c r="G1547" s="10" t="str">
        <f t="shared" si="74"/>
        <v/>
      </c>
      <c r="H1547" t="str">
        <f t="shared" si="75"/>
        <v/>
      </c>
      <c r="M1547" s="34">
        <f t="shared" si="76"/>
        <v>0</v>
      </c>
    </row>
    <row r="1548" spans="7:13" x14ac:dyDescent="0.25">
      <c r="G1548" s="10" t="str">
        <f t="shared" si="74"/>
        <v/>
      </c>
      <c r="H1548" t="str">
        <f t="shared" si="75"/>
        <v/>
      </c>
      <c r="M1548" s="34">
        <f t="shared" si="76"/>
        <v>0</v>
      </c>
    </row>
    <row r="1549" spans="7:13" x14ac:dyDescent="0.25">
      <c r="G1549" s="10" t="str">
        <f t="shared" si="74"/>
        <v/>
      </c>
      <c r="H1549" t="str">
        <f t="shared" si="75"/>
        <v/>
      </c>
      <c r="M1549" s="34">
        <f t="shared" si="76"/>
        <v>0</v>
      </c>
    </row>
    <row r="1550" spans="7:13" x14ac:dyDescent="0.25">
      <c r="G1550" s="10" t="str">
        <f t="shared" si="74"/>
        <v/>
      </c>
      <c r="H1550" t="str">
        <f t="shared" si="75"/>
        <v/>
      </c>
      <c r="M1550" s="34">
        <f t="shared" si="76"/>
        <v>0</v>
      </c>
    </row>
    <row r="1551" spans="7:13" x14ac:dyDescent="0.25">
      <c r="G1551" s="10" t="str">
        <f t="shared" si="74"/>
        <v/>
      </c>
      <c r="H1551" t="str">
        <f t="shared" si="75"/>
        <v/>
      </c>
      <c r="M1551" s="34">
        <f t="shared" si="76"/>
        <v>0</v>
      </c>
    </row>
    <row r="1552" spans="7:13" x14ac:dyDescent="0.25">
      <c r="G1552" s="10" t="str">
        <f t="shared" si="74"/>
        <v/>
      </c>
      <c r="H1552" t="str">
        <f t="shared" si="75"/>
        <v/>
      </c>
      <c r="M1552" s="34">
        <f t="shared" si="76"/>
        <v>0</v>
      </c>
    </row>
    <row r="1553" spans="7:13" x14ac:dyDescent="0.25">
      <c r="G1553" s="10" t="str">
        <f t="shared" si="74"/>
        <v/>
      </c>
      <c r="H1553" t="str">
        <f t="shared" si="75"/>
        <v/>
      </c>
      <c r="M1553" s="34">
        <f t="shared" si="76"/>
        <v>0</v>
      </c>
    </row>
    <row r="1554" spans="7:13" x14ac:dyDescent="0.25">
      <c r="G1554" s="10" t="str">
        <f t="shared" si="74"/>
        <v/>
      </c>
      <c r="H1554" t="str">
        <f t="shared" si="75"/>
        <v/>
      </c>
      <c r="M1554" s="34">
        <f t="shared" si="76"/>
        <v>0</v>
      </c>
    </row>
    <row r="1555" spans="7:13" x14ac:dyDescent="0.25">
      <c r="G1555" s="10" t="str">
        <f t="shared" si="74"/>
        <v/>
      </c>
      <c r="H1555" t="str">
        <f t="shared" si="75"/>
        <v/>
      </c>
      <c r="M1555" s="34">
        <f t="shared" si="76"/>
        <v>0</v>
      </c>
    </row>
    <row r="1556" spans="7:13" x14ac:dyDescent="0.25">
      <c r="G1556" s="10" t="str">
        <f t="shared" si="74"/>
        <v/>
      </c>
      <c r="H1556" t="str">
        <f t="shared" si="75"/>
        <v/>
      </c>
      <c r="M1556" s="34">
        <f t="shared" si="76"/>
        <v>0</v>
      </c>
    </row>
    <row r="1557" spans="7:13" x14ac:dyDescent="0.25">
      <c r="G1557" s="10" t="str">
        <f t="shared" si="74"/>
        <v/>
      </c>
      <c r="H1557" t="str">
        <f t="shared" si="75"/>
        <v/>
      </c>
      <c r="M1557" s="34">
        <f t="shared" si="76"/>
        <v>0</v>
      </c>
    </row>
    <row r="1558" spans="7:13" x14ac:dyDescent="0.25">
      <c r="G1558" s="10" t="str">
        <f t="shared" si="74"/>
        <v/>
      </c>
      <c r="H1558" t="str">
        <f t="shared" si="75"/>
        <v/>
      </c>
      <c r="M1558" s="34">
        <f t="shared" si="76"/>
        <v>0</v>
      </c>
    </row>
    <row r="1559" spans="7:13" x14ac:dyDescent="0.25">
      <c r="G1559" s="10" t="str">
        <f t="shared" si="74"/>
        <v/>
      </c>
      <c r="H1559" t="str">
        <f t="shared" si="75"/>
        <v/>
      </c>
      <c r="M1559" s="34">
        <f t="shared" si="76"/>
        <v>0</v>
      </c>
    </row>
    <row r="1560" spans="7:13" x14ac:dyDescent="0.25">
      <c r="G1560" s="10" t="str">
        <f t="shared" si="74"/>
        <v/>
      </c>
      <c r="H1560" t="str">
        <f t="shared" si="75"/>
        <v/>
      </c>
      <c r="M1560" s="34">
        <f t="shared" si="76"/>
        <v>0</v>
      </c>
    </row>
    <row r="1561" spans="7:13" x14ac:dyDescent="0.25">
      <c r="G1561" s="10" t="str">
        <f t="shared" si="74"/>
        <v/>
      </c>
      <c r="H1561" t="str">
        <f t="shared" si="75"/>
        <v/>
      </c>
      <c r="M1561" s="34">
        <f t="shared" si="76"/>
        <v>0</v>
      </c>
    </row>
    <row r="1562" spans="7:13" x14ac:dyDescent="0.25">
      <c r="G1562" s="10" t="str">
        <f t="shared" si="74"/>
        <v/>
      </c>
      <c r="H1562" t="str">
        <f t="shared" si="75"/>
        <v/>
      </c>
      <c r="M1562" s="34">
        <f t="shared" si="76"/>
        <v>0</v>
      </c>
    </row>
    <row r="1563" spans="7:13" x14ac:dyDescent="0.25">
      <c r="G1563" s="10" t="str">
        <f t="shared" si="74"/>
        <v/>
      </c>
      <c r="H1563" t="str">
        <f t="shared" si="75"/>
        <v/>
      </c>
      <c r="M1563" s="34">
        <f t="shared" si="76"/>
        <v>0</v>
      </c>
    </row>
    <row r="1564" spans="7:13" x14ac:dyDescent="0.25">
      <c r="G1564" s="10" t="str">
        <f t="shared" si="74"/>
        <v/>
      </c>
      <c r="H1564" t="str">
        <f t="shared" si="75"/>
        <v/>
      </c>
      <c r="M1564" s="34">
        <f t="shared" si="76"/>
        <v>0</v>
      </c>
    </row>
    <row r="1565" spans="7:13" x14ac:dyDescent="0.25">
      <c r="G1565" s="10" t="str">
        <f t="shared" si="74"/>
        <v/>
      </c>
      <c r="H1565" t="str">
        <f t="shared" si="75"/>
        <v/>
      </c>
      <c r="M1565" s="34">
        <f t="shared" si="76"/>
        <v>0</v>
      </c>
    </row>
    <row r="1566" spans="7:13" x14ac:dyDescent="0.25">
      <c r="G1566" s="10" t="str">
        <f t="shared" si="74"/>
        <v/>
      </c>
      <c r="H1566" t="str">
        <f t="shared" si="75"/>
        <v/>
      </c>
      <c r="M1566" s="34">
        <f t="shared" si="76"/>
        <v>0</v>
      </c>
    </row>
    <row r="1567" spans="7:13" x14ac:dyDescent="0.25">
      <c r="G1567" s="10" t="str">
        <f t="shared" si="74"/>
        <v/>
      </c>
      <c r="H1567" t="str">
        <f t="shared" si="75"/>
        <v/>
      </c>
      <c r="M1567" s="34">
        <f t="shared" si="76"/>
        <v>0</v>
      </c>
    </row>
    <row r="1568" spans="7:13" x14ac:dyDescent="0.25">
      <c r="G1568" s="10" t="str">
        <f t="shared" si="74"/>
        <v/>
      </c>
      <c r="H1568" t="str">
        <f t="shared" si="75"/>
        <v/>
      </c>
      <c r="M1568" s="34">
        <f t="shared" si="76"/>
        <v>0</v>
      </c>
    </row>
    <row r="1569" spans="7:13" x14ac:dyDescent="0.25">
      <c r="G1569" s="10" t="str">
        <f t="shared" si="74"/>
        <v/>
      </c>
      <c r="H1569" t="str">
        <f t="shared" si="75"/>
        <v/>
      </c>
      <c r="M1569" s="34">
        <f t="shared" si="76"/>
        <v>0</v>
      </c>
    </row>
    <row r="1570" spans="7:13" x14ac:dyDescent="0.25">
      <c r="G1570" s="10" t="str">
        <f t="shared" si="74"/>
        <v/>
      </c>
      <c r="H1570" t="str">
        <f t="shared" si="75"/>
        <v/>
      </c>
      <c r="M1570" s="34">
        <f t="shared" si="76"/>
        <v>0</v>
      </c>
    </row>
    <row r="1571" spans="7:13" x14ac:dyDescent="0.25">
      <c r="G1571" s="10" t="str">
        <f t="shared" si="74"/>
        <v/>
      </c>
      <c r="H1571" t="str">
        <f t="shared" si="75"/>
        <v/>
      </c>
      <c r="M1571" s="34">
        <f t="shared" si="76"/>
        <v>0</v>
      </c>
    </row>
    <row r="1572" spans="7:13" x14ac:dyDescent="0.25">
      <c r="G1572" s="10" t="str">
        <f t="shared" si="74"/>
        <v/>
      </c>
      <c r="H1572" t="str">
        <f t="shared" si="75"/>
        <v/>
      </c>
      <c r="M1572" s="34">
        <f t="shared" si="76"/>
        <v>0</v>
      </c>
    </row>
    <row r="1573" spans="7:13" x14ac:dyDescent="0.25">
      <c r="G1573" s="10" t="str">
        <f t="shared" si="74"/>
        <v/>
      </c>
      <c r="H1573" t="str">
        <f t="shared" si="75"/>
        <v/>
      </c>
      <c r="M1573" s="34">
        <f t="shared" si="76"/>
        <v>0</v>
      </c>
    </row>
    <row r="1574" spans="7:13" x14ac:dyDescent="0.25">
      <c r="G1574" s="10" t="str">
        <f t="shared" si="74"/>
        <v/>
      </c>
      <c r="H1574" t="str">
        <f t="shared" si="75"/>
        <v/>
      </c>
      <c r="M1574" s="34">
        <f t="shared" si="76"/>
        <v>0</v>
      </c>
    </row>
    <row r="1575" spans="7:13" x14ac:dyDescent="0.25">
      <c r="G1575" s="10" t="str">
        <f t="shared" si="74"/>
        <v/>
      </c>
      <c r="H1575" t="str">
        <f t="shared" si="75"/>
        <v/>
      </c>
      <c r="M1575" s="34">
        <f t="shared" si="76"/>
        <v>0</v>
      </c>
    </row>
    <row r="1576" spans="7:13" x14ac:dyDescent="0.25">
      <c r="G1576" s="10" t="str">
        <f t="shared" si="74"/>
        <v/>
      </c>
      <c r="H1576" t="str">
        <f t="shared" si="75"/>
        <v/>
      </c>
      <c r="M1576" s="34">
        <f t="shared" si="76"/>
        <v>0</v>
      </c>
    </row>
    <row r="1577" spans="7:13" x14ac:dyDescent="0.25">
      <c r="G1577" s="10" t="str">
        <f t="shared" si="74"/>
        <v/>
      </c>
      <c r="H1577" t="str">
        <f t="shared" si="75"/>
        <v/>
      </c>
      <c r="M1577" s="34">
        <f t="shared" si="76"/>
        <v>0</v>
      </c>
    </row>
    <row r="1578" spans="7:13" x14ac:dyDescent="0.25">
      <c r="G1578" s="10" t="str">
        <f t="shared" si="74"/>
        <v/>
      </c>
      <c r="H1578" t="str">
        <f t="shared" si="75"/>
        <v/>
      </c>
      <c r="M1578" s="34">
        <f t="shared" si="76"/>
        <v>0</v>
      </c>
    </row>
    <row r="1579" spans="7:13" x14ac:dyDescent="0.25">
      <c r="G1579" s="10" t="str">
        <f t="shared" si="74"/>
        <v/>
      </c>
      <c r="H1579" t="str">
        <f t="shared" si="75"/>
        <v/>
      </c>
      <c r="M1579" s="34">
        <f t="shared" si="76"/>
        <v>0</v>
      </c>
    </row>
    <row r="1580" spans="7:13" x14ac:dyDescent="0.25">
      <c r="G1580" s="10" t="str">
        <f t="shared" si="74"/>
        <v/>
      </c>
      <c r="H1580" t="str">
        <f t="shared" si="75"/>
        <v/>
      </c>
      <c r="M1580" s="34">
        <f t="shared" si="76"/>
        <v>0</v>
      </c>
    </row>
    <row r="1581" spans="7:13" x14ac:dyDescent="0.25">
      <c r="G1581" s="10" t="str">
        <f t="shared" si="74"/>
        <v/>
      </c>
      <c r="H1581" t="str">
        <f t="shared" si="75"/>
        <v/>
      </c>
      <c r="M1581" s="34">
        <f t="shared" si="76"/>
        <v>0</v>
      </c>
    </row>
    <row r="1582" spans="7:13" x14ac:dyDescent="0.25">
      <c r="G1582" s="10" t="str">
        <f t="shared" si="74"/>
        <v/>
      </c>
      <c r="H1582" t="str">
        <f t="shared" si="75"/>
        <v/>
      </c>
      <c r="M1582" s="34">
        <f t="shared" si="76"/>
        <v>0</v>
      </c>
    </row>
    <row r="1583" spans="7:13" x14ac:dyDescent="0.25">
      <c r="G1583" s="10" t="str">
        <f t="shared" si="74"/>
        <v/>
      </c>
      <c r="H1583" t="str">
        <f t="shared" si="75"/>
        <v/>
      </c>
      <c r="M1583" s="34">
        <f t="shared" si="76"/>
        <v>0</v>
      </c>
    </row>
    <row r="1584" spans="7:13" x14ac:dyDescent="0.25">
      <c r="G1584" s="10" t="str">
        <f t="shared" si="74"/>
        <v/>
      </c>
      <c r="H1584" t="str">
        <f t="shared" si="75"/>
        <v/>
      </c>
      <c r="M1584" s="34">
        <f t="shared" si="76"/>
        <v>0</v>
      </c>
    </row>
    <row r="1585" spans="7:13" x14ac:dyDescent="0.25">
      <c r="G1585" s="10" t="str">
        <f t="shared" si="74"/>
        <v/>
      </c>
      <c r="H1585" t="str">
        <f t="shared" si="75"/>
        <v/>
      </c>
      <c r="M1585" s="34">
        <f t="shared" si="76"/>
        <v>0</v>
      </c>
    </row>
    <row r="1586" spans="7:13" x14ac:dyDescent="0.25">
      <c r="G1586" s="10" t="str">
        <f t="shared" si="74"/>
        <v/>
      </c>
      <c r="H1586" t="str">
        <f t="shared" si="75"/>
        <v/>
      </c>
      <c r="M1586" s="34">
        <f t="shared" si="76"/>
        <v>0</v>
      </c>
    </row>
    <row r="1587" spans="7:13" x14ac:dyDescent="0.25">
      <c r="G1587" s="10" t="str">
        <f t="shared" si="74"/>
        <v/>
      </c>
      <c r="H1587" t="str">
        <f t="shared" si="75"/>
        <v/>
      </c>
      <c r="M1587" s="34">
        <f t="shared" si="76"/>
        <v>0</v>
      </c>
    </row>
    <row r="1588" spans="7:13" x14ac:dyDescent="0.25">
      <c r="G1588" s="10" t="str">
        <f t="shared" si="74"/>
        <v/>
      </c>
      <c r="H1588" t="str">
        <f t="shared" si="75"/>
        <v/>
      </c>
      <c r="M1588" s="34">
        <f t="shared" si="76"/>
        <v>0</v>
      </c>
    </row>
    <row r="1589" spans="7:13" x14ac:dyDescent="0.25">
      <c r="G1589" s="10" t="str">
        <f t="shared" si="74"/>
        <v/>
      </c>
      <c r="H1589" t="str">
        <f t="shared" si="75"/>
        <v/>
      </c>
      <c r="M1589" s="34">
        <f t="shared" si="76"/>
        <v>0</v>
      </c>
    </row>
    <row r="1590" spans="7:13" x14ac:dyDescent="0.25">
      <c r="G1590" s="10" t="str">
        <f t="shared" si="74"/>
        <v/>
      </c>
      <c r="H1590" t="str">
        <f t="shared" si="75"/>
        <v/>
      </c>
      <c r="M1590" s="34">
        <f t="shared" si="76"/>
        <v>0</v>
      </c>
    </row>
    <row r="1591" spans="7:13" x14ac:dyDescent="0.25">
      <c r="G1591" s="10" t="str">
        <f t="shared" si="74"/>
        <v/>
      </c>
      <c r="H1591" t="str">
        <f t="shared" si="75"/>
        <v/>
      </c>
      <c r="M1591" s="34">
        <f t="shared" si="76"/>
        <v>0</v>
      </c>
    </row>
    <row r="1592" spans="7:13" x14ac:dyDescent="0.25">
      <c r="G1592" s="10" t="str">
        <f t="shared" si="74"/>
        <v/>
      </c>
      <c r="H1592" t="str">
        <f t="shared" si="75"/>
        <v/>
      </c>
      <c r="M1592" s="34">
        <f t="shared" si="76"/>
        <v>0</v>
      </c>
    </row>
    <row r="1593" spans="7:13" x14ac:dyDescent="0.25">
      <c r="G1593" s="10" t="str">
        <f t="shared" si="74"/>
        <v/>
      </c>
      <c r="H1593" t="str">
        <f t="shared" si="75"/>
        <v/>
      </c>
      <c r="M1593" s="34">
        <f t="shared" si="76"/>
        <v>0</v>
      </c>
    </row>
    <row r="1594" spans="7:13" x14ac:dyDescent="0.25">
      <c r="G1594" s="10" t="str">
        <f t="shared" si="74"/>
        <v/>
      </c>
      <c r="H1594" t="str">
        <f t="shared" si="75"/>
        <v/>
      </c>
      <c r="M1594" s="34">
        <f t="shared" si="76"/>
        <v>0</v>
      </c>
    </row>
    <row r="1595" spans="7:13" x14ac:dyDescent="0.25">
      <c r="G1595" s="10" t="str">
        <f t="shared" si="74"/>
        <v/>
      </c>
      <c r="H1595" t="str">
        <f t="shared" si="75"/>
        <v/>
      </c>
      <c r="M1595" s="34">
        <f t="shared" si="76"/>
        <v>0</v>
      </c>
    </row>
    <row r="1596" spans="7:13" x14ac:dyDescent="0.25">
      <c r="G1596" s="10" t="str">
        <f t="shared" si="74"/>
        <v/>
      </c>
      <c r="H1596" t="str">
        <f t="shared" si="75"/>
        <v/>
      </c>
      <c r="M1596" s="34">
        <f t="shared" si="76"/>
        <v>0</v>
      </c>
    </row>
    <row r="1597" spans="7:13" x14ac:dyDescent="0.25">
      <c r="G1597" s="10" t="str">
        <f t="shared" si="74"/>
        <v/>
      </c>
      <c r="H1597" t="str">
        <f t="shared" si="75"/>
        <v/>
      </c>
      <c r="M1597" s="34">
        <f t="shared" si="76"/>
        <v>0</v>
      </c>
    </row>
    <row r="1598" spans="7:13" x14ac:dyDescent="0.25">
      <c r="G1598" s="10" t="str">
        <f t="shared" si="74"/>
        <v/>
      </c>
      <c r="H1598" t="str">
        <f t="shared" si="75"/>
        <v/>
      </c>
      <c r="M1598" s="34">
        <f t="shared" si="76"/>
        <v>0</v>
      </c>
    </row>
    <row r="1599" spans="7:13" x14ac:dyDescent="0.25">
      <c r="G1599" s="10" t="str">
        <f t="shared" si="74"/>
        <v/>
      </c>
      <c r="H1599" t="str">
        <f t="shared" si="75"/>
        <v/>
      </c>
      <c r="M1599" s="34">
        <f t="shared" si="76"/>
        <v>0</v>
      </c>
    </row>
    <row r="1600" spans="7:13" x14ac:dyDescent="0.25">
      <c r="G1600" s="10" t="str">
        <f t="shared" si="74"/>
        <v/>
      </c>
      <c r="H1600" t="str">
        <f t="shared" si="75"/>
        <v/>
      </c>
      <c r="M1600" s="34">
        <f t="shared" si="76"/>
        <v>0</v>
      </c>
    </row>
    <row r="1601" spans="7:13" x14ac:dyDescent="0.25">
      <c r="G1601" s="10" t="str">
        <f t="shared" si="74"/>
        <v/>
      </c>
      <c r="H1601" t="str">
        <f t="shared" si="75"/>
        <v/>
      </c>
      <c r="M1601" s="34">
        <f t="shared" si="76"/>
        <v>0</v>
      </c>
    </row>
    <row r="1602" spans="7:13" x14ac:dyDescent="0.25">
      <c r="G1602" s="10" t="str">
        <f t="shared" ref="G1602:G1665" si="77">IF(F1602&gt;0,"RECETTE",IF(F1602&lt;0,"DÉPENSE",""))</f>
        <v/>
      </c>
      <c r="H1602" t="str">
        <f t="shared" ref="H1602:H1665" si="78">+IF(ISNUMBER(D1602),D1602,"")</f>
        <v/>
      </c>
      <c r="M1602" s="34">
        <f t="shared" si="76"/>
        <v>0</v>
      </c>
    </row>
    <row r="1603" spans="7:13" x14ac:dyDescent="0.25">
      <c r="G1603" s="10" t="str">
        <f t="shared" si="77"/>
        <v/>
      </c>
      <c r="H1603" t="str">
        <f t="shared" si="78"/>
        <v/>
      </c>
      <c r="M1603" s="34">
        <f t="shared" ref="M1603:M1666" si="79">IF(AND(E1603="Chèque",G1603="RECETTE"),F1603,0)</f>
        <v>0</v>
      </c>
    </row>
    <row r="1604" spans="7:13" x14ac:dyDescent="0.25">
      <c r="G1604" s="10" t="str">
        <f t="shared" si="77"/>
        <v/>
      </c>
      <c r="H1604" t="str">
        <f t="shared" si="78"/>
        <v/>
      </c>
      <c r="M1604" s="34">
        <f t="shared" si="79"/>
        <v>0</v>
      </c>
    </row>
    <row r="1605" spans="7:13" x14ac:dyDescent="0.25">
      <c r="G1605" s="10" t="str">
        <f t="shared" si="77"/>
        <v/>
      </c>
      <c r="H1605" t="str">
        <f t="shared" si="78"/>
        <v/>
      </c>
      <c r="M1605" s="34">
        <f t="shared" si="79"/>
        <v>0</v>
      </c>
    </row>
    <row r="1606" spans="7:13" x14ac:dyDescent="0.25">
      <c r="G1606" s="10" t="str">
        <f t="shared" si="77"/>
        <v/>
      </c>
      <c r="H1606" t="str">
        <f t="shared" si="78"/>
        <v/>
      </c>
      <c r="M1606" s="34">
        <f t="shared" si="79"/>
        <v>0</v>
      </c>
    </row>
    <row r="1607" spans="7:13" x14ac:dyDescent="0.25">
      <c r="G1607" s="10" t="str">
        <f t="shared" si="77"/>
        <v/>
      </c>
      <c r="H1607" t="str">
        <f t="shared" si="78"/>
        <v/>
      </c>
      <c r="M1607" s="34">
        <f t="shared" si="79"/>
        <v>0</v>
      </c>
    </row>
    <row r="1608" spans="7:13" x14ac:dyDescent="0.25">
      <c r="G1608" s="10" t="str">
        <f t="shared" si="77"/>
        <v/>
      </c>
      <c r="H1608" t="str">
        <f t="shared" si="78"/>
        <v/>
      </c>
      <c r="M1608" s="34">
        <f t="shared" si="79"/>
        <v>0</v>
      </c>
    </row>
    <row r="1609" spans="7:13" x14ac:dyDescent="0.25">
      <c r="G1609" s="10" t="str">
        <f t="shared" si="77"/>
        <v/>
      </c>
      <c r="H1609" t="str">
        <f t="shared" si="78"/>
        <v/>
      </c>
      <c r="M1609" s="34">
        <f t="shared" si="79"/>
        <v>0</v>
      </c>
    </row>
    <row r="1610" spans="7:13" x14ac:dyDescent="0.25">
      <c r="G1610" s="10" t="str">
        <f t="shared" si="77"/>
        <v/>
      </c>
      <c r="H1610" t="str">
        <f t="shared" si="78"/>
        <v/>
      </c>
      <c r="M1610" s="34">
        <f t="shared" si="79"/>
        <v>0</v>
      </c>
    </row>
    <row r="1611" spans="7:13" x14ac:dyDescent="0.25">
      <c r="G1611" s="10" t="str">
        <f t="shared" si="77"/>
        <v/>
      </c>
      <c r="H1611" t="str">
        <f t="shared" si="78"/>
        <v/>
      </c>
      <c r="M1611" s="34">
        <f t="shared" si="79"/>
        <v>0</v>
      </c>
    </row>
    <row r="1612" spans="7:13" x14ac:dyDescent="0.25">
      <c r="G1612" s="10" t="str">
        <f t="shared" si="77"/>
        <v/>
      </c>
      <c r="H1612" t="str">
        <f t="shared" si="78"/>
        <v/>
      </c>
      <c r="M1612" s="34">
        <f t="shared" si="79"/>
        <v>0</v>
      </c>
    </row>
    <row r="1613" spans="7:13" x14ac:dyDescent="0.25">
      <c r="G1613" s="10" t="str">
        <f t="shared" si="77"/>
        <v/>
      </c>
      <c r="H1613" t="str">
        <f t="shared" si="78"/>
        <v/>
      </c>
      <c r="M1613" s="34">
        <f t="shared" si="79"/>
        <v>0</v>
      </c>
    </row>
    <row r="1614" spans="7:13" x14ac:dyDescent="0.25">
      <c r="G1614" s="10" t="str">
        <f t="shared" si="77"/>
        <v/>
      </c>
      <c r="H1614" t="str">
        <f t="shared" si="78"/>
        <v/>
      </c>
      <c r="M1614" s="34">
        <f t="shared" si="79"/>
        <v>0</v>
      </c>
    </row>
    <row r="1615" spans="7:13" x14ac:dyDescent="0.25">
      <c r="G1615" s="10" t="str">
        <f t="shared" si="77"/>
        <v/>
      </c>
      <c r="H1615" t="str">
        <f t="shared" si="78"/>
        <v/>
      </c>
      <c r="M1615" s="34">
        <f t="shared" si="79"/>
        <v>0</v>
      </c>
    </row>
    <row r="1616" spans="7:13" x14ac:dyDescent="0.25">
      <c r="G1616" s="10" t="str">
        <f t="shared" si="77"/>
        <v/>
      </c>
      <c r="H1616" t="str">
        <f t="shared" si="78"/>
        <v/>
      </c>
      <c r="M1616" s="34">
        <f t="shared" si="79"/>
        <v>0</v>
      </c>
    </row>
    <row r="1617" spans="7:13" x14ac:dyDescent="0.25">
      <c r="G1617" s="10" t="str">
        <f t="shared" si="77"/>
        <v/>
      </c>
      <c r="H1617" t="str">
        <f t="shared" si="78"/>
        <v/>
      </c>
      <c r="M1617" s="34">
        <f t="shared" si="79"/>
        <v>0</v>
      </c>
    </row>
    <row r="1618" spans="7:13" x14ac:dyDescent="0.25">
      <c r="G1618" s="10" t="str">
        <f t="shared" si="77"/>
        <v/>
      </c>
      <c r="H1618" t="str">
        <f t="shared" si="78"/>
        <v/>
      </c>
      <c r="M1618" s="34">
        <f t="shared" si="79"/>
        <v>0</v>
      </c>
    </row>
    <row r="1619" spans="7:13" x14ac:dyDescent="0.25">
      <c r="G1619" s="10" t="str">
        <f t="shared" si="77"/>
        <v/>
      </c>
      <c r="H1619" t="str">
        <f t="shared" si="78"/>
        <v/>
      </c>
      <c r="M1619" s="34">
        <f t="shared" si="79"/>
        <v>0</v>
      </c>
    </row>
    <row r="1620" spans="7:13" x14ac:dyDescent="0.25">
      <c r="G1620" s="10" t="str">
        <f t="shared" si="77"/>
        <v/>
      </c>
      <c r="H1620" t="str">
        <f t="shared" si="78"/>
        <v/>
      </c>
      <c r="M1620" s="34">
        <f t="shared" si="79"/>
        <v>0</v>
      </c>
    </row>
    <row r="1621" spans="7:13" x14ac:dyDescent="0.25">
      <c r="G1621" s="10" t="str">
        <f t="shared" si="77"/>
        <v/>
      </c>
      <c r="H1621" t="str">
        <f t="shared" si="78"/>
        <v/>
      </c>
      <c r="M1621" s="34">
        <f t="shared" si="79"/>
        <v>0</v>
      </c>
    </row>
    <row r="1622" spans="7:13" x14ac:dyDescent="0.25">
      <c r="G1622" s="10" t="str">
        <f t="shared" si="77"/>
        <v/>
      </c>
      <c r="H1622" t="str">
        <f t="shared" si="78"/>
        <v/>
      </c>
      <c r="M1622" s="34">
        <f t="shared" si="79"/>
        <v>0</v>
      </c>
    </row>
    <row r="1623" spans="7:13" x14ac:dyDescent="0.25">
      <c r="G1623" s="10" t="str">
        <f t="shared" si="77"/>
        <v/>
      </c>
      <c r="H1623" t="str">
        <f t="shared" si="78"/>
        <v/>
      </c>
      <c r="M1623" s="34">
        <f t="shared" si="79"/>
        <v>0</v>
      </c>
    </row>
    <row r="1624" spans="7:13" x14ac:dyDescent="0.25">
      <c r="G1624" s="10" t="str">
        <f t="shared" si="77"/>
        <v/>
      </c>
      <c r="H1624" t="str">
        <f t="shared" si="78"/>
        <v/>
      </c>
      <c r="M1624" s="34">
        <f t="shared" si="79"/>
        <v>0</v>
      </c>
    </row>
    <row r="1625" spans="7:13" x14ac:dyDescent="0.25">
      <c r="G1625" s="10" t="str">
        <f t="shared" si="77"/>
        <v/>
      </c>
      <c r="H1625" t="str">
        <f t="shared" si="78"/>
        <v/>
      </c>
      <c r="M1625" s="34">
        <f t="shared" si="79"/>
        <v>0</v>
      </c>
    </row>
    <row r="1626" spans="7:13" x14ac:dyDescent="0.25">
      <c r="G1626" s="10" t="str">
        <f t="shared" si="77"/>
        <v/>
      </c>
      <c r="H1626" t="str">
        <f t="shared" si="78"/>
        <v/>
      </c>
      <c r="M1626" s="34">
        <f t="shared" si="79"/>
        <v>0</v>
      </c>
    </row>
    <row r="1627" spans="7:13" x14ac:dyDescent="0.25">
      <c r="G1627" s="10" t="str">
        <f t="shared" si="77"/>
        <v/>
      </c>
      <c r="H1627" t="str">
        <f t="shared" si="78"/>
        <v/>
      </c>
      <c r="M1627" s="34">
        <f t="shared" si="79"/>
        <v>0</v>
      </c>
    </row>
    <row r="1628" spans="7:13" x14ac:dyDescent="0.25">
      <c r="G1628" s="10" t="str">
        <f t="shared" si="77"/>
        <v/>
      </c>
      <c r="H1628" t="str">
        <f t="shared" si="78"/>
        <v/>
      </c>
      <c r="M1628" s="34">
        <f t="shared" si="79"/>
        <v>0</v>
      </c>
    </row>
    <row r="1629" spans="7:13" x14ac:dyDescent="0.25">
      <c r="G1629" s="10" t="str">
        <f t="shared" si="77"/>
        <v/>
      </c>
      <c r="H1629" t="str">
        <f t="shared" si="78"/>
        <v/>
      </c>
      <c r="M1629" s="34">
        <f t="shared" si="79"/>
        <v>0</v>
      </c>
    </row>
    <row r="1630" spans="7:13" x14ac:dyDescent="0.25">
      <c r="G1630" s="10" t="str">
        <f t="shared" si="77"/>
        <v/>
      </c>
      <c r="H1630" t="str">
        <f t="shared" si="78"/>
        <v/>
      </c>
      <c r="M1630" s="34">
        <f t="shared" si="79"/>
        <v>0</v>
      </c>
    </row>
    <row r="1631" spans="7:13" x14ac:dyDescent="0.25">
      <c r="G1631" s="10" t="str">
        <f t="shared" si="77"/>
        <v/>
      </c>
      <c r="H1631" t="str">
        <f t="shared" si="78"/>
        <v/>
      </c>
      <c r="M1631" s="34">
        <f t="shared" si="79"/>
        <v>0</v>
      </c>
    </row>
    <row r="1632" spans="7:13" x14ac:dyDescent="0.25">
      <c r="G1632" s="10" t="str">
        <f t="shared" si="77"/>
        <v/>
      </c>
      <c r="H1632" t="str">
        <f t="shared" si="78"/>
        <v/>
      </c>
      <c r="M1632" s="34">
        <f t="shared" si="79"/>
        <v>0</v>
      </c>
    </row>
    <row r="1633" spans="7:13" x14ac:dyDescent="0.25">
      <c r="G1633" s="10" t="str">
        <f t="shared" si="77"/>
        <v/>
      </c>
      <c r="H1633" t="str">
        <f t="shared" si="78"/>
        <v/>
      </c>
      <c r="M1633" s="34">
        <f t="shared" si="79"/>
        <v>0</v>
      </c>
    </row>
    <row r="1634" spans="7:13" x14ac:dyDescent="0.25">
      <c r="G1634" s="10" t="str">
        <f t="shared" si="77"/>
        <v/>
      </c>
      <c r="H1634" t="str">
        <f t="shared" si="78"/>
        <v/>
      </c>
      <c r="M1634" s="34">
        <f t="shared" si="79"/>
        <v>0</v>
      </c>
    </row>
    <row r="1635" spans="7:13" x14ac:dyDescent="0.25">
      <c r="G1635" s="10" t="str">
        <f t="shared" si="77"/>
        <v/>
      </c>
      <c r="H1635" t="str">
        <f t="shared" si="78"/>
        <v/>
      </c>
      <c r="M1635" s="34">
        <f t="shared" si="79"/>
        <v>0</v>
      </c>
    </row>
    <row r="1636" spans="7:13" x14ac:dyDescent="0.25">
      <c r="G1636" s="10" t="str">
        <f t="shared" si="77"/>
        <v/>
      </c>
      <c r="H1636" t="str">
        <f t="shared" si="78"/>
        <v/>
      </c>
      <c r="M1636" s="34">
        <f t="shared" si="79"/>
        <v>0</v>
      </c>
    </row>
    <row r="1637" spans="7:13" x14ac:dyDescent="0.25">
      <c r="G1637" s="10" t="str">
        <f t="shared" si="77"/>
        <v/>
      </c>
      <c r="H1637" t="str">
        <f t="shared" si="78"/>
        <v/>
      </c>
      <c r="M1637" s="34">
        <f t="shared" si="79"/>
        <v>0</v>
      </c>
    </row>
    <row r="1638" spans="7:13" x14ac:dyDescent="0.25">
      <c r="G1638" s="10" t="str">
        <f t="shared" si="77"/>
        <v/>
      </c>
      <c r="H1638" t="str">
        <f t="shared" si="78"/>
        <v/>
      </c>
      <c r="M1638" s="34">
        <f t="shared" si="79"/>
        <v>0</v>
      </c>
    </row>
    <row r="1639" spans="7:13" x14ac:dyDescent="0.25">
      <c r="G1639" s="10" t="str">
        <f t="shared" si="77"/>
        <v/>
      </c>
      <c r="H1639" t="str">
        <f t="shared" si="78"/>
        <v/>
      </c>
      <c r="M1639" s="34">
        <f t="shared" si="79"/>
        <v>0</v>
      </c>
    </row>
    <row r="1640" spans="7:13" x14ac:dyDescent="0.25">
      <c r="G1640" s="10" t="str">
        <f t="shared" si="77"/>
        <v/>
      </c>
      <c r="H1640" t="str">
        <f t="shared" si="78"/>
        <v/>
      </c>
      <c r="M1640" s="34">
        <f t="shared" si="79"/>
        <v>0</v>
      </c>
    </row>
    <row r="1641" spans="7:13" x14ac:dyDescent="0.25">
      <c r="G1641" s="10" t="str">
        <f t="shared" si="77"/>
        <v/>
      </c>
      <c r="H1641" t="str">
        <f t="shared" si="78"/>
        <v/>
      </c>
      <c r="M1641" s="34">
        <f t="shared" si="79"/>
        <v>0</v>
      </c>
    </row>
    <row r="1642" spans="7:13" x14ac:dyDescent="0.25">
      <c r="G1642" s="10" t="str">
        <f t="shared" si="77"/>
        <v/>
      </c>
      <c r="H1642" t="str">
        <f t="shared" si="78"/>
        <v/>
      </c>
      <c r="M1642" s="34">
        <f t="shared" si="79"/>
        <v>0</v>
      </c>
    </row>
    <row r="1643" spans="7:13" x14ac:dyDescent="0.25">
      <c r="G1643" s="10" t="str">
        <f t="shared" si="77"/>
        <v/>
      </c>
      <c r="H1643" t="str">
        <f t="shared" si="78"/>
        <v/>
      </c>
      <c r="M1643" s="34">
        <f t="shared" si="79"/>
        <v>0</v>
      </c>
    </row>
    <row r="1644" spans="7:13" x14ac:dyDescent="0.25">
      <c r="G1644" s="10" t="str">
        <f t="shared" si="77"/>
        <v/>
      </c>
      <c r="H1644" t="str">
        <f t="shared" si="78"/>
        <v/>
      </c>
      <c r="M1644" s="34">
        <f t="shared" si="79"/>
        <v>0</v>
      </c>
    </row>
    <row r="1645" spans="7:13" x14ac:dyDescent="0.25">
      <c r="G1645" s="10" t="str">
        <f t="shared" si="77"/>
        <v/>
      </c>
      <c r="H1645" t="str">
        <f t="shared" si="78"/>
        <v/>
      </c>
      <c r="M1645" s="34">
        <f t="shared" si="79"/>
        <v>0</v>
      </c>
    </row>
    <row r="1646" spans="7:13" x14ac:dyDescent="0.25">
      <c r="G1646" s="10" t="str">
        <f t="shared" si="77"/>
        <v/>
      </c>
      <c r="H1646" t="str">
        <f t="shared" si="78"/>
        <v/>
      </c>
      <c r="M1646" s="34">
        <f t="shared" si="79"/>
        <v>0</v>
      </c>
    </row>
    <row r="1647" spans="7:13" x14ac:dyDescent="0.25">
      <c r="G1647" s="10" t="str">
        <f t="shared" si="77"/>
        <v/>
      </c>
      <c r="H1647" t="str">
        <f t="shared" si="78"/>
        <v/>
      </c>
      <c r="M1647" s="34">
        <f t="shared" si="79"/>
        <v>0</v>
      </c>
    </row>
    <row r="1648" spans="7:13" x14ac:dyDescent="0.25">
      <c r="G1648" s="10" t="str">
        <f t="shared" si="77"/>
        <v/>
      </c>
      <c r="H1648" t="str">
        <f t="shared" si="78"/>
        <v/>
      </c>
      <c r="M1648" s="34">
        <f t="shared" si="79"/>
        <v>0</v>
      </c>
    </row>
    <row r="1649" spans="7:13" x14ac:dyDescent="0.25">
      <c r="G1649" s="10" t="str">
        <f t="shared" si="77"/>
        <v/>
      </c>
      <c r="H1649" t="str">
        <f t="shared" si="78"/>
        <v/>
      </c>
      <c r="M1649" s="34">
        <f t="shared" si="79"/>
        <v>0</v>
      </c>
    </row>
    <row r="1650" spans="7:13" x14ac:dyDescent="0.25">
      <c r="G1650" s="10" t="str">
        <f t="shared" si="77"/>
        <v/>
      </c>
      <c r="H1650" t="str">
        <f t="shared" si="78"/>
        <v/>
      </c>
      <c r="M1650" s="34">
        <f t="shared" si="79"/>
        <v>0</v>
      </c>
    </row>
    <row r="1651" spans="7:13" x14ac:dyDescent="0.25">
      <c r="G1651" s="10" t="str">
        <f t="shared" si="77"/>
        <v/>
      </c>
      <c r="H1651" t="str">
        <f t="shared" si="78"/>
        <v/>
      </c>
      <c r="M1651" s="34">
        <f t="shared" si="79"/>
        <v>0</v>
      </c>
    </row>
    <row r="1652" spans="7:13" x14ac:dyDescent="0.25">
      <c r="G1652" s="10" t="str">
        <f t="shared" si="77"/>
        <v/>
      </c>
      <c r="H1652" t="str">
        <f t="shared" si="78"/>
        <v/>
      </c>
      <c r="M1652" s="34">
        <f t="shared" si="79"/>
        <v>0</v>
      </c>
    </row>
    <row r="1653" spans="7:13" x14ac:dyDescent="0.25">
      <c r="G1653" s="10" t="str">
        <f t="shared" si="77"/>
        <v/>
      </c>
      <c r="H1653" t="str">
        <f t="shared" si="78"/>
        <v/>
      </c>
      <c r="M1653" s="34">
        <f t="shared" si="79"/>
        <v>0</v>
      </c>
    </row>
    <row r="1654" spans="7:13" x14ac:dyDescent="0.25">
      <c r="G1654" s="10" t="str">
        <f t="shared" si="77"/>
        <v/>
      </c>
      <c r="H1654" t="str">
        <f t="shared" si="78"/>
        <v/>
      </c>
      <c r="M1654" s="34">
        <f t="shared" si="79"/>
        <v>0</v>
      </c>
    </row>
    <row r="1655" spans="7:13" x14ac:dyDescent="0.25">
      <c r="G1655" s="10" t="str">
        <f t="shared" si="77"/>
        <v/>
      </c>
      <c r="H1655" t="str">
        <f t="shared" si="78"/>
        <v/>
      </c>
      <c r="M1655" s="34">
        <f t="shared" si="79"/>
        <v>0</v>
      </c>
    </row>
    <row r="1656" spans="7:13" x14ac:dyDescent="0.25">
      <c r="G1656" s="10" t="str">
        <f t="shared" si="77"/>
        <v/>
      </c>
      <c r="H1656" t="str">
        <f t="shared" si="78"/>
        <v/>
      </c>
      <c r="M1656" s="34">
        <f t="shared" si="79"/>
        <v>0</v>
      </c>
    </row>
    <row r="1657" spans="7:13" x14ac:dyDescent="0.25">
      <c r="G1657" s="10" t="str">
        <f t="shared" si="77"/>
        <v/>
      </c>
      <c r="H1657" t="str">
        <f t="shared" si="78"/>
        <v/>
      </c>
      <c r="M1657" s="34">
        <f t="shared" si="79"/>
        <v>0</v>
      </c>
    </row>
    <row r="1658" spans="7:13" x14ac:dyDescent="0.25">
      <c r="G1658" s="10" t="str">
        <f t="shared" si="77"/>
        <v/>
      </c>
      <c r="H1658" t="str">
        <f t="shared" si="78"/>
        <v/>
      </c>
      <c r="M1658" s="34">
        <f t="shared" si="79"/>
        <v>0</v>
      </c>
    </row>
    <row r="1659" spans="7:13" x14ac:dyDescent="0.25">
      <c r="G1659" s="10" t="str">
        <f t="shared" si="77"/>
        <v/>
      </c>
      <c r="H1659" t="str">
        <f t="shared" si="78"/>
        <v/>
      </c>
      <c r="M1659" s="34">
        <f t="shared" si="79"/>
        <v>0</v>
      </c>
    </row>
    <row r="1660" spans="7:13" x14ac:dyDescent="0.25">
      <c r="G1660" s="10" t="str">
        <f t="shared" si="77"/>
        <v/>
      </c>
      <c r="H1660" t="str">
        <f t="shared" si="78"/>
        <v/>
      </c>
      <c r="M1660" s="34">
        <f t="shared" si="79"/>
        <v>0</v>
      </c>
    </row>
    <row r="1661" spans="7:13" x14ac:dyDescent="0.25">
      <c r="G1661" s="10" t="str">
        <f t="shared" si="77"/>
        <v/>
      </c>
      <c r="H1661" t="str">
        <f t="shared" si="78"/>
        <v/>
      </c>
      <c r="M1661" s="34">
        <f t="shared" si="79"/>
        <v>0</v>
      </c>
    </row>
    <row r="1662" spans="7:13" x14ac:dyDescent="0.25">
      <c r="G1662" s="10" t="str">
        <f t="shared" si="77"/>
        <v/>
      </c>
      <c r="H1662" t="str">
        <f t="shared" si="78"/>
        <v/>
      </c>
      <c r="M1662" s="34">
        <f t="shared" si="79"/>
        <v>0</v>
      </c>
    </row>
    <row r="1663" spans="7:13" x14ac:dyDescent="0.25">
      <c r="G1663" s="10" t="str">
        <f t="shared" si="77"/>
        <v/>
      </c>
      <c r="H1663" t="str">
        <f t="shared" si="78"/>
        <v/>
      </c>
      <c r="M1663" s="34">
        <f t="shared" si="79"/>
        <v>0</v>
      </c>
    </row>
    <row r="1664" spans="7:13" x14ac:dyDescent="0.25">
      <c r="G1664" s="10" t="str">
        <f t="shared" si="77"/>
        <v/>
      </c>
      <c r="H1664" t="str">
        <f t="shared" si="78"/>
        <v/>
      </c>
      <c r="M1664" s="34">
        <f t="shared" si="79"/>
        <v>0</v>
      </c>
    </row>
    <row r="1665" spans="7:13" x14ac:dyDescent="0.25">
      <c r="G1665" s="10" t="str">
        <f t="shared" si="77"/>
        <v/>
      </c>
      <c r="H1665" t="str">
        <f t="shared" si="78"/>
        <v/>
      </c>
      <c r="M1665" s="34">
        <f t="shared" si="79"/>
        <v>0</v>
      </c>
    </row>
    <row r="1666" spans="7:13" x14ac:dyDescent="0.25">
      <c r="G1666" s="10" t="str">
        <f t="shared" ref="G1666:G1729" si="80">IF(F1666&gt;0,"RECETTE",IF(F1666&lt;0,"DÉPENSE",""))</f>
        <v/>
      </c>
      <c r="H1666" t="str">
        <f t="shared" ref="H1666:H1729" si="81">+IF(ISNUMBER(D1666),D1666,"")</f>
        <v/>
      </c>
      <c r="M1666" s="34">
        <f t="shared" si="79"/>
        <v>0</v>
      </c>
    </row>
    <row r="1667" spans="7:13" x14ac:dyDescent="0.25">
      <c r="G1667" s="10" t="str">
        <f t="shared" si="80"/>
        <v/>
      </c>
      <c r="H1667" t="str">
        <f t="shared" si="81"/>
        <v/>
      </c>
      <c r="M1667" s="34">
        <f t="shared" ref="M1667:M1730" si="82">IF(AND(E1667="Chèque",G1667="RECETTE"),F1667,0)</f>
        <v>0</v>
      </c>
    </row>
    <row r="1668" spans="7:13" x14ac:dyDescent="0.25">
      <c r="G1668" s="10" t="str">
        <f t="shared" si="80"/>
        <v/>
      </c>
      <c r="H1668" t="str">
        <f t="shared" si="81"/>
        <v/>
      </c>
      <c r="M1668" s="34">
        <f t="shared" si="82"/>
        <v>0</v>
      </c>
    </row>
    <row r="1669" spans="7:13" x14ac:dyDescent="0.25">
      <c r="G1669" s="10" t="str">
        <f t="shared" si="80"/>
        <v/>
      </c>
      <c r="H1669" t="str">
        <f t="shared" si="81"/>
        <v/>
      </c>
      <c r="M1669" s="34">
        <f t="shared" si="82"/>
        <v>0</v>
      </c>
    </row>
    <row r="1670" spans="7:13" x14ac:dyDescent="0.25">
      <c r="G1670" s="10" t="str">
        <f t="shared" si="80"/>
        <v/>
      </c>
      <c r="H1670" t="str">
        <f t="shared" si="81"/>
        <v/>
      </c>
      <c r="M1670" s="34">
        <f t="shared" si="82"/>
        <v>0</v>
      </c>
    </row>
    <row r="1671" spans="7:13" x14ac:dyDescent="0.25">
      <c r="G1671" s="10" t="str">
        <f t="shared" si="80"/>
        <v/>
      </c>
      <c r="H1671" t="str">
        <f t="shared" si="81"/>
        <v/>
      </c>
      <c r="M1671" s="34">
        <f t="shared" si="82"/>
        <v>0</v>
      </c>
    </row>
    <row r="1672" spans="7:13" x14ac:dyDescent="0.25">
      <c r="G1672" s="10" t="str">
        <f t="shared" si="80"/>
        <v/>
      </c>
      <c r="H1672" t="str">
        <f t="shared" si="81"/>
        <v/>
      </c>
      <c r="M1672" s="34">
        <f t="shared" si="82"/>
        <v>0</v>
      </c>
    </row>
    <row r="1673" spans="7:13" x14ac:dyDescent="0.25">
      <c r="G1673" s="10" t="str">
        <f t="shared" si="80"/>
        <v/>
      </c>
      <c r="H1673" t="str">
        <f t="shared" si="81"/>
        <v/>
      </c>
      <c r="M1673" s="34">
        <f t="shared" si="82"/>
        <v>0</v>
      </c>
    </row>
    <row r="1674" spans="7:13" x14ac:dyDescent="0.25">
      <c r="G1674" s="10" t="str">
        <f t="shared" si="80"/>
        <v/>
      </c>
      <c r="H1674" t="str">
        <f t="shared" si="81"/>
        <v/>
      </c>
      <c r="M1674" s="34">
        <f t="shared" si="82"/>
        <v>0</v>
      </c>
    </row>
    <row r="1675" spans="7:13" x14ac:dyDescent="0.25">
      <c r="G1675" s="10" t="str">
        <f t="shared" si="80"/>
        <v/>
      </c>
      <c r="H1675" t="str">
        <f t="shared" si="81"/>
        <v/>
      </c>
      <c r="M1675" s="34">
        <f t="shared" si="82"/>
        <v>0</v>
      </c>
    </row>
    <row r="1676" spans="7:13" x14ac:dyDescent="0.25">
      <c r="G1676" s="10" t="str">
        <f t="shared" si="80"/>
        <v/>
      </c>
      <c r="H1676" t="str">
        <f t="shared" si="81"/>
        <v/>
      </c>
      <c r="M1676" s="34">
        <f t="shared" si="82"/>
        <v>0</v>
      </c>
    </row>
    <row r="1677" spans="7:13" x14ac:dyDescent="0.25">
      <c r="G1677" s="10" t="str">
        <f t="shared" si="80"/>
        <v/>
      </c>
      <c r="H1677" t="str">
        <f t="shared" si="81"/>
        <v/>
      </c>
      <c r="M1677" s="34">
        <f t="shared" si="82"/>
        <v>0</v>
      </c>
    </row>
    <row r="1678" spans="7:13" x14ac:dyDescent="0.25">
      <c r="G1678" s="10" t="str">
        <f t="shared" si="80"/>
        <v/>
      </c>
      <c r="H1678" t="str">
        <f t="shared" si="81"/>
        <v/>
      </c>
      <c r="M1678" s="34">
        <f t="shared" si="82"/>
        <v>0</v>
      </c>
    </row>
    <row r="1679" spans="7:13" x14ac:dyDescent="0.25">
      <c r="G1679" s="10" t="str">
        <f t="shared" si="80"/>
        <v/>
      </c>
      <c r="H1679" t="str">
        <f t="shared" si="81"/>
        <v/>
      </c>
      <c r="M1679" s="34">
        <f t="shared" si="82"/>
        <v>0</v>
      </c>
    </row>
    <row r="1680" spans="7:13" x14ac:dyDescent="0.25">
      <c r="G1680" s="10" t="str">
        <f t="shared" si="80"/>
        <v/>
      </c>
      <c r="H1680" t="str">
        <f t="shared" si="81"/>
        <v/>
      </c>
      <c r="M1680" s="34">
        <f t="shared" si="82"/>
        <v>0</v>
      </c>
    </row>
    <row r="1681" spans="7:13" x14ac:dyDescent="0.25">
      <c r="G1681" s="10" t="str">
        <f t="shared" si="80"/>
        <v/>
      </c>
      <c r="H1681" t="str">
        <f t="shared" si="81"/>
        <v/>
      </c>
      <c r="M1681" s="34">
        <f t="shared" si="82"/>
        <v>0</v>
      </c>
    </row>
    <row r="1682" spans="7:13" x14ac:dyDescent="0.25">
      <c r="G1682" s="10" t="str">
        <f t="shared" si="80"/>
        <v/>
      </c>
      <c r="H1682" t="str">
        <f t="shared" si="81"/>
        <v/>
      </c>
      <c r="M1682" s="34">
        <f t="shared" si="82"/>
        <v>0</v>
      </c>
    </row>
    <row r="1683" spans="7:13" x14ac:dyDescent="0.25">
      <c r="G1683" s="10" t="str">
        <f t="shared" si="80"/>
        <v/>
      </c>
      <c r="H1683" t="str">
        <f t="shared" si="81"/>
        <v/>
      </c>
      <c r="M1683" s="34">
        <f t="shared" si="82"/>
        <v>0</v>
      </c>
    </row>
    <row r="1684" spans="7:13" x14ac:dyDescent="0.25">
      <c r="G1684" s="10" t="str">
        <f t="shared" si="80"/>
        <v/>
      </c>
      <c r="H1684" t="str">
        <f t="shared" si="81"/>
        <v/>
      </c>
      <c r="M1684" s="34">
        <f t="shared" si="82"/>
        <v>0</v>
      </c>
    </row>
    <row r="1685" spans="7:13" x14ac:dyDescent="0.25">
      <c r="G1685" s="10" t="str">
        <f t="shared" si="80"/>
        <v/>
      </c>
      <c r="H1685" t="str">
        <f t="shared" si="81"/>
        <v/>
      </c>
      <c r="M1685" s="34">
        <f t="shared" si="82"/>
        <v>0</v>
      </c>
    </row>
    <row r="1686" spans="7:13" x14ac:dyDescent="0.25">
      <c r="G1686" s="10" t="str">
        <f t="shared" si="80"/>
        <v/>
      </c>
      <c r="H1686" t="str">
        <f t="shared" si="81"/>
        <v/>
      </c>
      <c r="M1686" s="34">
        <f t="shared" si="82"/>
        <v>0</v>
      </c>
    </row>
    <row r="1687" spans="7:13" x14ac:dyDescent="0.25">
      <c r="G1687" s="10" t="str">
        <f t="shared" si="80"/>
        <v/>
      </c>
      <c r="H1687" t="str">
        <f t="shared" si="81"/>
        <v/>
      </c>
      <c r="M1687" s="34">
        <f t="shared" si="82"/>
        <v>0</v>
      </c>
    </row>
    <row r="1688" spans="7:13" x14ac:dyDescent="0.25">
      <c r="G1688" s="10" t="str">
        <f t="shared" si="80"/>
        <v/>
      </c>
      <c r="H1688" t="str">
        <f t="shared" si="81"/>
        <v/>
      </c>
      <c r="M1688" s="34">
        <f t="shared" si="82"/>
        <v>0</v>
      </c>
    </row>
    <row r="1689" spans="7:13" x14ac:dyDescent="0.25">
      <c r="G1689" s="10" t="str">
        <f t="shared" si="80"/>
        <v/>
      </c>
      <c r="H1689" t="str">
        <f t="shared" si="81"/>
        <v/>
      </c>
      <c r="M1689" s="34">
        <f t="shared" si="82"/>
        <v>0</v>
      </c>
    </row>
    <row r="1690" spans="7:13" x14ac:dyDescent="0.25">
      <c r="G1690" s="10" t="str">
        <f t="shared" si="80"/>
        <v/>
      </c>
      <c r="H1690" t="str">
        <f t="shared" si="81"/>
        <v/>
      </c>
      <c r="M1690" s="34">
        <f t="shared" si="82"/>
        <v>0</v>
      </c>
    </row>
    <row r="1691" spans="7:13" x14ac:dyDescent="0.25">
      <c r="G1691" s="10" t="str">
        <f t="shared" si="80"/>
        <v/>
      </c>
      <c r="H1691" t="str">
        <f t="shared" si="81"/>
        <v/>
      </c>
      <c r="M1691" s="34">
        <f t="shared" si="82"/>
        <v>0</v>
      </c>
    </row>
    <row r="1692" spans="7:13" x14ac:dyDescent="0.25">
      <c r="G1692" s="10" t="str">
        <f t="shared" si="80"/>
        <v/>
      </c>
      <c r="H1692" t="str">
        <f t="shared" si="81"/>
        <v/>
      </c>
      <c r="M1692" s="34">
        <f t="shared" si="82"/>
        <v>0</v>
      </c>
    </row>
    <row r="1693" spans="7:13" x14ac:dyDescent="0.25">
      <c r="G1693" s="10" t="str">
        <f t="shared" si="80"/>
        <v/>
      </c>
      <c r="H1693" t="str">
        <f t="shared" si="81"/>
        <v/>
      </c>
      <c r="M1693" s="34">
        <f t="shared" si="82"/>
        <v>0</v>
      </c>
    </row>
    <row r="1694" spans="7:13" x14ac:dyDescent="0.25">
      <c r="G1694" s="10" t="str">
        <f t="shared" si="80"/>
        <v/>
      </c>
      <c r="H1694" t="str">
        <f t="shared" si="81"/>
        <v/>
      </c>
      <c r="M1694" s="34">
        <f t="shared" si="82"/>
        <v>0</v>
      </c>
    </row>
    <row r="1695" spans="7:13" x14ac:dyDescent="0.25">
      <c r="G1695" s="10" t="str">
        <f t="shared" si="80"/>
        <v/>
      </c>
      <c r="H1695" t="str">
        <f t="shared" si="81"/>
        <v/>
      </c>
      <c r="M1695" s="34">
        <f t="shared" si="82"/>
        <v>0</v>
      </c>
    </row>
    <row r="1696" spans="7:13" x14ac:dyDescent="0.25">
      <c r="G1696" s="10" t="str">
        <f t="shared" si="80"/>
        <v/>
      </c>
      <c r="H1696" t="str">
        <f t="shared" si="81"/>
        <v/>
      </c>
      <c r="M1696" s="34">
        <f t="shared" si="82"/>
        <v>0</v>
      </c>
    </row>
    <row r="1697" spans="7:13" x14ac:dyDescent="0.25">
      <c r="G1697" s="10" t="str">
        <f t="shared" si="80"/>
        <v/>
      </c>
      <c r="H1697" t="str">
        <f t="shared" si="81"/>
        <v/>
      </c>
      <c r="M1697" s="34">
        <f t="shared" si="82"/>
        <v>0</v>
      </c>
    </row>
    <row r="1698" spans="7:13" x14ac:dyDescent="0.25">
      <c r="G1698" s="10" t="str">
        <f t="shared" si="80"/>
        <v/>
      </c>
      <c r="H1698" t="str">
        <f t="shared" si="81"/>
        <v/>
      </c>
      <c r="M1698" s="34">
        <f t="shared" si="82"/>
        <v>0</v>
      </c>
    </row>
    <row r="1699" spans="7:13" x14ac:dyDescent="0.25">
      <c r="G1699" s="10" t="str">
        <f t="shared" si="80"/>
        <v/>
      </c>
      <c r="H1699" t="str">
        <f t="shared" si="81"/>
        <v/>
      </c>
      <c r="M1699" s="34">
        <f t="shared" si="82"/>
        <v>0</v>
      </c>
    </row>
    <row r="1700" spans="7:13" x14ac:dyDescent="0.25">
      <c r="G1700" s="10" t="str">
        <f t="shared" si="80"/>
        <v/>
      </c>
      <c r="H1700" t="str">
        <f t="shared" si="81"/>
        <v/>
      </c>
      <c r="M1700" s="34">
        <f t="shared" si="82"/>
        <v>0</v>
      </c>
    </row>
    <row r="1701" spans="7:13" x14ac:dyDescent="0.25">
      <c r="G1701" s="10" t="str">
        <f t="shared" si="80"/>
        <v/>
      </c>
      <c r="H1701" t="str">
        <f t="shared" si="81"/>
        <v/>
      </c>
      <c r="M1701" s="34">
        <f t="shared" si="82"/>
        <v>0</v>
      </c>
    </row>
    <row r="1702" spans="7:13" x14ac:dyDescent="0.25">
      <c r="G1702" s="10" t="str">
        <f t="shared" si="80"/>
        <v/>
      </c>
      <c r="H1702" t="str">
        <f t="shared" si="81"/>
        <v/>
      </c>
      <c r="M1702" s="34">
        <f t="shared" si="82"/>
        <v>0</v>
      </c>
    </row>
    <row r="1703" spans="7:13" x14ac:dyDescent="0.25">
      <c r="G1703" s="10" t="str">
        <f t="shared" si="80"/>
        <v/>
      </c>
      <c r="H1703" t="str">
        <f t="shared" si="81"/>
        <v/>
      </c>
      <c r="M1703" s="34">
        <f t="shared" si="82"/>
        <v>0</v>
      </c>
    </row>
    <row r="1704" spans="7:13" x14ac:dyDescent="0.25">
      <c r="G1704" s="10" t="str">
        <f t="shared" si="80"/>
        <v/>
      </c>
      <c r="H1704" t="str">
        <f t="shared" si="81"/>
        <v/>
      </c>
      <c r="M1704" s="34">
        <f t="shared" si="82"/>
        <v>0</v>
      </c>
    </row>
    <row r="1705" spans="7:13" x14ac:dyDescent="0.25">
      <c r="G1705" s="10" t="str">
        <f t="shared" si="80"/>
        <v/>
      </c>
      <c r="H1705" t="str">
        <f t="shared" si="81"/>
        <v/>
      </c>
      <c r="M1705" s="34">
        <f t="shared" si="82"/>
        <v>0</v>
      </c>
    </row>
    <row r="1706" spans="7:13" x14ac:dyDescent="0.25">
      <c r="G1706" s="10" t="str">
        <f t="shared" si="80"/>
        <v/>
      </c>
      <c r="H1706" t="str">
        <f t="shared" si="81"/>
        <v/>
      </c>
      <c r="M1706" s="34">
        <f t="shared" si="82"/>
        <v>0</v>
      </c>
    </row>
    <row r="1707" spans="7:13" x14ac:dyDescent="0.25">
      <c r="G1707" s="10" t="str">
        <f t="shared" si="80"/>
        <v/>
      </c>
      <c r="H1707" t="str">
        <f t="shared" si="81"/>
        <v/>
      </c>
      <c r="M1707" s="34">
        <f t="shared" si="82"/>
        <v>0</v>
      </c>
    </row>
    <row r="1708" spans="7:13" x14ac:dyDescent="0.25">
      <c r="G1708" s="10" t="str">
        <f t="shared" si="80"/>
        <v/>
      </c>
      <c r="H1708" t="str">
        <f t="shared" si="81"/>
        <v/>
      </c>
      <c r="M1708" s="34">
        <f t="shared" si="82"/>
        <v>0</v>
      </c>
    </row>
    <row r="1709" spans="7:13" x14ac:dyDescent="0.25">
      <c r="G1709" s="10" t="str">
        <f t="shared" si="80"/>
        <v/>
      </c>
      <c r="H1709" t="str">
        <f t="shared" si="81"/>
        <v/>
      </c>
      <c r="M1709" s="34">
        <f t="shared" si="82"/>
        <v>0</v>
      </c>
    </row>
    <row r="1710" spans="7:13" x14ac:dyDescent="0.25">
      <c r="G1710" s="10" t="str">
        <f t="shared" si="80"/>
        <v/>
      </c>
      <c r="H1710" t="str">
        <f t="shared" si="81"/>
        <v/>
      </c>
      <c r="M1710" s="34">
        <f t="shared" si="82"/>
        <v>0</v>
      </c>
    </row>
    <row r="1711" spans="7:13" x14ac:dyDescent="0.25">
      <c r="G1711" s="10" t="str">
        <f t="shared" si="80"/>
        <v/>
      </c>
      <c r="H1711" t="str">
        <f t="shared" si="81"/>
        <v/>
      </c>
      <c r="M1711" s="34">
        <f t="shared" si="82"/>
        <v>0</v>
      </c>
    </row>
    <row r="1712" spans="7:13" x14ac:dyDescent="0.25">
      <c r="G1712" s="10" t="str">
        <f t="shared" si="80"/>
        <v/>
      </c>
      <c r="H1712" t="str">
        <f t="shared" si="81"/>
        <v/>
      </c>
      <c r="M1712" s="34">
        <f t="shared" si="82"/>
        <v>0</v>
      </c>
    </row>
    <row r="1713" spans="7:13" x14ac:dyDescent="0.25">
      <c r="G1713" s="10" t="str">
        <f t="shared" si="80"/>
        <v/>
      </c>
      <c r="H1713" t="str">
        <f t="shared" si="81"/>
        <v/>
      </c>
      <c r="M1713" s="34">
        <f t="shared" si="82"/>
        <v>0</v>
      </c>
    </row>
    <row r="1714" spans="7:13" x14ac:dyDescent="0.25">
      <c r="G1714" s="10" t="str">
        <f t="shared" si="80"/>
        <v/>
      </c>
      <c r="H1714" t="str">
        <f t="shared" si="81"/>
        <v/>
      </c>
      <c r="M1714" s="34">
        <f t="shared" si="82"/>
        <v>0</v>
      </c>
    </row>
    <row r="1715" spans="7:13" x14ac:dyDescent="0.25">
      <c r="G1715" s="10" t="str">
        <f t="shared" si="80"/>
        <v/>
      </c>
      <c r="H1715" t="str">
        <f t="shared" si="81"/>
        <v/>
      </c>
      <c r="M1715" s="34">
        <f t="shared" si="82"/>
        <v>0</v>
      </c>
    </row>
    <row r="1716" spans="7:13" x14ac:dyDescent="0.25">
      <c r="G1716" s="10" t="str">
        <f t="shared" si="80"/>
        <v/>
      </c>
      <c r="H1716" t="str">
        <f t="shared" si="81"/>
        <v/>
      </c>
      <c r="M1716" s="34">
        <f t="shared" si="82"/>
        <v>0</v>
      </c>
    </row>
    <row r="1717" spans="7:13" x14ac:dyDescent="0.25">
      <c r="G1717" s="10" t="str">
        <f t="shared" si="80"/>
        <v/>
      </c>
      <c r="H1717" t="str">
        <f t="shared" si="81"/>
        <v/>
      </c>
      <c r="M1717" s="34">
        <f t="shared" si="82"/>
        <v>0</v>
      </c>
    </row>
    <row r="1718" spans="7:13" x14ac:dyDescent="0.25">
      <c r="G1718" s="10" t="str">
        <f t="shared" si="80"/>
        <v/>
      </c>
      <c r="H1718" t="str">
        <f t="shared" si="81"/>
        <v/>
      </c>
      <c r="M1718" s="34">
        <f t="shared" si="82"/>
        <v>0</v>
      </c>
    </row>
    <row r="1719" spans="7:13" x14ac:dyDescent="0.25">
      <c r="G1719" s="10" t="str">
        <f t="shared" si="80"/>
        <v/>
      </c>
      <c r="H1719" t="str">
        <f t="shared" si="81"/>
        <v/>
      </c>
      <c r="M1719" s="34">
        <f t="shared" si="82"/>
        <v>0</v>
      </c>
    </row>
    <row r="1720" spans="7:13" x14ac:dyDescent="0.25">
      <c r="G1720" s="10" t="str">
        <f t="shared" si="80"/>
        <v/>
      </c>
      <c r="H1720" t="str">
        <f t="shared" si="81"/>
        <v/>
      </c>
      <c r="M1720" s="34">
        <f t="shared" si="82"/>
        <v>0</v>
      </c>
    </row>
    <row r="1721" spans="7:13" x14ac:dyDescent="0.25">
      <c r="G1721" s="10" t="str">
        <f t="shared" si="80"/>
        <v/>
      </c>
      <c r="H1721" t="str">
        <f t="shared" si="81"/>
        <v/>
      </c>
      <c r="M1721" s="34">
        <f t="shared" si="82"/>
        <v>0</v>
      </c>
    </row>
    <row r="1722" spans="7:13" x14ac:dyDescent="0.25">
      <c r="G1722" s="10" t="str">
        <f t="shared" si="80"/>
        <v/>
      </c>
      <c r="H1722" t="str">
        <f t="shared" si="81"/>
        <v/>
      </c>
      <c r="M1722" s="34">
        <f t="shared" si="82"/>
        <v>0</v>
      </c>
    </row>
    <row r="1723" spans="7:13" x14ac:dyDescent="0.25">
      <c r="G1723" s="10" t="str">
        <f t="shared" si="80"/>
        <v/>
      </c>
      <c r="H1723" t="str">
        <f t="shared" si="81"/>
        <v/>
      </c>
      <c r="M1723" s="34">
        <f t="shared" si="82"/>
        <v>0</v>
      </c>
    </row>
    <row r="1724" spans="7:13" x14ac:dyDescent="0.25">
      <c r="G1724" s="10" t="str">
        <f t="shared" si="80"/>
        <v/>
      </c>
      <c r="H1724" t="str">
        <f t="shared" si="81"/>
        <v/>
      </c>
      <c r="M1724" s="34">
        <f t="shared" si="82"/>
        <v>0</v>
      </c>
    </row>
    <row r="1725" spans="7:13" x14ac:dyDescent="0.25">
      <c r="G1725" s="10" t="str">
        <f t="shared" si="80"/>
        <v/>
      </c>
      <c r="H1725" t="str">
        <f t="shared" si="81"/>
        <v/>
      </c>
      <c r="M1725" s="34">
        <f t="shared" si="82"/>
        <v>0</v>
      </c>
    </row>
    <row r="1726" spans="7:13" x14ac:dyDescent="0.25">
      <c r="G1726" s="10" t="str">
        <f t="shared" si="80"/>
        <v/>
      </c>
      <c r="H1726" t="str">
        <f t="shared" si="81"/>
        <v/>
      </c>
      <c r="M1726" s="34">
        <f t="shared" si="82"/>
        <v>0</v>
      </c>
    </row>
    <row r="1727" spans="7:13" x14ac:dyDescent="0.25">
      <c r="G1727" s="10" t="str">
        <f t="shared" si="80"/>
        <v/>
      </c>
      <c r="H1727" t="str">
        <f t="shared" si="81"/>
        <v/>
      </c>
      <c r="M1727" s="34">
        <f t="shared" si="82"/>
        <v>0</v>
      </c>
    </row>
    <row r="1728" spans="7:13" x14ac:dyDescent="0.25">
      <c r="G1728" s="10" t="str">
        <f t="shared" si="80"/>
        <v/>
      </c>
      <c r="H1728" t="str">
        <f t="shared" si="81"/>
        <v/>
      </c>
      <c r="M1728" s="34">
        <f t="shared" si="82"/>
        <v>0</v>
      </c>
    </row>
    <row r="1729" spans="7:13" x14ac:dyDescent="0.25">
      <c r="G1729" s="10" t="str">
        <f t="shared" si="80"/>
        <v/>
      </c>
      <c r="H1729" t="str">
        <f t="shared" si="81"/>
        <v/>
      </c>
      <c r="M1729" s="34">
        <f t="shared" si="82"/>
        <v>0</v>
      </c>
    </row>
    <row r="1730" spans="7:13" x14ac:dyDescent="0.25">
      <c r="G1730" s="10" t="str">
        <f t="shared" ref="G1730:G1793" si="83">IF(F1730&gt;0,"RECETTE",IF(F1730&lt;0,"DÉPENSE",""))</f>
        <v/>
      </c>
      <c r="H1730" t="str">
        <f t="shared" ref="H1730:H1793" si="84">+IF(ISNUMBER(D1730),D1730,"")</f>
        <v/>
      </c>
      <c r="M1730" s="34">
        <f t="shared" si="82"/>
        <v>0</v>
      </c>
    </row>
    <row r="1731" spans="7:13" x14ac:dyDescent="0.25">
      <c r="G1731" s="10" t="str">
        <f t="shared" si="83"/>
        <v/>
      </c>
      <c r="H1731" t="str">
        <f t="shared" si="84"/>
        <v/>
      </c>
      <c r="M1731" s="34">
        <f t="shared" ref="M1731:M1794" si="85">IF(AND(E1731="Chèque",G1731="RECETTE"),F1731,0)</f>
        <v>0</v>
      </c>
    </row>
    <row r="1732" spans="7:13" x14ac:dyDescent="0.25">
      <c r="G1732" s="10" t="str">
        <f t="shared" si="83"/>
        <v/>
      </c>
      <c r="H1732" t="str">
        <f t="shared" si="84"/>
        <v/>
      </c>
      <c r="M1732" s="34">
        <f t="shared" si="85"/>
        <v>0</v>
      </c>
    </row>
    <row r="1733" spans="7:13" x14ac:dyDescent="0.25">
      <c r="G1733" s="10" t="str">
        <f t="shared" si="83"/>
        <v/>
      </c>
      <c r="H1733" t="str">
        <f t="shared" si="84"/>
        <v/>
      </c>
      <c r="M1733" s="34">
        <f t="shared" si="85"/>
        <v>0</v>
      </c>
    </row>
    <row r="1734" spans="7:13" x14ac:dyDescent="0.25">
      <c r="G1734" s="10" t="str">
        <f t="shared" si="83"/>
        <v/>
      </c>
      <c r="H1734" t="str">
        <f t="shared" si="84"/>
        <v/>
      </c>
      <c r="M1734" s="34">
        <f t="shared" si="85"/>
        <v>0</v>
      </c>
    </row>
    <row r="1735" spans="7:13" x14ac:dyDescent="0.25">
      <c r="G1735" s="10" t="str">
        <f t="shared" si="83"/>
        <v/>
      </c>
      <c r="H1735" t="str">
        <f t="shared" si="84"/>
        <v/>
      </c>
      <c r="M1735" s="34">
        <f t="shared" si="85"/>
        <v>0</v>
      </c>
    </row>
    <row r="1736" spans="7:13" x14ac:dyDescent="0.25">
      <c r="G1736" s="10" t="str">
        <f t="shared" si="83"/>
        <v/>
      </c>
      <c r="H1736" t="str">
        <f t="shared" si="84"/>
        <v/>
      </c>
      <c r="M1736" s="34">
        <f t="shared" si="85"/>
        <v>0</v>
      </c>
    </row>
    <row r="1737" spans="7:13" x14ac:dyDescent="0.25">
      <c r="G1737" s="10" t="str">
        <f t="shared" si="83"/>
        <v/>
      </c>
      <c r="H1737" t="str">
        <f t="shared" si="84"/>
        <v/>
      </c>
      <c r="M1737" s="34">
        <f t="shared" si="85"/>
        <v>0</v>
      </c>
    </row>
    <row r="1738" spans="7:13" x14ac:dyDescent="0.25">
      <c r="G1738" s="10" t="str">
        <f t="shared" si="83"/>
        <v/>
      </c>
      <c r="H1738" t="str">
        <f t="shared" si="84"/>
        <v/>
      </c>
      <c r="M1738" s="34">
        <f t="shared" si="85"/>
        <v>0</v>
      </c>
    </row>
    <row r="1739" spans="7:13" x14ac:dyDescent="0.25">
      <c r="G1739" s="10" t="str">
        <f t="shared" si="83"/>
        <v/>
      </c>
      <c r="H1739" t="str">
        <f t="shared" si="84"/>
        <v/>
      </c>
      <c r="M1739" s="34">
        <f t="shared" si="85"/>
        <v>0</v>
      </c>
    </row>
    <row r="1740" spans="7:13" x14ac:dyDescent="0.25">
      <c r="G1740" s="10" t="str">
        <f t="shared" si="83"/>
        <v/>
      </c>
      <c r="H1740" t="str">
        <f t="shared" si="84"/>
        <v/>
      </c>
      <c r="M1740" s="34">
        <f t="shared" si="85"/>
        <v>0</v>
      </c>
    </row>
    <row r="1741" spans="7:13" x14ac:dyDescent="0.25">
      <c r="G1741" s="10" t="str">
        <f t="shared" si="83"/>
        <v/>
      </c>
      <c r="H1741" t="str">
        <f t="shared" si="84"/>
        <v/>
      </c>
      <c r="M1741" s="34">
        <f t="shared" si="85"/>
        <v>0</v>
      </c>
    </row>
    <row r="1742" spans="7:13" x14ac:dyDescent="0.25">
      <c r="G1742" s="10" t="str">
        <f t="shared" si="83"/>
        <v/>
      </c>
      <c r="H1742" t="str">
        <f t="shared" si="84"/>
        <v/>
      </c>
      <c r="M1742" s="34">
        <f t="shared" si="85"/>
        <v>0</v>
      </c>
    </row>
    <row r="1743" spans="7:13" x14ac:dyDescent="0.25">
      <c r="G1743" s="10" t="str">
        <f t="shared" si="83"/>
        <v/>
      </c>
      <c r="H1743" t="str">
        <f t="shared" si="84"/>
        <v/>
      </c>
      <c r="M1743" s="34">
        <f t="shared" si="85"/>
        <v>0</v>
      </c>
    </row>
    <row r="1744" spans="7:13" x14ac:dyDescent="0.25">
      <c r="G1744" s="10" t="str">
        <f t="shared" si="83"/>
        <v/>
      </c>
      <c r="H1744" t="str">
        <f t="shared" si="84"/>
        <v/>
      </c>
      <c r="M1744" s="34">
        <f t="shared" si="85"/>
        <v>0</v>
      </c>
    </row>
    <row r="1745" spans="7:13" x14ac:dyDescent="0.25">
      <c r="G1745" s="10" t="str">
        <f t="shared" si="83"/>
        <v/>
      </c>
      <c r="H1745" t="str">
        <f t="shared" si="84"/>
        <v/>
      </c>
      <c r="M1745" s="34">
        <f t="shared" si="85"/>
        <v>0</v>
      </c>
    </row>
    <row r="1746" spans="7:13" x14ac:dyDescent="0.25">
      <c r="G1746" s="10" t="str">
        <f t="shared" si="83"/>
        <v/>
      </c>
      <c r="H1746" t="str">
        <f t="shared" si="84"/>
        <v/>
      </c>
      <c r="M1746" s="34">
        <f t="shared" si="85"/>
        <v>0</v>
      </c>
    </row>
    <row r="1747" spans="7:13" x14ac:dyDescent="0.25">
      <c r="G1747" s="10" t="str">
        <f t="shared" si="83"/>
        <v/>
      </c>
      <c r="H1747" t="str">
        <f t="shared" si="84"/>
        <v/>
      </c>
      <c r="M1747" s="34">
        <f t="shared" si="85"/>
        <v>0</v>
      </c>
    </row>
    <row r="1748" spans="7:13" x14ac:dyDescent="0.25">
      <c r="G1748" s="10" t="str">
        <f t="shared" si="83"/>
        <v/>
      </c>
      <c r="H1748" t="str">
        <f t="shared" si="84"/>
        <v/>
      </c>
      <c r="M1748" s="34">
        <f t="shared" si="85"/>
        <v>0</v>
      </c>
    </row>
    <row r="1749" spans="7:13" x14ac:dyDescent="0.25">
      <c r="G1749" s="10" t="str">
        <f t="shared" si="83"/>
        <v/>
      </c>
      <c r="H1749" t="str">
        <f t="shared" si="84"/>
        <v/>
      </c>
      <c r="M1749" s="34">
        <f t="shared" si="85"/>
        <v>0</v>
      </c>
    </row>
    <row r="1750" spans="7:13" x14ac:dyDescent="0.25">
      <c r="G1750" s="10" t="str">
        <f t="shared" si="83"/>
        <v/>
      </c>
      <c r="H1750" t="str">
        <f t="shared" si="84"/>
        <v/>
      </c>
      <c r="M1750" s="34">
        <f t="shared" si="85"/>
        <v>0</v>
      </c>
    </row>
    <row r="1751" spans="7:13" x14ac:dyDescent="0.25">
      <c r="G1751" s="10" t="str">
        <f t="shared" si="83"/>
        <v/>
      </c>
      <c r="H1751" t="str">
        <f t="shared" si="84"/>
        <v/>
      </c>
      <c r="M1751" s="34">
        <f t="shared" si="85"/>
        <v>0</v>
      </c>
    </row>
    <row r="1752" spans="7:13" x14ac:dyDescent="0.25">
      <c r="G1752" s="10" t="str">
        <f t="shared" si="83"/>
        <v/>
      </c>
      <c r="H1752" t="str">
        <f t="shared" si="84"/>
        <v/>
      </c>
      <c r="M1752" s="34">
        <f t="shared" si="85"/>
        <v>0</v>
      </c>
    </row>
    <row r="1753" spans="7:13" x14ac:dyDescent="0.25">
      <c r="G1753" s="10" t="str">
        <f t="shared" si="83"/>
        <v/>
      </c>
      <c r="H1753" t="str">
        <f t="shared" si="84"/>
        <v/>
      </c>
      <c r="M1753" s="34">
        <f t="shared" si="85"/>
        <v>0</v>
      </c>
    </row>
    <row r="1754" spans="7:13" x14ac:dyDescent="0.25">
      <c r="G1754" s="10" t="str">
        <f t="shared" si="83"/>
        <v/>
      </c>
      <c r="H1754" t="str">
        <f t="shared" si="84"/>
        <v/>
      </c>
      <c r="M1754" s="34">
        <f t="shared" si="85"/>
        <v>0</v>
      </c>
    </row>
    <row r="1755" spans="7:13" x14ac:dyDescent="0.25">
      <c r="G1755" s="10" t="str">
        <f t="shared" si="83"/>
        <v/>
      </c>
      <c r="H1755" t="str">
        <f t="shared" si="84"/>
        <v/>
      </c>
      <c r="M1755" s="34">
        <f t="shared" si="85"/>
        <v>0</v>
      </c>
    </row>
    <row r="1756" spans="7:13" x14ac:dyDescent="0.25">
      <c r="G1756" s="10" t="str">
        <f t="shared" si="83"/>
        <v/>
      </c>
      <c r="H1756" t="str">
        <f t="shared" si="84"/>
        <v/>
      </c>
      <c r="M1756" s="34">
        <f t="shared" si="85"/>
        <v>0</v>
      </c>
    </row>
    <row r="1757" spans="7:13" x14ac:dyDescent="0.25">
      <c r="G1757" s="10" t="str">
        <f t="shared" si="83"/>
        <v/>
      </c>
      <c r="H1757" t="str">
        <f t="shared" si="84"/>
        <v/>
      </c>
      <c r="M1757" s="34">
        <f t="shared" si="85"/>
        <v>0</v>
      </c>
    </row>
    <row r="1758" spans="7:13" x14ac:dyDescent="0.25">
      <c r="G1758" s="10" t="str">
        <f t="shared" si="83"/>
        <v/>
      </c>
      <c r="H1758" t="str">
        <f t="shared" si="84"/>
        <v/>
      </c>
      <c r="M1758" s="34">
        <f t="shared" si="85"/>
        <v>0</v>
      </c>
    </row>
    <row r="1759" spans="7:13" x14ac:dyDescent="0.25">
      <c r="G1759" s="10" t="str">
        <f t="shared" si="83"/>
        <v/>
      </c>
      <c r="H1759" t="str">
        <f t="shared" si="84"/>
        <v/>
      </c>
      <c r="M1759" s="34">
        <f t="shared" si="85"/>
        <v>0</v>
      </c>
    </row>
    <row r="1760" spans="7:13" x14ac:dyDescent="0.25">
      <c r="G1760" s="10" t="str">
        <f t="shared" si="83"/>
        <v/>
      </c>
      <c r="H1760" t="str">
        <f t="shared" si="84"/>
        <v/>
      </c>
      <c r="M1760" s="34">
        <f t="shared" si="85"/>
        <v>0</v>
      </c>
    </row>
    <row r="1761" spans="7:13" x14ac:dyDescent="0.25">
      <c r="G1761" s="10" t="str">
        <f t="shared" si="83"/>
        <v/>
      </c>
      <c r="H1761" t="str">
        <f t="shared" si="84"/>
        <v/>
      </c>
      <c r="M1761" s="34">
        <f t="shared" si="85"/>
        <v>0</v>
      </c>
    </row>
    <row r="1762" spans="7:13" x14ac:dyDescent="0.25">
      <c r="G1762" s="10" t="str">
        <f t="shared" si="83"/>
        <v/>
      </c>
      <c r="H1762" t="str">
        <f t="shared" si="84"/>
        <v/>
      </c>
      <c r="M1762" s="34">
        <f t="shared" si="85"/>
        <v>0</v>
      </c>
    </row>
    <row r="1763" spans="7:13" x14ac:dyDescent="0.25">
      <c r="G1763" s="10" t="str">
        <f t="shared" si="83"/>
        <v/>
      </c>
      <c r="H1763" t="str">
        <f t="shared" si="84"/>
        <v/>
      </c>
      <c r="M1763" s="34">
        <f t="shared" si="85"/>
        <v>0</v>
      </c>
    </row>
    <row r="1764" spans="7:13" x14ac:dyDescent="0.25">
      <c r="G1764" s="10" t="str">
        <f t="shared" si="83"/>
        <v/>
      </c>
      <c r="H1764" t="str">
        <f t="shared" si="84"/>
        <v/>
      </c>
      <c r="M1764" s="34">
        <f t="shared" si="85"/>
        <v>0</v>
      </c>
    </row>
    <row r="1765" spans="7:13" x14ac:dyDescent="0.25">
      <c r="G1765" s="10" t="str">
        <f t="shared" si="83"/>
        <v/>
      </c>
      <c r="H1765" t="str">
        <f t="shared" si="84"/>
        <v/>
      </c>
      <c r="M1765" s="34">
        <f t="shared" si="85"/>
        <v>0</v>
      </c>
    </row>
    <row r="1766" spans="7:13" x14ac:dyDescent="0.25">
      <c r="G1766" s="10" t="str">
        <f t="shared" si="83"/>
        <v/>
      </c>
      <c r="H1766" t="str">
        <f t="shared" si="84"/>
        <v/>
      </c>
      <c r="M1766" s="34">
        <f t="shared" si="85"/>
        <v>0</v>
      </c>
    </row>
    <row r="1767" spans="7:13" x14ac:dyDescent="0.25">
      <c r="G1767" s="10" t="str">
        <f t="shared" si="83"/>
        <v/>
      </c>
      <c r="H1767" t="str">
        <f t="shared" si="84"/>
        <v/>
      </c>
      <c r="M1767" s="34">
        <f t="shared" si="85"/>
        <v>0</v>
      </c>
    </row>
    <row r="1768" spans="7:13" x14ac:dyDescent="0.25">
      <c r="G1768" s="10" t="str">
        <f t="shared" si="83"/>
        <v/>
      </c>
      <c r="H1768" t="str">
        <f t="shared" si="84"/>
        <v/>
      </c>
      <c r="M1768" s="34">
        <f t="shared" si="85"/>
        <v>0</v>
      </c>
    </row>
    <row r="1769" spans="7:13" x14ac:dyDescent="0.25">
      <c r="G1769" s="10" t="str">
        <f t="shared" si="83"/>
        <v/>
      </c>
      <c r="H1769" t="str">
        <f t="shared" si="84"/>
        <v/>
      </c>
      <c r="M1769" s="34">
        <f t="shared" si="85"/>
        <v>0</v>
      </c>
    </row>
    <row r="1770" spans="7:13" x14ac:dyDescent="0.25">
      <c r="G1770" s="10" t="str">
        <f t="shared" si="83"/>
        <v/>
      </c>
      <c r="H1770" t="str">
        <f t="shared" si="84"/>
        <v/>
      </c>
      <c r="M1770" s="34">
        <f t="shared" si="85"/>
        <v>0</v>
      </c>
    </row>
    <row r="1771" spans="7:13" x14ac:dyDescent="0.25">
      <c r="G1771" s="10" t="str">
        <f t="shared" si="83"/>
        <v/>
      </c>
      <c r="H1771" t="str">
        <f t="shared" si="84"/>
        <v/>
      </c>
      <c r="M1771" s="34">
        <f t="shared" si="85"/>
        <v>0</v>
      </c>
    </row>
    <row r="1772" spans="7:13" x14ac:dyDescent="0.25">
      <c r="G1772" s="10" t="str">
        <f t="shared" si="83"/>
        <v/>
      </c>
      <c r="H1772" t="str">
        <f t="shared" si="84"/>
        <v/>
      </c>
      <c r="M1772" s="34">
        <f t="shared" si="85"/>
        <v>0</v>
      </c>
    </row>
    <row r="1773" spans="7:13" x14ac:dyDescent="0.25">
      <c r="G1773" s="10" t="str">
        <f t="shared" si="83"/>
        <v/>
      </c>
      <c r="H1773" t="str">
        <f t="shared" si="84"/>
        <v/>
      </c>
      <c r="M1773" s="34">
        <f t="shared" si="85"/>
        <v>0</v>
      </c>
    </row>
    <row r="1774" spans="7:13" x14ac:dyDescent="0.25">
      <c r="G1774" s="10" t="str">
        <f t="shared" si="83"/>
        <v/>
      </c>
      <c r="H1774" t="str">
        <f t="shared" si="84"/>
        <v/>
      </c>
      <c r="M1774" s="34">
        <f t="shared" si="85"/>
        <v>0</v>
      </c>
    </row>
    <row r="1775" spans="7:13" x14ac:dyDescent="0.25">
      <c r="G1775" s="10" t="str">
        <f t="shared" si="83"/>
        <v/>
      </c>
      <c r="H1775" t="str">
        <f t="shared" si="84"/>
        <v/>
      </c>
      <c r="M1775" s="34">
        <f t="shared" si="85"/>
        <v>0</v>
      </c>
    </row>
    <row r="1776" spans="7:13" x14ac:dyDescent="0.25">
      <c r="G1776" s="10" t="str">
        <f t="shared" si="83"/>
        <v/>
      </c>
      <c r="H1776" t="str">
        <f t="shared" si="84"/>
        <v/>
      </c>
      <c r="M1776" s="34">
        <f t="shared" si="85"/>
        <v>0</v>
      </c>
    </row>
    <row r="1777" spans="7:13" x14ac:dyDescent="0.25">
      <c r="G1777" s="10" t="str">
        <f t="shared" si="83"/>
        <v/>
      </c>
      <c r="H1777" t="str">
        <f t="shared" si="84"/>
        <v/>
      </c>
      <c r="M1777" s="34">
        <f t="shared" si="85"/>
        <v>0</v>
      </c>
    </row>
    <row r="1778" spans="7:13" x14ac:dyDescent="0.25">
      <c r="G1778" s="10" t="str">
        <f t="shared" si="83"/>
        <v/>
      </c>
      <c r="H1778" t="str">
        <f t="shared" si="84"/>
        <v/>
      </c>
      <c r="M1778" s="34">
        <f t="shared" si="85"/>
        <v>0</v>
      </c>
    </row>
    <row r="1779" spans="7:13" x14ac:dyDescent="0.25">
      <c r="G1779" s="10" t="str">
        <f t="shared" si="83"/>
        <v/>
      </c>
      <c r="H1779" t="str">
        <f t="shared" si="84"/>
        <v/>
      </c>
      <c r="M1779" s="34">
        <f t="shared" si="85"/>
        <v>0</v>
      </c>
    </row>
    <row r="1780" spans="7:13" x14ac:dyDescent="0.25">
      <c r="G1780" s="10" t="str">
        <f t="shared" si="83"/>
        <v/>
      </c>
      <c r="H1780" t="str">
        <f t="shared" si="84"/>
        <v/>
      </c>
      <c r="M1780" s="34">
        <f t="shared" si="85"/>
        <v>0</v>
      </c>
    </row>
    <row r="1781" spans="7:13" x14ac:dyDescent="0.25">
      <c r="G1781" s="10" t="str">
        <f t="shared" si="83"/>
        <v/>
      </c>
      <c r="H1781" t="str">
        <f t="shared" si="84"/>
        <v/>
      </c>
      <c r="M1781" s="34">
        <f t="shared" si="85"/>
        <v>0</v>
      </c>
    </row>
    <row r="1782" spans="7:13" x14ac:dyDescent="0.25">
      <c r="G1782" s="10" t="str">
        <f t="shared" si="83"/>
        <v/>
      </c>
      <c r="H1782" t="str">
        <f t="shared" si="84"/>
        <v/>
      </c>
      <c r="M1782" s="34">
        <f t="shared" si="85"/>
        <v>0</v>
      </c>
    </row>
    <row r="1783" spans="7:13" x14ac:dyDescent="0.25">
      <c r="G1783" s="10" t="str">
        <f t="shared" si="83"/>
        <v/>
      </c>
      <c r="H1783" t="str">
        <f t="shared" si="84"/>
        <v/>
      </c>
      <c r="M1783" s="34">
        <f t="shared" si="85"/>
        <v>0</v>
      </c>
    </row>
    <row r="1784" spans="7:13" x14ac:dyDescent="0.25">
      <c r="G1784" s="10" t="str">
        <f t="shared" si="83"/>
        <v/>
      </c>
      <c r="H1784" t="str">
        <f t="shared" si="84"/>
        <v/>
      </c>
      <c r="M1784" s="34">
        <f t="shared" si="85"/>
        <v>0</v>
      </c>
    </row>
    <row r="1785" spans="7:13" x14ac:dyDescent="0.25">
      <c r="G1785" s="10" t="str">
        <f t="shared" si="83"/>
        <v/>
      </c>
      <c r="H1785" t="str">
        <f t="shared" si="84"/>
        <v/>
      </c>
      <c r="M1785" s="34">
        <f t="shared" si="85"/>
        <v>0</v>
      </c>
    </row>
    <row r="1786" spans="7:13" x14ac:dyDescent="0.25">
      <c r="G1786" s="10" t="str">
        <f t="shared" si="83"/>
        <v/>
      </c>
      <c r="H1786" t="str">
        <f t="shared" si="84"/>
        <v/>
      </c>
      <c r="M1786" s="34">
        <f t="shared" si="85"/>
        <v>0</v>
      </c>
    </row>
    <row r="1787" spans="7:13" x14ac:dyDescent="0.25">
      <c r="G1787" s="10" t="str">
        <f t="shared" si="83"/>
        <v/>
      </c>
      <c r="H1787" t="str">
        <f t="shared" si="84"/>
        <v/>
      </c>
      <c r="M1787" s="34">
        <f t="shared" si="85"/>
        <v>0</v>
      </c>
    </row>
    <row r="1788" spans="7:13" x14ac:dyDescent="0.25">
      <c r="G1788" s="10" t="str">
        <f t="shared" si="83"/>
        <v/>
      </c>
      <c r="H1788" t="str">
        <f t="shared" si="84"/>
        <v/>
      </c>
      <c r="M1788" s="34">
        <f t="shared" si="85"/>
        <v>0</v>
      </c>
    </row>
    <row r="1789" spans="7:13" x14ac:dyDescent="0.25">
      <c r="G1789" s="10" t="str">
        <f t="shared" si="83"/>
        <v/>
      </c>
      <c r="H1789" t="str">
        <f t="shared" si="84"/>
        <v/>
      </c>
      <c r="M1789" s="34">
        <f t="shared" si="85"/>
        <v>0</v>
      </c>
    </row>
    <row r="1790" spans="7:13" x14ac:dyDescent="0.25">
      <c r="G1790" s="10" t="str">
        <f t="shared" si="83"/>
        <v/>
      </c>
      <c r="H1790" t="str">
        <f t="shared" si="84"/>
        <v/>
      </c>
      <c r="M1790" s="34">
        <f t="shared" si="85"/>
        <v>0</v>
      </c>
    </row>
    <row r="1791" spans="7:13" x14ac:dyDescent="0.25">
      <c r="G1791" s="10" t="str">
        <f t="shared" si="83"/>
        <v/>
      </c>
      <c r="H1791" t="str">
        <f t="shared" si="84"/>
        <v/>
      </c>
      <c r="M1791" s="34">
        <f t="shared" si="85"/>
        <v>0</v>
      </c>
    </row>
    <row r="1792" spans="7:13" x14ac:dyDescent="0.25">
      <c r="G1792" s="10" t="str">
        <f t="shared" si="83"/>
        <v/>
      </c>
      <c r="H1792" t="str">
        <f t="shared" si="84"/>
        <v/>
      </c>
      <c r="M1792" s="34">
        <f t="shared" si="85"/>
        <v>0</v>
      </c>
    </row>
    <row r="1793" spans="7:13" x14ac:dyDescent="0.25">
      <c r="G1793" s="10" t="str">
        <f t="shared" si="83"/>
        <v/>
      </c>
      <c r="H1793" t="str">
        <f t="shared" si="84"/>
        <v/>
      </c>
      <c r="M1793" s="34">
        <f t="shared" si="85"/>
        <v>0</v>
      </c>
    </row>
    <row r="1794" spans="7:13" x14ac:dyDescent="0.25">
      <c r="G1794" s="10" t="str">
        <f t="shared" ref="G1794:G1857" si="86">IF(F1794&gt;0,"RECETTE",IF(F1794&lt;0,"DÉPENSE",""))</f>
        <v/>
      </c>
      <c r="H1794" t="str">
        <f t="shared" ref="H1794:H1857" si="87">+IF(ISNUMBER(D1794),D1794,"")</f>
        <v/>
      </c>
      <c r="M1794" s="34">
        <f t="shared" si="85"/>
        <v>0</v>
      </c>
    </row>
    <row r="1795" spans="7:13" x14ac:dyDescent="0.25">
      <c r="G1795" s="10" t="str">
        <f t="shared" si="86"/>
        <v/>
      </c>
      <c r="H1795" t="str">
        <f t="shared" si="87"/>
        <v/>
      </c>
      <c r="M1795" s="34">
        <f t="shared" ref="M1795:M1858" si="88">IF(AND(E1795="Chèque",G1795="RECETTE"),F1795,0)</f>
        <v>0</v>
      </c>
    </row>
    <row r="1796" spans="7:13" x14ac:dyDescent="0.25">
      <c r="G1796" s="10" t="str">
        <f t="shared" si="86"/>
        <v/>
      </c>
      <c r="H1796" t="str">
        <f t="shared" si="87"/>
        <v/>
      </c>
      <c r="M1796" s="34">
        <f t="shared" si="88"/>
        <v>0</v>
      </c>
    </row>
    <row r="1797" spans="7:13" x14ac:dyDescent="0.25">
      <c r="G1797" s="10" t="str">
        <f t="shared" si="86"/>
        <v/>
      </c>
      <c r="H1797" t="str">
        <f t="shared" si="87"/>
        <v/>
      </c>
      <c r="M1797" s="34">
        <f t="shared" si="88"/>
        <v>0</v>
      </c>
    </row>
    <row r="1798" spans="7:13" x14ac:dyDescent="0.25">
      <c r="G1798" s="10" t="str">
        <f t="shared" si="86"/>
        <v/>
      </c>
      <c r="H1798" t="str">
        <f t="shared" si="87"/>
        <v/>
      </c>
      <c r="M1798" s="34">
        <f t="shared" si="88"/>
        <v>0</v>
      </c>
    </row>
    <row r="1799" spans="7:13" x14ac:dyDescent="0.25">
      <c r="G1799" s="10" t="str">
        <f t="shared" si="86"/>
        <v/>
      </c>
      <c r="H1799" t="str">
        <f t="shared" si="87"/>
        <v/>
      </c>
      <c r="M1799" s="34">
        <f t="shared" si="88"/>
        <v>0</v>
      </c>
    </row>
    <row r="1800" spans="7:13" x14ac:dyDescent="0.25">
      <c r="G1800" s="10" t="str">
        <f t="shared" si="86"/>
        <v/>
      </c>
      <c r="H1800" t="str">
        <f t="shared" si="87"/>
        <v/>
      </c>
      <c r="M1800" s="34">
        <f t="shared" si="88"/>
        <v>0</v>
      </c>
    </row>
    <row r="1801" spans="7:13" x14ac:dyDescent="0.25">
      <c r="G1801" s="10" t="str">
        <f t="shared" si="86"/>
        <v/>
      </c>
      <c r="H1801" t="str">
        <f t="shared" si="87"/>
        <v/>
      </c>
      <c r="M1801" s="34">
        <f t="shared" si="88"/>
        <v>0</v>
      </c>
    </row>
    <row r="1802" spans="7:13" x14ac:dyDescent="0.25">
      <c r="G1802" s="10" t="str">
        <f t="shared" si="86"/>
        <v/>
      </c>
      <c r="H1802" t="str">
        <f t="shared" si="87"/>
        <v/>
      </c>
      <c r="M1802" s="34">
        <f t="shared" si="88"/>
        <v>0</v>
      </c>
    </row>
    <row r="1803" spans="7:13" x14ac:dyDescent="0.25">
      <c r="G1803" s="10" t="str">
        <f t="shared" si="86"/>
        <v/>
      </c>
      <c r="H1803" t="str">
        <f t="shared" si="87"/>
        <v/>
      </c>
      <c r="M1803" s="34">
        <f t="shared" si="88"/>
        <v>0</v>
      </c>
    </row>
    <row r="1804" spans="7:13" x14ac:dyDescent="0.25">
      <c r="G1804" s="10" t="str">
        <f t="shared" si="86"/>
        <v/>
      </c>
      <c r="H1804" t="str">
        <f t="shared" si="87"/>
        <v/>
      </c>
      <c r="M1804" s="34">
        <f t="shared" si="88"/>
        <v>0</v>
      </c>
    </row>
    <row r="1805" spans="7:13" x14ac:dyDescent="0.25">
      <c r="G1805" s="10" t="str">
        <f t="shared" si="86"/>
        <v/>
      </c>
      <c r="H1805" t="str">
        <f t="shared" si="87"/>
        <v/>
      </c>
      <c r="M1805" s="34">
        <f t="shared" si="88"/>
        <v>0</v>
      </c>
    </row>
    <row r="1806" spans="7:13" x14ac:dyDescent="0.25">
      <c r="G1806" s="10" t="str">
        <f t="shared" si="86"/>
        <v/>
      </c>
      <c r="H1806" t="str">
        <f t="shared" si="87"/>
        <v/>
      </c>
      <c r="M1806" s="34">
        <f t="shared" si="88"/>
        <v>0</v>
      </c>
    </row>
    <row r="1807" spans="7:13" x14ac:dyDescent="0.25">
      <c r="G1807" s="10" t="str">
        <f t="shared" si="86"/>
        <v/>
      </c>
      <c r="H1807" t="str">
        <f t="shared" si="87"/>
        <v/>
      </c>
      <c r="M1807" s="34">
        <f t="shared" si="88"/>
        <v>0</v>
      </c>
    </row>
    <row r="1808" spans="7:13" x14ac:dyDescent="0.25">
      <c r="G1808" s="10" t="str">
        <f t="shared" si="86"/>
        <v/>
      </c>
      <c r="H1808" t="str">
        <f t="shared" si="87"/>
        <v/>
      </c>
      <c r="M1808" s="34">
        <f t="shared" si="88"/>
        <v>0</v>
      </c>
    </row>
    <row r="1809" spans="7:13" x14ac:dyDescent="0.25">
      <c r="G1809" s="10" t="str">
        <f t="shared" si="86"/>
        <v/>
      </c>
      <c r="H1809" t="str">
        <f t="shared" si="87"/>
        <v/>
      </c>
      <c r="M1809" s="34">
        <f t="shared" si="88"/>
        <v>0</v>
      </c>
    </row>
    <row r="1810" spans="7:13" x14ac:dyDescent="0.25">
      <c r="G1810" s="10" t="str">
        <f t="shared" si="86"/>
        <v/>
      </c>
      <c r="H1810" t="str">
        <f t="shared" si="87"/>
        <v/>
      </c>
      <c r="M1810" s="34">
        <f t="shared" si="88"/>
        <v>0</v>
      </c>
    </row>
    <row r="1811" spans="7:13" x14ac:dyDescent="0.25">
      <c r="G1811" s="10" t="str">
        <f t="shared" si="86"/>
        <v/>
      </c>
      <c r="H1811" t="str">
        <f t="shared" si="87"/>
        <v/>
      </c>
      <c r="M1811" s="34">
        <f t="shared" si="88"/>
        <v>0</v>
      </c>
    </row>
    <row r="1812" spans="7:13" x14ac:dyDescent="0.25">
      <c r="G1812" s="10" t="str">
        <f t="shared" si="86"/>
        <v/>
      </c>
      <c r="H1812" t="str">
        <f t="shared" si="87"/>
        <v/>
      </c>
      <c r="M1812" s="34">
        <f t="shared" si="88"/>
        <v>0</v>
      </c>
    </row>
    <row r="1813" spans="7:13" x14ac:dyDescent="0.25">
      <c r="G1813" s="10" t="str">
        <f t="shared" si="86"/>
        <v/>
      </c>
      <c r="H1813" t="str">
        <f t="shared" si="87"/>
        <v/>
      </c>
      <c r="M1813" s="34">
        <f t="shared" si="88"/>
        <v>0</v>
      </c>
    </row>
    <row r="1814" spans="7:13" x14ac:dyDescent="0.25">
      <c r="G1814" s="10" t="str">
        <f t="shared" si="86"/>
        <v/>
      </c>
      <c r="H1814" t="str">
        <f t="shared" si="87"/>
        <v/>
      </c>
      <c r="M1814" s="34">
        <f t="shared" si="88"/>
        <v>0</v>
      </c>
    </row>
    <row r="1815" spans="7:13" x14ac:dyDescent="0.25">
      <c r="G1815" s="10" t="str">
        <f t="shared" si="86"/>
        <v/>
      </c>
      <c r="H1815" t="str">
        <f t="shared" si="87"/>
        <v/>
      </c>
      <c r="M1815" s="34">
        <f t="shared" si="88"/>
        <v>0</v>
      </c>
    </row>
    <row r="1816" spans="7:13" x14ac:dyDescent="0.25">
      <c r="G1816" s="10" t="str">
        <f t="shared" si="86"/>
        <v/>
      </c>
      <c r="H1816" t="str">
        <f t="shared" si="87"/>
        <v/>
      </c>
      <c r="M1816" s="34">
        <f t="shared" si="88"/>
        <v>0</v>
      </c>
    </row>
    <row r="1817" spans="7:13" x14ac:dyDescent="0.25">
      <c r="G1817" s="10" t="str">
        <f t="shared" si="86"/>
        <v/>
      </c>
      <c r="H1817" t="str">
        <f t="shared" si="87"/>
        <v/>
      </c>
      <c r="M1817" s="34">
        <f t="shared" si="88"/>
        <v>0</v>
      </c>
    </row>
    <row r="1818" spans="7:13" x14ac:dyDescent="0.25">
      <c r="G1818" s="10" t="str">
        <f t="shared" si="86"/>
        <v/>
      </c>
      <c r="H1818" t="str">
        <f t="shared" si="87"/>
        <v/>
      </c>
      <c r="M1818" s="34">
        <f t="shared" si="88"/>
        <v>0</v>
      </c>
    </row>
    <row r="1819" spans="7:13" x14ac:dyDescent="0.25">
      <c r="G1819" s="10" t="str">
        <f t="shared" si="86"/>
        <v/>
      </c>
      <c r="H1819" t="str">
        <f t="shared" si="87"/>
        <v/>
      </c>
      <c r="M1819" s="34">
        <f t="shared" si="88"/>
        <v>0</v>
      </c>
    </row>
    <row r="1820" spans="7:13" x14ac:dyDescent="0.25">
      <c r="G1820" s="10" t="str">
        <f t="shared" si="86"/>
        <v/>
      </c>
      <c r="H1820" t="str">
        <f t="shared" si="87"/>
        <v/>
      </c>
      <c r="M1820" s="34">
        <f t="shared" si="88"/>
        <v>0</v>
      </c>
    </row>
    <row r="1821" spans="7:13" x14ac:dyDescent="0.25">
      <c r="G1821" s="10" t="str">
        <f t="shared" si="86"/>
        <v/>
      </c>
      <c r="H1821" t="str">
        <f t="shared" si="87"/>
        <v/>
      </c>
      <c r="M1821" s="34">
        <f t="shared" si="88"/>
        <v>0</v>
      </c>
    </row>
    <row r="1822" spans="7:13" x14ac:dyDescent="0.25">
      <c r="G1822" s="10" t="str">
        <f t="shared" si="86"/>
        <v/>
      </c>
      <c r="H1822" t="str">
        <f t="shared" si="87"/>
        <v/>
      </c>
      <c r="M1822" s="34">
        <f t="shared" si="88"/>
        <v>0</v>
      </c>
    </row>
    <row r="1823" spans="7:13" x14ac:dyDescent="0.25">
      <c r="G1823" s="10" t="str">
        <f t="shared" si="86"/>
        <v/>
      </c>
      <c r="H1823" t="str">
        <f t="shared" si="87"/>
        <v/>
      </c>
      <c r="M1823" s="34">
        <f t="shared" si="88"/>
        <v>0</v>
      </c>
    </row>
    <row r="1824" spans="7:13" x14ac:dyDescent="0.25">
      <c r="G1824" s="10" t="str">
        <f t="shared" si="86"/>
        <v/>
      </c>
      <c r="H1824" t="str">
        <f t="shared" si="87"/>
        <v/>
      </c>
      <c r="M1824" s="34">
        <f t="shared" si="88"/>
        <v>0</v>
      </c>
    </row>
    <row r="1825" spans="7:13" x14ac:dyDescent="0.25">
      <c r="G1825" s="10" t="str">
        <f t="shared" si="86"/>
        <v/>
      </c>
      <c r="H1825" t="str">
        <f t="shared" si="87"/>
        <v/>
      </c>
      <c r="M1825" s="34">
        <f t="shared" si="88"/>
        <v>0</v>
      </c>
    </row>
    <row r="1826" spans="7:13" x14ac:dyDescent="0.25">
      <c r="G1826" s="10" t="str">
        <f t="shared" si="86"/>
        <v/>
      </c>
      <c r="H1826" t="str">
        <f t="shared" si="87"/>
        <v/>
      </c>
      <c r="M1826" s="34">
        <f t="shared" si="88"/>
        <v>0</v>
      </c>
    </row>
    <row r="1827" spans="7:13" x14ac:dyDescent="0.25">
      <c r="G1827" s="10" t="str">
        <f t="shared" si="86"/>
        <v/>
      </c>
      <c r="H1827" t="str">
        <f t="shared" si="87"/>
        <v/>
      </c>
      <c r="M1827" s="34">
        <f t="shared" si="88"/>
        <v>0</v>
      </c>
    </row>
    <row r="1828" spans="7:13" x14ac:dyDescent="0.25">
      <c r="G1828" s="10" t="str">
        <f t="shared" si="86"/>
        <v/>
      </c>
      <c r="H1828" t="str">
        <f t="shared" si="87"/>
        <v/>
      </c>
      <c r="M1828" s="34">
        <f t="shared" si="88"/>
        <v>0</v>
      </c>
    </row>
    <row r="1829" spans="7:13" x14ac:dyDescent="0.25">
      <c r="G1829" s="10" t="str">
        <f t="shared" si="86"/>
        <v/>
      </c>
      <c r="H1829" t="str">
        <f t="shared" si="87"/>
        <v/>
      </c>
      <c r="M1829" s="34">
        <f t="shared" si="88"/>
        <v>0</v>
      </c>
    </row>
    <row r="1830" spans="7:13" x14ac:dyDescent="0.25">
      <c r="G1830" s="10" t="str">
        <f t="shared" si="86"/>
        <v/>
      </c>
      <c r="H1830" t="str">
        <f t="shared" si="87"/>
        <v/>
      </c>
      <c r="M1830" s="34">
        <f t="shared" si="88"/>
        <v>0</v>
      </c>
    </row>
    <row r="1831" spans="7:13" x14ac:dyDescent="0.25">
      <c r="G1831" s="10" t="str">
        <f t="shared" si="86"/>
        <v/>
      </c>
      <c r="H1831" t="str">
        <f t="shared" si="87"/>
        <v/>
      </c>
      <c r="M1831" s="34">
        <f t="shared" si="88"/>
        <v>0</v>
      </c>
    </row>
    <row r="1832" spans="7:13" x14ac:dyDescent="0.25">
      <c r="G1832" s="10" t="str">
        <f t="shared" si="86"/>
        <v/>
      </c>
      <c r="H1832" t="str">
        <f t="shared" si="87"/>
        <v/>
      </c>
      <c r="M1832" s="34">
        <f t="shared" si="88"/>
        <v>0</v>
      </c>
    </row>
    <row r="1833" spans="7:13" x14ac:dyDescent="0.25">
      <c r="G1833" s="10" t="str">
        <f t="shared" si="86"/>
        <v/>
      </c>
      <c r="H1833" t="str">
        <f t="shared" si="87"/>
        <v/>
      </c>
      <c r="M1833" s="34">
        <f t="shared" si="88"/>
        <v>0</v>
      </c>
    </row>
    <row r="1834" spans="7:13" x14ac:dyDescent="0.25">
      <c r="G1834" s="10" t="str">
        <f t="shared" si="86"/>
        <v/>
      </c>
      <c r="H1834" t="str">
        <f t="shared" si="87"/>
        <v/>
      </c>
      <c r="M1834" s="34">
        <f t="shared" si="88"/>
        <v>0</v>
      </c>
    </row>
    <row r="1835" spans="7:13" x14ac:dyDescent="0.25">
      <c r="G1835" s="10" t="str">
        <f t="shared" si="86"/>
        <v/>
      </c>
      <c r="H1835" t="str">
        <f t="shared" si="87"/>
        <v/>
      </c>
      <c r="M1835" s="34">
        <f t="shared" si="88"/>
        <v>0</v>
      </c>
    </row>
    <row r="1836" spans="7:13" x14ac:dyDescent="0.25">
      <c r="G1836" s="10" t="str">
        <f t="shared" si="86"/>
        <v/>
      </c>
      <c r="H1836" t="str">
        <f t="shared" si="87"/>
        <v/>
      </c>
      <c r="M1836" s="34">
        <f t="shared" si="88"/>
        <v>0</v>
      </c>
    </row>
    <row r="1837" spans="7:13" x14ac:dyDescent="0.25">
      <c r="G1837" s="10" t="str">
        <f t="shared" si="86"/>
        <v/>
      </c>
      <c r="H1837" t="str">
        <f t="shared" si="87"/>
        <v/>
      </c>
      <c r="M1837" s="34">
        <f t="shared" si="88"/>
        <v>0</v>
      </c>
    </row>
    <row r="1838" spans="7:13" x14ac:dyDescent="0.25">
      <c r="G1838" s="10" t="str">
        <f t="shared" si="86"/>
        <v/>
      </c>
      <c r="H1838" t="str">
        <f t="shared" si="87"/>
        <v/>
      </c>
      <c r="M1838" s="34">
        <f t="shared" si="88"/>
        <v>0</v>
      </c>
    </row>
    <row r="1839" spans="7:13" x14ac:dyDescent="0.25">
      <c r="G1839" s="10" t="str">
        <f t="shared" si="86"/>
        <v/>
      </c>
      <c r="H1839" t="str">
        <f t="shared" si="87"/>
        <v/>
      </c>
      <c r="M1839" s="34">
        <f t="shared" si="88"/>
        <v>0</v>
      </c>
    </row>
    <row r="1840" spans="7:13" x14ac:dyDescent="0.25">
      <c r="G1840" s="10" t="str">
        <f t="shared" si="86"/>
        <v/>
      </c>
      <c r="H1840" t="str">
        <f t="shared" si="87"/>
        <v/>
      </c>
      <c r="M1840" s="34">
        <f t="shared" si="88"/>
        <v>0</v>
      </c>
    </row>
    <row r="1841" spans="7:13" x14ac:dyDescent="0.25">
      <c r="G1841" s="10" t="str">
        <f t="shared" si="86"/>
        <v/>
      </c>
      <c r="H1841" t="str">
        <f t="shared" si="87"/>
        <v/>
      </c>
      <c r="M1841" s="34">
        <f t="shared" si="88"/>
        <v>0</v>
      </c>
    </row>
    <row r="1842" spans="7:13" x14ac:dyDescent="0.25">
      <c r="G1842" s="10" t="str">
        <f t="shared" si="86"/>
        <v/>
      </c>
      <c r="H1842" t="str">
        <f t="shared" si="87"/>
        <v/>
      </c>
      <c r="M1842" s="34">
        <f t="shared" si="88"/>
        <v>0</v>
      </c>
    </row>
    <row r="1843" spans="7:13" x14ac:dyDescent="0.25">
      <c r="G1843" s="10" t="str">
        <f t="shared" si="86"/>
        <v/>
      </c>
      <c r="H1843" t="str">
        <f t="shared" si="87"/>
        <v/>
      </c>
      <c r="M1843" s="34">
        <f t="shared" si="88"/>
        <v>0</v>
      </c>
    </row>
    <row r="1844" spans="7:13" x14ac:dyDescent="0.25">
      <c r="G1844" s="10" t="str">
        <f t="shared" si="86"/>
        <v/>
      </c>
      <c r="H1844" t="str">
        <f t="shared" si="87"/>
        <v/>
      </c>
      <c r="M1844" s="34">
        <f t="shared" si="88"/>
        <v>0</v>
      </c>
    </row>
    <row r="1845" spans="7:13" x14ac:dyDescent="0.25">
      <c r="G1845" s="10" t="str">
        <f t="shared" si="86"/>
        <v/>
      </c>
      <c r="H1845" t="str">
        <f t="shared" si="87"/>
        <v/>
      </c>
      <c r="M1845" s="34">
        <f t="shared" si="88"/>
        <v>0</v>
      </c>
    </row>
    <row r="1846" spans="7:13" x14ac:dyDescent="0.25">
      <c r="G1846" s="10" t="str">
        <f t="shared" si="86"/>
        <v/>
      </c>
      <c r="H1846" t="str">
        <f t="shared" si="87"/>
        <v/>
      </c>
      <c r="M1846" s="34">
        <f t="shared" si="88"/>
        <v>0</v>
      </c>
    </row>
    <row r="1847" spans="7:13" x14ac:dyDescent="0.25">
      <c r="G1847" s="10" t="str">
        <f t="shared" si="86"/>
        <v/>
      </c>
      <c r="H1847" t="str">
        <f t="shared" si="87"/>
        <v/>
      </c>
      <c r="M1847" s="34">
        <f t="shared" si="88"/>
        <v>0</v>
      </c>
    </row>
    <row r="1848" spans="7:13" x14ac:dyDescent="0.25">
      <c r="G1848" s="10" t="str">
        <f t="shared" si="86"/>
        <v/>
      </c>
      <c r="H1848" t="str">
        <f t="shared" si="87"/>
        <v/>
      </c>
      <c r="M1848" s="34">
        <f t="shared" si="88"/>
        <v>0</v>
      </c>
    </row>
    <row r="1849" spans="7:13" x14ac:dyDescent="0.25">
      <c r="G1849" s="10" t="str">
        <f t="shared" si="86"/>
        <v/>
      </c>
      <c r="H1849" t="str">
        <f t="shared" si="87"/>
        <v/>
      </c>
      <c r="M1849" s="34">
        <f t="shared" si="88"/>
        <v>0</v>
      </c>
    </row>
    <row r="1850" spans="7:13" x14ac:dyDescent="0.25">
      <c r="G1850" s="10" t="str">
        <f t="shared" si="86"/>
        <v/>
      </c>
      <c r="H1850" t="str">
        <f t="shared" si="87"/>
        <v/>
      </c>
      <c r="M1850" s="34">
        <f t="shared" si="88"/>
        <v>0</v>
      </c>
    </row>
    <row r="1851" spans="7:13" x14ac:dyDescent="0.25">
      <c r="G1851" s="10" t="str">
        <f t="shared" si="86"/>
        <v/>
      </c>
      <c r="H1851" t="str">
        <f t="shared" si="87"/>
        <v/>
      </c>
      <c r="M1851" s="34">
        <f t="shared" si="88"/>
        <v>0</v>
      </c>
    </row>
    <row r="1852" spans="7:13" x14ac:dyDescent="0.25">
      <c r="G1852" s="10" t="str">
        <f t="shared" si="86"/>
        <v/>
      </c>
      <c r="H1852" t="str">
        <f t="shared" si="87"/>
        <v/>
      </c>
      <c r="M1852" s="34">
        <f t="shared" si="88"/>
        <v>0</v>
      </c>
    </row>
    <row r="1853" spans="7:13" x14ac:dyDescent="0.25">
      <c r="G1853" s="10" t="str">
        <f t="shared" si="86"/>
        <v/>
      </c>
      <c r="H1853" t="str">
        <f t="shared" si="87"/>
        <v/>
      </c>
      <c r="M1853" s="34">
        <f t="shared" si="88"/>
        <v>0</v>
      </c>
    </row>
    <row r="1854" spans="7:13" x14ac:dyDescent="0.25">
      <c r="G1854" s="10" t="str">
        <f t="shared" si="86"/>
        <v/>
      </c>
      <c r="H1854" t="str">
        <f t="shared" si="87"/>
        <v/>
      </c>
      <c r="M1854" s="34">
        <f t="shared" si="88"/>
        <v>0</v>
      </c>
    </row>
    <row r="1855" spans="7:13" x14ac:dyDescent="0.25">
      <c r="G1855" s="10" t="str">
        <f t="shared" si="86"/>
        <v/>
      </c>
      <c r="H1855" t="str">
        <f t="shared" si="87"/>
        <v/>
      </c>
      <c r="M1855" s="34">
        <f t="shared" si="88"/>
        <v>0</v>
      </c>
    </row>
    <row r="1856" spans="7:13" x14ac:dyDescent="0.25">
      <c r="G1856" s="10" t="str">
        <f t="shared" si="86"/>
        <v/>
      </c>
      <c r="H1856" t="str">
        <f t="shared" si="87"/>
        <v/>
      </c>
      <c r="M1856" s="34">
        <f t="shared" si="88"/>
        <v>0</v>
      </c>
    </row>
    <row r="1857" spans="7:13" x14ac:dyDescent="0.25">
      <c r="G1857" s="10" t="str">
        <f t="shared" si="86"/>
        <v/>
      </c>
      <c r="H1857" t="str">
        <f t="shared" si="87"/>
        <v/>
      </c>
      <c r="M1857" s="34">
        <f t="shared" si="88"/>
        <v>0</v>
      </c>
    </row>
    <row r="1858" spans="7:13" x14ac:dyDescent="0.25">
      <c r="G1858" s="10" t="str">
        <f t="shared" ref="G1858:G1921" si="89">IF(F1858&gt;0,"RECETTE",IF(F1858&lt;0,"DÉPENSE",""))</f>
        <v/>
      </c>
      <c r="H1858" t="str">
        <f t="shared" ref="H1858:H1921" si="90">+IF(ISNUMBER(D1858),D1858,"")</f>
        <v/>
      </c>
      <c r="M1858" s="34">
        <f t="shared" si="88"/>
        <v>0</v>
      </c>
    </row>
    <row r="1859" spans="7:13" x14ac:dyDescent="0.25">
      <c r="G1859" s="10" t="str">
        <f t="shared" si="89"/>
        <v/>
      </c>
      <c r="H1859" t="str">
        <f t="shared" si="90"/>
        <v/>
      </c>
      <c r="M1859" s="34">
        <f t="shared" ref="M1859:M1922" si="91">IF(AND(E1859="Chèque",G1859="RECETTE"),F1859,0)</f>
        <v>0</v>
      </c>
    </row>
    <row r="1860" spans="7:13" x14ac:dyDescent="0.25">
      <c r="G1860" s="10" t="str">
        <f t="shared" si="89"/>
        <v/>
      </c>
      <c r="H1860" t="str">
        <f t="shared" si="90"/>
        <v/>
      </c>
      <c r="M1860" s="34">
        <f t="shared" si="91"/>
        <v>0</v>
      </c>
    </row>
    <row r="1861" spans="7:13" x14ac:dyDescent="0.25">
      <c r="G1861" s="10" t="str">
        <f t="shared" si="89"/>
        <v/>
      </c>
      <c r="H1861" t="str">
        <f t="shared" si="90"/>
        <v/>
      </c>
      <c r="M1861" s="34">
        <f t="shared" si="91"/>
        <v>0</v>
      </c>
    </row>
    <row r="1862" spans="7:13" x14ac:dyDescent="0.25">
      <c r="G1862" s="10" t="str">
        <f t="shared" si="89"/>
        <v/>
      </c>
      <c r="H1862" t="str">
        <f t="shared" si="90"/>
        <v/>
      </c>
      <c r="M1862" s="34">
        <f t="shared" si="91"/>
        <v>0</v>
      </c>
    </row>
    <row r="1863" spans="7:13" x14ac:dyDescent="0.25">
      <c r="G1863" s="10" t="str">
        <f t="shared" si="89"/>
        <v/>
      </c>
      <c r="H1863" t="str">
        <f t="shared" si="90"/>
        <v/>
      </c>
      <c r="M1863" s="34">
        <f t="shared" si="91"/>
        <v>0</v>
      </c>
    </row>
    <row r="1864" spans="7:13" x14ac:dyDescent="0.25">
      <c r="G1864" s="10" t="str">
        <f t="shared" si="89"/>
        <v/>
      </c>
      <c r="H1864" t="str">
        <f t="shared" si="90"/>
        <v/>
      </c>
      <c r="M1864" s="34">
        <f t="shared" si="91"/>
        <v>0</v>
      </c>
    </row>
    <row r="1865" spans="7:13" x14ac:dyDescent="0.25">
      <c r="G1865" s="10" t="str">
        <f t="shared" si="89"/>
        <v/>
      </c>
      <c r="H1865" t="str">
        <f t="shared" si="90"/>
        <v/>
      </c>
      <c r="M1865" s="34">
        <f t="shared" si="91"/>
        <v>0</v>
      </c>
    </row>
    <row r="1866" spans="7:13" x14ac:dyDescent="0.25">
      <c r="G1866" s="10" t="str">
        <f t="shared" si="89"/>
        <v/>
      </c>
      <c r="H1866" t="str">
        <f t="shared" si="90"/>
        <v/>
      </c>
      <c r="M1866" s="34">
        <f t="shared" si="91"/>
        <v>0</v>
      </c>
    </row>
    <row r="1867" spans="7:13" x14ac:dyDescent="0.25">
      <c r="G1867" s="10" t="str">
        <f t="shared" si="89"/>
        <v/>
      </c>
      <c r="H1867" t="str">
        <f t="shared" si="90"/>
        <v/>
      </c>
      <c r="M1867" s="34">
        <f t="shared" si="91"/>
        <v>0</v>
      </c>
    </row>
    <row r="1868" spans="7:13" x14ac:dyDescent="0.25">
      <c r="G1868" s="10" t="str">
        <f t="shared" si="89"/>
        <v/>
      </c>
      <c r="H1868" t="str">
        <f t="shared" si="90"/>
        <v/>
      </c>
      <c r="M1868" s="34">
        <f t="shared" si="91"/>
        <v>0</v>
      </c>
    </row>
    <row r="1869" spans="7:13" x14ac:dyDescent="0.25">
      <c r="G1869" s="10" t="str">
        <f t="shared" si="89"/>
        <v/>
      </c>
      <c r="H1869" t="str">
        <f t="shared" si="90"/>
        <v/>
      </c>
      <c r="M1869" s="34">
        <f t="shared" si="91"/>
        <v>0</v>
      </c>
    </row>
    <row r="1870" spans="7:13" x14ac:dyDescent="0.25">
      <c r="G1870" s="10" t="str">
        <f t="shared" si="89"/>
        <v/>
      </c>
      <c r="H1870" t="str">
        <f t="shared" si="90"/>
        <v/>
      </c>
      <c r="M1870" s="34">
        <f t="shared" si="91"/>
        <v>0</v>
      </c>
    </row>
    <row r="1871" spans="7:13" x14ac:dyDescent="0.25">
      <c r="G1871" s="10" t="str">
        <f t="shared" si="89"/>
        <v/>
      </c>
      <c r="H1871" t="str">
        <f t="shared" si="90"/>
        <v/>
      </c>
      <c r="M1871" s="34">
        <f t="shared" si="91"/>
        <v>0</v>
      </c>
    </row>
    <row r="1872" spans="7:13" x14ac:dyDescent="0.25">
      <c r="G1872" s="10" t="str">
        <f t="shared" si="89"/>
        <v/>
      </c>
      <c r="H1872" t="str">
        <f t="shared" si="90"/>
        <v/>
      </c>
      <c r="M1872" s="34">
        <f t="shared" si="91"/>
        <v>0</v>
      </c>
    </row>
    <row r="1873" spans="7:13" x14ac:dyDescent="0.25">
      <c r="G1873" s="10" t="str">
        <f t="shared" si="89"/>
        <v/>
      </c>
      <c r="H1873" t="str">
        <f t="shared" si="90"/>
        <v/>
      </c>
      <c r="M1873" s="34">
        <f t="shared" si="91"/>
        <v>0</v>
      </c>
    </row>
    <row r="1874" spans="7:13" x14ac:dyDescent="0.25">
      <c r="G1874" s="10" t="str">
        <f t="shared" si="89"/>
        <v/>
      </c>
      <c r="H1874" t="str">
        <f t="shared" si="90"/>
        <v/>
      </c>
      <c r="M1874" s="34">
        <f t="shared" si="91"/>
        <v>0</v>
      </c>
    </row>
    <row r="1875" spans="7:13" x14ac:dyDescent="0.25">
      <c r="G1875" s="10" t="str">
        <f t="shared" si="89"/>
        <v/>
      </c>
      <c r="H1875" t="str">
        <f t="shared" si="90"/>
        <v/>
      </c>
      <c r="M1875" s="34">
        <f t="shared" si="91"/>
        <v>0</v>
      </c>
    </row>
    <row r="1876" spans="7:13" x14ac:dyDescent="0.25">
      <c r="G1876" s="10" t="str">
        <f t="shared" si="89"/>
        <v/>
      </c>
      <c r="H1876" t="str">
        <f t="shared" si="90"/>
        <v/>
      </c>
      <c r="M1876" s="34">
        <f t="shared" si="91"/>
        <v>0</v>
      </c>
    </row>
    <row r="1877" spans="7:13" x14ac:dyDescent="0.25">
      <c r="G1877" s="10" t="str">
        <f t="shared" si="89"/>
        <v/>
      </c>
      <c r="H1877" t="str">
        <f t="shared" si="90"/>
        <v/>
      </c>
      <c r="M1877" s="34">
        <f t="shared" si="91"/>
        <v>0</v>
      </c>
    </row>
    <row r="1878" spans="7:13" x14ac:dyDescent="0.25">
      <c r="G1878" s="10" t="str">
        <f t="shared" si="89"/>
        <v/>
      </c>
      <c r="H1878" t="str">
        <f t="shared" si="90"/>
        <v/>
      </c>
      <c r="M1878" s="34">
        <f t="shared" si="91"/>
        <v>0</v>
      </c>
    </row>
    <row r="1879" spans="7:13" x14ac:dyDescent="0.25">
      <c r="G1879" s="10" t="str">
        <f t="shared" si="89"/>
        <v/>
      </c>
      <c r="H1879" t="str">
        <f t="shared" si="90"/>
        <v/>
      </c>
      <c r="M1879" s="34">
        <f t="shared" si="91"/>
        <v>0</v>
      </c>
    </row>
    <row r="1880" spans="7:13" x14ac:dyDescent="0.25">
      <c r="G1880" s="10" t="str">
        <f t="shared" si="89"/>
        <v/>
      </c>
      <c r="H1880" t="str">
        <f t="shared" si="90"/>
        <v/>
      </c>
      <c r="M1880" s="34">
        <f t="shared" si="91"/>
        <v>0</v>
      </c>
    </row>
    <row r="1881" spans="7:13" x14ac:dyDescent="0.25">
      <c r="G1881" s="10" t="str">
        <f t="shared" si="89"/>
        <v/>
      </c>
      <c r="H1881" t="str">
        <f t="shared" si="90"/>
        <v/>
      </c>
      <c r="M1881" s="34">
        <f t="shared" si="91"/>
        <v>0</v>
      </c>
    </row>
    <row r="1882" spans="7:13" x14ac:dyDescent="0.25">
      <c r="G1882" s="10" t="str">
        <f t="shared" si="89"/>
        <v/>
      </c>
      <c r="H1882" t="str">
        <f t="shared" si="90"/>
        <v/>
      </c>
      <c r="M1882" s="34">
        <f t="shared" si="91"/>
        <v>0</v>
      </c>
    </row>
    <row r="1883" spans="7:13" x14ac:dyDescent="0.25">
      <c r="G1883" s="10" t="str">
        <f t="shared" si="89"/>
        <v/>
      </c>
      <c r="H1883" t="str">
        <f t="shared" si="90"/>
        <v/>
      </c>
      <c r="M1883" s="34">
        <f t="shared" si="91"/>
        <v>0</v>
      </c>
    </row>
    <row r="1884" spans="7:13" x14ac:dyDescent="0.25">
      <c r="G1884" s="10" t="str">
        <f t="shared" si="89"/>
        <v/>
      </c>
      <c r="H1884" t="str">
        <f t="shared" si="90"/>
        <v/>
      </c>
      <c r="M1884" s="34">
        <f t="shared" si="91"/>
        <v>0</v>
      </c>
    </row>
    <row r="1885" spans="7:13" x14ac:dyDescent="0.25">
      <c r="G1885" s="10" t="str">
        <f t="shared" si="89"/>
        <v/>
      </c>
      <c r="H1885" t="str">
        <f t="shared" si="90"/>
        <v/>
      </c>
      <c r="M1885" s="34">
        <f t="shared" si="91"/>
        <v>0</v>
      </c>
    </row>
    <row r="1886" spans="7:13" x14ac:dyDescent="0.25">
      <c r="G1886" s="10" t="str">
        <f t="shared" si="89"/>
        <v/>
      </c>
      <c r="H1886" t="str">
        <f t="shared" si="90"/>
        <v/>
      </c>
      <c r="M1886" s="34">
        <f t="shared" si="91"/>
        <v>0</v>
      </c>
    </row>
    <row r="1887" spans="7:13" x14ac:dyDescent="0.25">
      <c r="G1887" s="10" t="str">
        <f t="shared" si="89"/>
        <v/>
      </c>
      <c r="H1887" t="str">
        <f t="shared" si="90"/>
        <v/>
      </c>
      <c r="M1887" s="34">
        <f t="shared" si="91"/>
        <v>0</v>
      </c>
    </row>
    <row r="1888" spans="7:13" x14ac:dyDescent="0.25">
      <c r="G1888" s="10" t="str">
        <f t="shared" si="89"/>
        <v/>
      </c>
      <c r="H1888" t="str">
        <f t="shared" si="90"/>
        <v/>
      </c>
      <c r="M1888" s="34">
        <f t="shared" si="91"/>
        <v>0</v>
      </c>
    </row>
    <row r="1889" spans="7:13" x14ac:dyDescent="0.25">
      <c r="G1889" s="10" t="str">
        <f t="shared" si="89"/>
        <v/>
      </c>
      <c r="H1889" t="str">
        <f t="shared" si="90"/>
        <v/>
      </c>
      <c r="M1889" s="34">
        <f t="shared" si="91"/>
        <v>0</v>
      </c>
    </row>
    <row r="1890" spans="7:13" x14ac:dyDescent="0.25">
      <c r="G1890" s="10" t="str">
        <f t="shared" si="89"/>
        <v/>
      </c>
      <c r="H1890" t="str">
        <f t="shared" si="90"/>
        <v/>
      </c>
      <c r="M1890" s="34">
        <f t="shared" si="91"/>
        <v>0</v>
      </c>
    </row>
    <row r="1891" spans="7:13" x14ac:dyDescent="0.25">
      <c r="G1891" s="10" t="str">
        <f t="shared" si="89"/>
        <v/>
      </c>
      <c r="H1891" t="str">
        <f t="shared" si="90"/>
        <v/>
      </c>
      <c r="M1891" s="34">
        <f t="shared" si="91"/>
        <v>0</v>
      </c>
    </row>
    <row r="1892" spans="7:13" x14ac:dyDescent="0.25">
      <c r="G1892" s="10" t="str">
        <f t="shared" si="89"/>
        <v/>
      </c>
      <c r="H1892" t="str">
        <f t="shared" si="90"/>
        <v/>
      </c>
      <c r="M1892" s="34">
        <f t="shared" si="91"/>
        <v>0</v>
      </c>
    </row>
    <row r="1893" spans="7:13" x14ac:dyDescent="0.25">
      <c r="G1893" s="10" t="str">
        <f t="shared" si="89"/>
        <v/>
      </c>
      <c r="H1893" t="str">
        <f t="shared" si="90"/>
        <v/>
      </c>
      <c r="M1893" s="34">
        <f t="shared" si="91"/>
        <v>0</v>
      </c>
    </row>
    <row r="1894" spans="7:13" x14ac:dyDescent="0.25">
      <c r="G1894" s="10" t="str">
        <f t="shared" si="89"/>
        <v/>
      </c>
      <c r="H1894" t="str">
        <f t="shared" si="90"/>
        <v/>
      </c>
      <c r="M1894" s="34">
        <f t="shared" si="91"/>
        <v>0</v>
      </c>
    </row>
    <row r="1895" spans="7:13" x14ac:dyDescent="0.25">
      <c r="G1895" s="10" t="str">
        <f t="shared" si="89"/>
        <v/>
      </c>
      <c r="H1895" t="str">
        <f t="shared" si="90"/>
        <v/>
      </c>
      <c r="M1895" s="34">
        <f t="shared" si="91"/>
        <v>0</v>
      </c>
    </row>
    <row r="1896" spans="7:13" x14ac:dyDescent="0.25">
      <c r="G1896" s="10" t="str">
        <f t="shared" si="89"/>
        <v/>
      </c>
      <c r="H1896" t="str">
        <f t="shared" si="90"/>
        <v/>
      </c>
      <c r="M1896" s="34">
        <f t="shared" si="91"/>
        <v>0</v>
      </c>
    </row>
    <row r="1897" spans="7:13" x14ac:dyDescent="0.25">
      <c r="G1897" s="10" t="str">
        <f t="shared" si="89"/>
        <v/>
      </c>
      <c r="H1897" t="str">
        <f t="shared" si="90"/>
        <v/>
      </c>
      <c r="M1897" s="34">
        <f t="shared" si="91"/>
        <v>0</v>
      </c>
    </row>
    <row r="1898" spans="7:13" x14ac:dyDescent="0.25">
      <c r="G1898" s="10" t="str">
        <f t="shared" si="89"/>
        <v/>
      </c>
      <c r="H1898" t="str">
        <f t="shared" si="90"/>
        <v/>
      </c>
      <c r="M1898" s="34">
        <f t="shared" si="91"/>
        <v>0</v>
      </c>
    </row>
    <row r="1899" spans="7:13" x14ac:dyDescent="0.25">
      <c r="G1899" s="10" t="str">
        <f t="shared" si="89"/>
        <v/>
      </c>
      <c r="H1899" t="str">
        <f t="shared" si="90"/>
        <v/>
      </c>
      <c r="M1899" s="34">
        <f t="shared" si="91"/>
        <v>0</v>
      </c>
    </row>
    <row r="1900" spans="7:13" x14ac:dyDescent="0.25">
      <c r="G1900" s="10" t="str">
        <f t="shared" si="89"/>
        <v/>
      </c>
      <c r="H1900" t="str">
        <f t="shared" si="90"/>
        <v/>
      </c>
      <c r="M1900" s="34">
        <f t="shared" si="91"/>
        <v>0</v>
      </c>
    </row>
    <row r="1901" spans="7:13" x14ac:dyDescent="0.25">
      <c r="G1901" s="10" t="str">
        <f t="shared" si="89"/>
        <v/>
      </c>
      <c r="H1901" t="str">
        <f t="shared" si="90"/>
        <v/>
      </c>
      <c r="M1901" s="34">
        <f t="shared" si="91"/>
        <v>0</v>
      </c>
    </row>
    <row r="1902" spans="7:13" x14ac:dyDescent="0.25">
      <c r="G1902" s="10" t="str">
        <f t="shared" si="89"/>
        <v/>
      </c>
      <c r="H1902" t="str">
        <f t="shared" si="90"/>
        <v/>
      </c>
      <c r="M1902" s="34">
        <f t="shared" si="91"/>
        <v>0</v>
      </c>
    </row>
    <row r="1903" spans="7:13" x14ac:dyDescent="0.25">
      <c r="G1903" s="10" t="str">
        <f t="shared" si="89"/>
        <v/>
      </c>
      <c r="H1903" t="str">
        <f t="shared" si="90"/>
        <v/>
      </c>
      <c r="M1903" s="34">
        <f t="shared" si="91"/>
        <v>0</v>
      </c>
    </row>
    <row r="1904" spans="7:13" x14ac:dyDescent="0.25">
      <c r="G1904" s="10" t="str">
        <f t="shared" si="89"/>
        <v/>
      </c>
      <c r="H1904" t="str">
        <f t="shared" si="90"/>
        <v/>
      </c>
      <c r="M1904" s="34">
        <f t="shared" si="91"/>
        <v>0</v>
      </c>
    </row>
    <row r="1905" spans="7:13" x14ac:dyDescent="0.25">
      <c r="G1905" s="10" t="str">
        <f t="shared" si="89"/>
        <v/>
      </c>
      <c r="H1905" t="str">
        <f t="shared" si="90"/>
        <v/>
      </c>
      <c r="M1905" s="34">
        <f t="shared" si="91"/>
        <v>0</v>
      </c>
    </row>
    <row r="1906" spans="7:13" x14ac:dyDescent="0.25">
      <c r="G1906" s="10" t="str">
        <f t="shared" si="89"/>
        <v/>
      </c>
      <c r="H1906" t="str">
        <f t="shared" si="90"/>
        <v/>
      </c>
      <c r="M1906" s="34">
        <f t="shared" si="91"/>
        <v>0</v>
      </c>
    </row>
    <row r="1907" spans="7:13" x14ac:dyDescent="0.25">
      <c r="G1907" s="10" t="str">
        <f t="shared" si="89"/>
        <v/>
      </c>
      <c r="H1907" t="str">
        <f t="shared" si="90"/>
        <v/>
      </c>
      <c r="M1907" s="34">
        <f t="shared" si="91"/>
        <v>0</v>
      </c>
    </row>
    <row r="1908" spans="7:13" x14ac:dyDescent="0.25">
      <c r="G1908" s="10" t="str">
        <f t="shared" si="89"/>
        <v/>
      </c>
      <c r="H1908" t="str">
        <f t="shared" si="90"/>
        <v/>
      </c>
      <c r="M1908" s="34">
        <f t="shared" si="91"/>
        <v>0</v>
      </c>
    </row>
    <row r="1909" spans="7:13" x14ac:dyDescent="0.25">
      <c r="G1909" s="10" t="str">
        <f t="shared" si="89"/>
        <v/>
      </c>
      <c r="H1909" t="str">
        <f t="shared" si="90"/>
        <v/>
      </c>
      <c r="M1909" s="34">
        <f t="shared" si="91"/>
        <v>0</v>
      </c>
    </row>
    <row r="1910" spans="7:13" x14ac:dyDescent="0.25">
      <c r="G1910" s="10" t="str">
        <f t="shared" si="89"/>
        <v/>
      </c>
      <c r="H1910" t="str">
        <f t="shared" si="90"/>
        <v/>
      </c>
      <c r="M1910" s="34">
        <f t="shared" si="91"/>
        <v>0</v>
      </c>
    </row>
    <row r="1911" spans="7:13" x14ac:dyDescent="0.25">
      <c r="G1911" s="10" t="str">
        <f t="shared" si="89"/>
        <v/>
      </c>
      <c r="H1911" t="str">
        <f t="shared" si="90"/>
        <v/>
      </c>
      <c r="M1911" s="34">
        <f t="shared" si="91"/>
        <v>0</v>
      </c>
    </row>
    <row r="1912" spans="7:13" x14ac:dyDescent="0.25">
      <c r="G1912" s="10" t="str">
        <f t="shared" si="89"/>
        <v/>
      </c>
      <c r="H1912" t="str">
        <f t="shared" si="90"/>
        <v/>
      </c>
      <c r="M1912" s="34">
        <f t="shared" si="91"/>
        <v>0</v>
      </c>
    </row>
    <row r="1913" spans="7:13" x14ac:dyDescent="0.25">
      <c r="G1913" s="10" t="str">
        <f t="shared" si="89"/>
        <v/>
      </c>
      <c r="H1913" t="str">
        <f t="shared" si="90"/>
        <v/>
      </c>
      <c r="M1913" s="34">
        <f t="shared" si="91"/>
        <v>0</v>
      </c>
    </row>
    <row r="1914" spans="7:13" x14ac:dyDescent="0.25">
      <c r="G1914" s="10" t="str">
        <f t="shared" si="89"/>
        <v/>
      </c>
      <c r="H1914" t="str">
        <f t="shared" si="90"/>
        <v/>
      </c>
      <c r="M1914" s="34">
        <f t="shared" si="91"/>
        <v>0</v>
      </c>
    </row>
    <row r="1915" spans="7:13" x14ac:dyDescent="0.25">
      <c r="G1915" s="10" t="str">
        <f t="shared" si="89"/>
        <v/>
      </c>
      <c r="H1915" t="str">
        <f t="shared" si="90"/>
        <v/>
      </c>
      <c r="M1915" s="34">
        <f t="shared" si="91"/>
        <v>0</v>
      </c>
    </row>
    <row r="1916" spans="7:13" x14ac:dyDescent="0.25">
      <c r="G1916" s="10" t="str">
        <f t="shared" si="89"/>
        <v/>
      </c>
      <c r="H1916" t="str">
        <f t="shared" si="90"/>
        <v/>
      </c>
      <c r="M1916" s="34">
        <f t="shared" si="91"/>
        <v>0</v>
      </c>
    </row>
    <row r="1917" spans="7:13" x14ac:dyDescent="0.25">
      <c r="G1917" s="10" t="str">
        <f t="shared" si="89"/>
        <v/>
      </c>
      <c r="H1917" t="str">
        <f t="shared" si="90"/>
        <v/>
      </c>
      <c r="M1917" s="34">
        <f t="shared" si="91"/>
        <v>0</v>
      </c>
    </row>
    <row r="1918" spans="7:13" x14ac:dyDescent="0.25">
      <c r="G1918" s="10" t="str">
        <f t="shared" si="89"/>
        <v/>
      </c>
      <c r="H1918" t="str">
        <f t="shared" si="90"/>
        <v/>
      </c>
      <c r="M1918" s="34">
        <f t="shared" si="91"/>
        <v>0</v>
      </c>
    </row>
    <row r="1919" spans="7:13" x14ac:dyDescent="0.25">
      <c r="G1919" s="10" t="str">
        <f t="shared" si="89"/>
        <v/>
      </c>
      <c r="H1919" t="str">
        <f t="shared" si="90"/>
        <v/>
      </c>
      <c r="M1919" s="34">
        <f t="shared" si="91"/>
        <v>0</v>
      </c>
    </row>
    <row r="1920" spans="7:13" x14ac:dyDescent="0.25">
      <c r="G1920" s="10" t="str">
        <f t="shared" si="89"/>
        <v/>
      </c>
      <c r="H1920" t="str">
        <f t="shared" si="90"/>
        <v/>
      </c>
      <c r="M1920" s="34">
        <f t="shared" si="91"/>
        <v>0</v>
      </c>
    </row>
    <row r="1921" spans="7:13" x14ac:dyDescent="0.25">
      <c r="G1921" s="10" t="str">
        <f t="shared" si="89"/>
        <v/>
      </c>
      <c r="H1921" t="str">
        <f t="shared" si="90"/>
        <v/>
      </c>
      <c r="M1921" s="34">
        <f t="shared" si="91"/>
        <v>0</v>
      </c>
    </row>
    <row r="1922" spans="7:13" x14ac:dyDescent="0.25">
      <c r="G1922" s="10" t="str">
        <f t="shared" ref="G1922:G1985" si="92">IF(F1922&gt;0,"RECETTE",IF(F1922&lt;0,"DÉPENSE",""))</f>
        <v/>
      </c>
      <c r="H1922" t="str">
        <f t="shared" ref="H1922:H1985" si="93">+IF(ISNUMBER(D1922),D1922,"")</f>
        <v/>
      </c>
      <c r="M1922" s="34">
        <f t="shared" si="91"/>
        <v>0</v>
      </c>
    </row>
    <row r="1923" spans="7:13" x14ac:dyDescent="0.25">
      <c r="G1923" s="10" t="str">
        <f t="shared" si="92"/>
        <v/>
      </c>
      <c r="H1923" t="str">
        <f t="shared" si="93"/>
        <v/>
      </c>
      <c r="M1923" s="34">
        <f t="shared" ref="M1923:M1986" si="94">IF(AND(E1923="Chèque",G1923="RECETTE"),F1923,0)</f>
        <v>0</v>
      </c>
    </row>
    <row r="1924" spans="7:13" x14ac:dyDescent="0.25">
      <c r="G1924" s="10" t="str">
        <f t="shared" si="92"/>
        <v/>
      </c>
      <c r="H1924" t="str">
        <f t="shared" si="93"/>
        <v/>
      </c>
      <c r="M1924" s="34">
        <f t="shared" si="94"/>
        <v>0</v>
      </c>
    </row>
    <row r="1925" spans="7:13" x14ac:dyDescent="0.25">
      <c r="G1925" s="10" t="str">
        <f t="shared" si="92"/>
        <v/>
      </c>
      <c r="H1925" t="str">
        <f t="shared" si="93"/>
        <v/>
      </c>
      <c r="M1925" s="34">
        <f t="shared" si="94"/>
        <v>0</v>
      </c>
    </row>
    <row r="1926" spans="7:13" x14ac:dyDescent="0.25">
      <c r="G1926" s="10" t="str">
        <f t="shared" si="92"/>
        <v/>
      </c>
      <c r="H1926" t="str">
        <f t="shared" si="93"/>
        <v/>
      </c>
      <c r="M1926" s="34">
        <f t="shared" si="94"/>
        <v>0</v>
      </c>
    </row>
    <row r="1927" spans="7:13" x14ac:dyDescent="0.25">
      <c r="G1927" s="10" t="str">
        <f t="shared" si="92"/>
        <v/>
      </c>
      <c r="H1927" t="str">
        <f t="shared" si="93"/>
        <v/>
      </c>
      <c r="M1927" s="34">
        <f t="shared" si="94"/>
        <v>0</v>
      </c>
    </row>
    <row r="1928" spans="7:13" x14ac:dyDescent="0.25">
      <c r="G1928" s="10" t="str">
        <f t="shared" si="92"/>
        <v/>
      </c>
      <c r="H1928" t="str">
        <f t="shared" si="93"/>
        <v/>
      </c>
      <c r="M1928" s="34">
        <f t="shared" si="94"/>
        <v>0</v>
      </c>
    </row>
    <row r="1929" spans="7:13" x14ac:dyDescent="0.25">
      <c r="G1929" s="10" t="str">
        <f t="shared" si="92"/>
        <v/>
      </c>
      <c r="H1929" t="str">
        <f t="shared" si="93"/>
        <v/>
      </c>
      <c r="M1929" s="34">
        <f t="shared" si="94"/>
        <v>0</v>
      </c>
    </row>
    <row r="1930" spans="7:13" x14ac:dyDescent="0.25">
      <c r="G1930" s="10" t="str">
        <f t="shared" si="92"/>
        <v/>
      </c>
      <c r="H1930" t="str">
        <f t="shared" si="93"/>
        <v/>
      </c>
      <c r="M1930" s="34">
        <f t="shared" si="94"/>
        <v>0</v>
      </c>
    </row>
    <row r="1931" spans="7:13" x14ac:dyDescent="0.25">
      <c r="G1931" s="10" t="str">
        <f t="shared" si="92"/>
        <v/>
      </c>
      <c r="H1931" t="str">
        <f t="shared" si="93"/>
        <v/>
      </c>
      <c r="M1931" s="34">
        <f t="shared" si="94"/>
        <v>0</v>
      </c>
    </row>
    <row r="1932" spans="7:13" x14ac:dyDescent="0.25">
      <c r="G1932" s="10" t="str">
        <f t="shared" si="92"/>
        <v/>
      </c>
      <c r="H1932" t="str">
        <f t="shared" si="93"/>
        <v/>
      </c>
      <c r="M1932" s="34">
        <f t="shared" si="94"/>
        <v>0</v>
      </c>
    </row>
    <row r="1933" spans="7:13" x14ac:dyDescent="0.25">
      <c r="G1933" s="10" t="str">
        <f t="shared" si="92"/>
        <v/>
      </c>
      <c r="H1933" t="str">
        <f t="shared" si="93"/>
        <v/>
      </c>
      <c r="M1933" s="34">
        <f t="shared" si="94"/>
        <v>0</v>
      </c>
    </row>
    <row r="1934" spans="7:13" x14ac:dyDescent="0.25">
      <c r="G1934" s="10" t="str">
        <f t="shared" si="92"/>
        <v/>
      </c>
      <c r="H1934" t="str">
        <f t="shared" si="93"/>
        <v/>
      </c>
      <c r="M1934" s="34">
        <f t="shared" si="94"/>
        <v>0</v>
      </c>
    </row>
    <row r="1935" spans="7:13" x14ac:dyDescent="0.25">
      <c r="G1935" s="10" t="str">
        <f t="shared" si="92"/>
        <v/>
      </c>
      <c r="H1935" t="str">
        <f t="shared" si="93"/>
        <v/>
      </c>
      <c r="M1935" s="34">
        <f t="shared" si="94"/>
        <v>0</v>
      </c>
    </row>
    <row r="1936" spans="7:13" x14ac:dyDescent="0.25">
      <c r="G1936" s="10" t="str">
        <f t="shared" si="92"/>
        <v/>
      </c>
      <c r="H1936" t="str">
        <f t="shared" si="93"/>
        <v/>
      </c>
      <c r="M1936" s="34">
        <f t="shared" si="94"/>
        <v>0</v>
      </c>
    </row>
    <row r="1937" spans="7:13" x14ac:dyDescent="0.25">
      <c r="G1937" s="10" t="str">
        <f t="shared" si="92"/>
        <v/>
      </c>
      <c r="H1937" t="str">
        <f t="shared" si="93"/>
        <v/>
      </c>
      <c r="M1937" s="34">
        <f t="shared" si="94"/>
        <v>0</v>
      </c>
    </row>
    <row r="1938" spans="7:13" x14ac:dyDescent="0.25">
      <c r="G1938" s="10" t="str">
        <f t="shared" si="92"/>
        <v/>
      </c>
      <c r="H1938" t="str">
        <f t="shared" si="93"/>
        <v/>
      </c>
      <c r="M1938" s="34">
        <f t="shared" si="94"/>
        <v>0</v>
      </c>
    </row>
    <row r="1939" spans="7:13" x14ac:dyDescent="0.25">
      <c r="G1939" s="10" t="str">
        <f t="shared" si="92"/>
        <v/>
      </c>
      <c r="H1939" t="str">
        <f t="shared" si="93"/>
        <v/>
      </c>
      <c r="M1939" s="34">
        <f t="shared" si="94"/>
        <v>0</v>
      </c>
    </row>
    <row r="1940" spans="7:13" x14ac:dyDescent="0.25">
      <c r="G1940" s="10" t="str">
        <f t="shared" si="92"/>
        <v/>
      </c>
      <c r="H1940" t="str">
        <f t="shared" si="93"/>
        <v/>
      </c>
      <c r="M1940" s="34">
        <f t="shared" si="94"/>
        <v>0</v>
      </c>
    </row>
    <row r="1941" spans="7:13" x14ac:dyDescent="0.25">
      <c r="G1941" s="10" t="str">
        <f t="shared" si="92"/>
        <v/>
      </c>
      <c r="H1941" t="str">
        <f t="shared" si="93"/>
        <v/>
      </c>
      <c r="M1941" s="34">
        <f t="shared" si="94"/>
        <v>0</v>
      </c>
    </row>
    <row r="1942" spans="7:13" x14ac:dyDescent="0.25">
      <c r="G1942" s="10" t="str">
        <f t="shared" si="92"/>
        <v/>
      </c>
      <c r="H1942" t="str">
        <f t="shared" si="93"/>
        <v/>
      </c>
      <c r="M1942" s="34">
        <f t="shared" si="94"/>
        <v>0</v>
      </c>
    </row>
    <row r="1943" spans="7:13" x14ac:dyDescent="0.25">
      <c r="G1943" s="10" t="str">
        <f t="shared" si="92"/>
        <v/>
      </c>
      <c r="H1943" t="str">
        <f t="shared" si="93"/>
        <v/>
      </c>
      <c r="M1943" s="34">
        <f t="shared" si="94"/>
        <v>0</v>
      </c>
    </row>
    <row r="1944" spans="7:13" x14ac:dyDescent="0.25">
      <c r="G1944" s="10" t="str">
        <f t="shared" si="92"/>
        <v/>
      </c>
      <c r="H1944" t="str">
        <f t="shared" si="93"/>
        <v/>
      </c>
      <c r="M1944" s="34">
        <f t="shared" si="94"/>
        <v>0</v>
      </c>
    </row>
    <row r="1945" spans="7:13" x14ac:dyDescent="0.25">
      <c r="G1945" s="10" t="str">
        <f t="shared" si="92"/>
        <v/>
      </c>
      <c r="H1945" t="str">
        <f t="shared" si="93"/>
        <v/>
      </c>
      <c r="M1945" s="34">
        <f t="shared" si="94"/>
        <v>0</v>
      </c>
    </row>
    <row r="1946" spans="7:13" x14ac:dyDescent="0.25">
      <c r="G1946" s="10" t="str">
        <f t="shared" si="92"/>
        <v/>
      </c>
      <c r="H1946" t="str">
        <f t="shared" si="93"/>
        <v/>
      </c>
      <c r="M1946" s="34">
        <f t="shared" si="94"/>
        <v>0</v>
      </c>
    </row>
    <row r="1947" spans="7:13" x14ac:dyDescent="0.25">
      <c r="G1947" s="10" t="str">
        <f t="shared" si="92"/>
        <v/>
      </c>
      <c r="H1947" t="str">
        <f t="shared" si="93"/>
        <v/>
      </c>
      <c r="M1947" s="34">
        <f t="shared" si="94"/>
        <v>0</v>
      </c>
    </row>
    <row r="1948" spans="7:13" x14ac:dyDescent="0.25">
      <c r="G1948" s="10" t="str">
        <f t="shared" si="92"/>
        <v/>
      </c>
      <c r="H1948" t="str">
        <f t="shared" si="93"/>
        <v/>
      </c>
      <c r="M1948" s="34">
        <f t="shared" si="94"/>
        <v>0</v>
      </c>
    </row>
    <row r="1949" spans="7:13" x14ac:dyDescent="0.25">
      <c r="G1949" s="10" t="str">
        <f t="shared" si="92"/>
        <v/>
      </c>
      <c r="H1949" t="str">
        <f t="shared" si="93"/>
        <v/>
      </c>
      <c r="M1949" s="34">
        <f t="shared" si="94"/>
        <v>0</v>
      </c>
    </row>
    <row r="1950" spans="7:13" x14ac:dyDescent="0.25">
      <c r="G1950" s="10" t="str">
        <f t="shared" si="92"/>
        <v/>
      </c>
      <c r="H1950" t="str">
        <f t="shared" si="93"/>
        <v/>
      </c>
      <c r="M1950" s="34">
        <f t="shared" si="94"/>
        <v>0</v>
      </c>
    </row>
    <row r="1951" spans="7:13" x14ac:dyDescent="0.25">
      <c r="G1951" s="10" t="str">
        <f t="shared" si="92"/>
        <v/>
      </c>
      <c r="H1951" t="str">
        <f t="shared" si="93"/>
        <v/>
      </c>
      <c r="M1951" s="34">
        <f t="shared" si="94"/>
        <v>0</v>
      </c>
    </row>
    <row r="1952" spans="7:13" x14ac:dyDescent="0.25">
      <c r="G1952" s="10" t="str">
        <f t="shared" si="92"/>
        <v/>
      </c>
      <c r="H1952" t="str">
        <f t="shared" si="93"/>
        <v/>
      </c>
      <c r="M1952" s="34">
        <f t="shared" si="94"/>
        <v>0</v>
      </c>
    </row>
    <row r="1953" spans="7:13" x14ac:dyDescent="0.25">
      <c r="G1953" s="10" t="str">
        <f t="shared" si="92"/>
        <v/>
      </c>
      <c r="H1953" t="str">
        <f t="shared" si="93"/>
        <v/>
      </c>
      <c r="M1953" s="34">
        <f t="shared" si="94"/>
        <v>0</v>
      </c>
    </row>
    <row r="1954" spans="7:13" x14ac:dyDescent="0.25">
      <c r="G1954" s="10" t="str">
        <f t="shared" si="92"/>
        <v/>
      </c>
      <c r="H1954" t="str">
        <f t="shared" si="93"/>
        <v/>
      </c>
      <c r="M1954" s="34">
        <f t="shared" si="94"/>
        <v>0</v>
      </c>
    </row>
    <row r="1955" spans="7:13" x14ac:dyDescent="0.25">
      <c r="G1955" s="10" t="str">
        <f t="shared" si="92"/>
        <v/>
      </c>
      <c r="H1955" t="str">
        <f t="shared" si="93"/>
        <v/>
      </c>
      <c r="M1955" s="34">
        <f t="shared" si="94"/>
        <v>0</v>
      </c>
    </row>
    <row r="1956" spans="7:13" x14ac:dyDescent="0.25">
      <c r="G1956" s="10" t="str">
        <f t="shared" si="92"/>
        <v/>
      </c>
      <c r="H1956" t="str">
        <f t="shared" si="93"/>
        <v/>
      </c>
      <c r="M1956" s="34">
        <f t="shared" si="94"/>
        <v>0</v>
      </c>
    </row>
    <row r="1957" spans="7:13" x14ac:dyDescent="0.25">
      <c r="G1957" s="10" t="str">
        <f t="shared" si="92"/>
        <v/>
      </c>
      <c r="H1957" t="str">
        <f t="shared" si="93"/>
        <v/>
      </c>
      <c r="M1957" s="34">
        <f t="shared" si="94"/>
        <v>0</v>
      </c>
    </row>
    <row r="1958" spans="7:13" x14ac:dyDescent="0.25">
      <c r="G1958" s="10" t="str">
        <f t="shared" si="92"/>
        <v/>
      </c>
      <c r="H1958" t="str">
        <f t="shared" si="93"/>
        <v/>
      </c>
      <c r="M1958" s="34">
        <f t="shared" si="94"/>
        <v>0</v>
      </c>
    </row>
    <row r="1959" spans="7:13" x14ac:dyDescent="0.25">
      <c r="G1959" s="10" t="str">
        <f t="shared" si="92"/>
        <v/>
      </c>
      <c r="H1959" t="str">
        <f t="shared" si="93"/>
        <v/>
      </c>
      <c r="M1959" s="34">
        <f t="shared" si="94"/>
        <v>0</v>
      </c>
    </row>
    <row r="1960" spans="7:13" x14ac:dyDescent="0.25">
      <c r="G1960" s="10" t="str">
        <f t="shared" si="92"/>
        <v/>
      </c>
      <c r="H1960" t="str">
        <f t="shared" si="93"/>
        <v/>
      </c>
      <c r="M1960" s="34">
        <f t="shared" si="94"/>
        <v>0</v>
      </c>
    </row>
    <row r="1961" spans="7:13" x14ac:dyDescent="0.25">
      <c r="G1961" s="10" t="str">
        <f t="shared" si="92"/>
        <v/>
      </c>
      <c r="H1961" t="str">
        <f t="shared" si="93"/>
        <v/>
      </c>
      <c r="M1961" s="34">
        <f t="shared" si="94"/>
        <v>0</v>
      </c>
    </row>
    <row r="1962" spans="7:13" x14ac:dyDescent="0.25">
      <c r="G1962" s="10" t="str">
        <f t="shared" si="92"/>
        <v/>
      </c>
      <c r="H1962" t="str">
        <f t="shared" si="93"/>
        <v/>
      </c>
      <c r="M1962" s="34">
        <f t="shared" si="94"/>
        <v>0</v>
      </c>
    </row>
    <row r="1963" spans="7:13" x14ac:dyDescent="0.25">
      <c r="G1963" s="10" t="str">
        <f t="shared" si="92"/>
        <v/>
      </c>
      <c r="H1963" t="str">
        <f t="shared" si="93"/>
        <v/>
      </c>
      <c r="M1963" s="34">
        <f t="shared" si="94"/>
        <v>0</v>
      </c>
    </row>
    <row r="1964" spans="7:13" x14ac:dyDescent="0.25">
      <c r="G1964" s="10" t="str">
        <f t="shared" si="92"/>
        <v/>
      </c>
      <c r="H1964" t="str">
        <f t="shared" si="93"/>
        <v/>
      </c>
      <c r="M1964" s="34">
        <f t="shared" si="94"/>
        <v>0</v>
      </c>
    </row>
    <row r="1965" spans="7:13" x14ac:dyDescent="0.25">
      <c r="G1965" s="10" t="str">
        <f t="shared" si="92"/>
        <v/>
      </c>
      <c r="H1965" t="str">
        <f t="shared" si="93"/>
        <v/>
      </c>
      <c r="M1965" s="34">
        <f t="shared" si="94"/>
        <v>0</v>
      </c>
    </row>
    <row r="1966" spans="7:13" x14ac:dyDescent="0.25">
      <c r="G1966" s="10" t="str">
        <f t="shared" si="92"/>
        <v/>
      </c>
      <c r="H1966" t="str">
        <f t="shared" si="93"/>
        <v/>
      </c>
      <c r="M1966" s="34">
        <f t="shared" si="94"/>
        <v>0</v>
      </c>
    </row>
    <row r="1967" spans="7:13" x14ac:dyDescent="0.25">
      <c r="G1967" s="10" t="str">
        <f t="shared" si="92"/>
        <v/>
      </c>
      <c r="H1967" t="str">
        <f t="shared" si="93"/>
        <v/>
      </c>
      <c r="M1967" s="34">
        <f t="shared" si="94"/>
        <v>0</v>
      </c>
    </row>
    <row r="1968" spans="7:13" x14ac:dyDescent="0.25">
      <c r="G1968" s="10" t="str">
        <f t="shared" si="92"/>
        <v/>
      </c>
      <c r="H1968" t="str">
        <f t="shared" si="93"/>
        <v/>
      </c>
      <c r="M1968" s="34">
        <f t="shared" si="94"/>
        <v>0</v>
      </c>
    </row>
    <row r="1969" spans="7:13" x14ac:dyDescent="0.25">
      <c r="G1969" s="10" t="str">
        <f t="shared" si="92"/>
        <v/>
      </c>
      <c r="H1969" t="str">
        <f t="shared" si="93"/>
        <v/>
      </c>
      <c r="M1969" s="34">
        <f t="shared" si="94"/>
        <v>0</v>
      </c>
    </row>
    <row r="1970" spans="7:13" x14ac:dyDescent="0.25">
      <c r="G1970" s="10" t="str">
        <f t="shared" si="92"/>
        <v/>
      </c>
      <c r="H1970" t="str">
        <f t="shared" si="93"/>
        <v/>
      </c>
      <c r="M1970" s="34">
        <f t="shared" si="94"/>
        <v>0</v>
      </c>
    </row>
    <row r="1971" spans="7:13" x14ac:dyDescent="0.25">
      <c r="G1971" s="10" t="str">
        <f t="shared" si="92"/>
        <v/>
      </c>
      <c r="H1971" t="str">
        <f t="shared" si="93"/>
        <v/>
      </c>
      <c r="M1971" s="34">
        <f t="shared" si="94"/>
        <v>0</v>
      </c>
    </row>
    <row r="1972" spans="7:13" x14ac:dyDescent="0.25">
      <c r="G1972" s="10" t="str">
        <f t="shared" si="92"/>
        <v/>
      </c>
      <c r="H1972" t="str">
        <f t="shared" si="93"/>
        <v/>
      </c>
      <c r="M1972" s="34">
        <f t="shared" si="94"/>
        <v>0</v>
      </c>
    </row>
    <row r="1973" spans="7:13" x14ac:dyDescent="0.25">
      <c r="G1973" s="10" t="str">
        <f t="shared" si="92"/>
        <v/>
      </c>
      <c r="H1973" t="str">
        <f t="shared" si="93"/>
        <v/>
      </c>
      <c r="M1973" s="34">
        <f t="shared" si="94"/>
        <v>0</v>
      </c>
    </row>
    <row r="1974" spans="7:13" x14ac:dyDescent="0.25">
      <c r="G1974" s="10" t="str">
        <f t="shared" si="92"/>
        <v/>
      </c>
      <c r="H1974" t="str">
        <f t="shared" si="93"/>
        <v/>
      </c>
      <c r="M1974" s="34">
        <f t="shared" si="94"/>
        <v>0</v>
      </c>
    </row>
    <row r="1975" spans="7:13" x14ac:dyDescent="0.25">
      <c r="G1975" s="10" t="str">
        <f t="shared" si="92"/>
        <v/>
      </c>
      <c r="H1975" t="str">
        <f t="shared" si="93"/>
        <v/>
      </c>
      <c r="M1975" s="34">
        <f t="shared" si="94"/>
        <v>0</v>
      </c>
    </row>
    <row r="1976" spans="7:13" x14ac:dyDescent="0.25">
      <c r="G1976" s="10" t="str">
        <f t="shared" si="92"/>
        <v/>
      </c>
      <c r="H1976" t="str">
        <f t="shared" si="93"/>
        <v/>
      </c>
      <c r="M1976" s="34">
        <f t="shared" si="94"/>
        <v>0</v>
      </c>
    </row>
    <row r="1977" spans="7:13" x14ac:dyDescent="0.25">
      <c r="G1977" s="10" t="str">
        <f t="shared" si="92"/>
        <v/>
      </c>
      <c r="H1977" t="str">
        <f t="shared" si="93"/>
        <v/>
      </c>
      <c r="M1977" s="34">
        <f t="shared" si="94"/>
        <v>0</v>
      </c>
    </row>
    <row r="1978" spans="7:13" x14ac:dyDescent="0.25">
      <c r="G1978" s="10" t="str">
        <f t="shared" si="92"/>
        <v/>
      </c>
      <c r="H1978" t="str">
        <f t="shared" si="93"/>
        <v/>
      </c>
      <c r="M1978" s="34">
        <f t="shared" si="94"/>
        <v>0</v>
      </c>
    </row>
    <row r="1979" spans="7:13" x14ac:dyDescent="0.25">
      <c r="G1979" s="10" t="str">
        <f t="shared" si="92"/>
        <v/>
      </c>
      <c r="H1979" t="str">
        <f t="shared" si="93"/>
        <v/>
      </c>
      <c r="M1979" s="34">
        <f t="shared" si="94"/>
        <v>0</v>
      </c>
    </row>
    <row r="1980" spans="7:13" x14ac:dyDescent="0.25">
      <c r="G1980" s="10" t="str">
        <f t="shared" si="92"/>
        <v/>
      </c>
      <c r="H1980" t="str">
        <f t="shared" si="93"/>
        <v/>
      </c>
      <c r="M1980" s="34">
        <f t="shared" si="94"/>
        <v>0</v>
      </c>
    </row>
    <row r="1981" spans="7:13" x14ac:dyDescent="0.25">
      <c r="G1981" s="10" t="str">
        <f t="shared" si="92"/>
        <v/>
      </c>
      <c r="H1981" t="str">
        <f t="shared" si="93"/>
        <v/>
      </c>
      <c r="M1981" s="34">
        <f t="shared" si="94"/>
        <v>0</v>
      </c>
    </row>
    <row r="1982" spans="7:13" x14ac:dyDescent="0.25">
      <c r="G1982" s="10" t="str">
        <f t="shared" si="92"/>
        <v/>
      </c>
      <c r="H1982" t="str">
        <f t="shared" si="93"/>
        <v/>
      </c>
      <c r="M1982" s="34">
        <f t="shared" si="94"/>
        <v>0</v>
      </c>
    </row>
    <row r="1983" spans="7:13" x14ac:dyDescent="0.25">
      <c r="G1983" s="10" t="str">
        <f t="shared" si="92"/>
        <v/>
      </c>
      <c r="H1983" t="str">
        <f t="shared" si="93"/>
        <v/>
      </c>
      <c r="M1983" s="34">
        <f t="shared" si="94"/>
        <v>0</v>
      </c>
    </row>
    <row r="1984" spans="7:13" x14ac:dyDescent="0.25">
      <c r="G1984" s="10" t="str">
        <f t="shared" si="92"/>
        <v/>
      </c>
      <c r="H1984" t="str">
        <f t="shared" si="93"/>
        <v/>
      </c>
      <c r="M1984" s="34">
        <f t="shared" si="94"/>
        <v>0</v>
      </c>
    </row>
    <row r="1985" spans="7:13" x14ac:dyDescent="0.25">
      <c r="G1985" s="10" t="str">
        <f t="shared" si="92"/>
        <v/>
      </c>
      <c r="H1985" t="str">
        <f t="shared" si="93"/>
        <v/>
      </c>
      <c r="M1985" s="34">
        <f t="shared" si="94"/>
        <v>0</v>
      </c>
    </row>
    <row r="1986" spans="7:13" x14ac:dyDescent="0.25">
      <c r="G1986" s="10" t="str">
        <f t="shared" ref="G1986:G2049" si="95">IF(F1986&gt;0,"RECETTE",IF(F1986&lt;0,"DÉPENSE",""))</f>
        <v/>
      </c>
      <c r="H1986" t="str">
        <f t="shared" ref="H1986:H2049" si="96">+IF(ISNUMBER(D1986),D1986,"")</f>
        <v/>
      </c>
      <c r="M1986" s="34">
        <f t="shared" si="94"/>
        <v>0</v>
      </c>
    </row>
    <row r="1987" spans="7:13" x14ac:dyDescent="0.25">
      <c r="G1987" s="10" t="str">
        <f t="shared" si="95"/>
        <v/>
      </c>
      <c r="H1987" t="str">
        <f t="shared" si="96"/>
        <v/>
      </c>
      <c r="M1987" s="34">
        <f t="shared" ref="M1987:M2050" si="97">IF(AND(E1987="Chèque",G1987="RECETTE"),F1987,0)</f>
        <v>0</v>
      </c>
    </row>
    <row r="1988" spans="7:13" x14ac:dyDescent="0.25">
      <c r="G1988" s="10" t="str">
        <f t="shared" si="95"/>
        <v/>
      </c>
      <c r="H1988" t="str">
        <f t="shared" si="96"/>
        <v/>
      </c>
      <c r="M1988" s="34">
        <f t="shared" si="97"/>
        <v>0</v>
      </c>
    </row>
    <row r="1989" spans="7:13" x14ac:dyDescent="0.25">
      <c r="G1989" s="10" t="str">
        <f t="shared" si="95"/>
        <v/>
      </c>
      <c r="H1989" t="str">
        <f t="shared" si="96"/>
        <v/>
      </c>
      <c r="M1989" s="34">
        <f t="shared" si="97"/>
        <v>0</v>
      </c>
    </row>
    <row r="1990" spans="7:13" x14ac:dyDescent="0.25">
      <c r="G1990" s="10" t="str">
        <f t="shared" si="95"/>
        <v/>
      </c>
      <c r="H1990" t="str">
        <f t="shared" si="96"/>
        <v/>
      </c>
      <c r="M1990" s="34">
        <f t="shared" si="97"/>
        <v>0</v>
      </c>
    </row>
    <row r="1991" spans="7:13" x14ac:dyDescent="0.25">
      <c r="G1991" s="10" t="str">
        <f t="shared" si="95"/>
        <v/>
      </c>
      <c r="H1991" t="str">
        <f t="shared" si="96"/>
        <v/>
      </c>
      <c r="M1991" s="34">
        <f t="shared" si="97"/>
        <v>0</v>
      </c>
    </row>
    <row r="1992" spans="7:13" x14ac:dyDescent="0.25">
      <c r="G1992" s="10" t="str">
        <f t="shared" si="95"/>
        <v/>
      </c>
      <c r="H1992" t="str">
        <f t="shared" si="96"/>
        <v/>
      </c>
      <c r="M1992" s="34">
        <f t="shared" si="97"/>
        <v>0</v>
      </c>
    </row>
    <row r="1993" spans="7:13" x14ac:dyDescent="0.25">
      <c r="G1993" s="10" t="str">
        <f t="shared" si="95"/>
        <v/>
      </c>
      <c r="H1993" t="str">
        <f t="shared" si="96"/>
        <v/>
      </c>
      <c r="M1993" s="34">
        <f t="shared" si="97"/>
        <v>0</v>
      </c>
    </row>
    <row r="1994" spans="7:13" x14ac:dyDescent="0.25">
      <c r="G1994" s="10" t="str">
        <f t="shared" si="95"/>
        <v/>
      </c>
      <c r="H1994" t="str">
        <f t="shared" si="96"/>
        <v/>
      </c>
      <c r="M1994" s="34">
        <f t="shared" si="97"/>
        <v>0</v>
      </c>
    </row>
    <row r="1995" spans="7:13" x14ac:dyDescent="0.25">
      <c r="G1995" s="10" t="str">
        <f t="shared" si="95"/>
        <v/>
      </c>
      <c r="H1995" t="str">
        <f t="shared" si="96"/>
        <v/>
      </c>
      <c r="M1995" s="34">
        <f t="shared" si="97"/>
        <v>0</v>
      </c>
    </row>
    <row r="1996" spans="7:13" x14ac:dyDescent="0.25">
      <c r="G1996" s="10" t="str">
        <f t="shared" si="95"/>
        <v/>
      </c>
      <c r="H1996" t="str">
        <f t="shared" si="96"/>
        <v/>
      </c>
      <c r="M1996" s="34">
        <f t="shared" si="97"/>
        <v>0</v>
      </c>
    </row>
    <row r="1997" spans="7:13" x14ac:dyDescent="0.25">
      <c r="G1997" s="10" t="str">
        <f t="shared" si="95"/>
        <v/>
      </c>
      <c r="H1997" t="str">
        <f t="shared" si="96"/>
        <v/>
      </c>
      <c r="M1997" s="34">
        <f t="shared" si="97"/>
        <v>0</v>
      </c>
    </row>
    <row r="1998" spans="7:13" x14ac:dyDescent="0.25">
      <c r="G1998" s="10" t="str">
        <f t="shared" si="95"/>
        <v/>
      </c>
      <c r="H1998" t="str">
        <f t="shared" si="96"/>
        <v/>
      </c>
      <c r="M1998" s="34">
        <f t="shared" si="97"/>
        <v>0</v>
      </c>
    </row>
    <row r="1999" spans="7:13" x14ac:dyDescent="0.25">
      <c r="G1999" s="10" t="str">
        <f t="shared" si="95"/>
        <v/>
      </c>
      <c r="H1999" t="str">
        <f t="shared" si="96"/>
        <v/>
      </c>
      <c r="M1999" s="34">
        <f t="shared" si="97"/>
        <v>0</v>
      </c>
    </row>
    <row r="2000" spans="7:13" x14ac:dyDescent="0.25">
      <c r="G2000" s="10" t="str">
        <f t="shared" si="95"/>
        <v/>
      </c>
      <c r="H2000" t="str">
        <f t="shared" si="96"/>
        <v/>
      </c>
      <c r="M2000" s="34">
        <f t="shared" si="97"/>
        <v>0</v>
      </c>
    </row>
    <row r="2001" spans="7:13" x14ac:dyDescent="0.25">
      <c r="G2001" s="10" t="str">
        <f t="shared" si="95"/>
        <v/>
      </c>
      <c r="H2001" t="str">
        <f t="shared" si="96"/>
        <v/>
      </c>
      <c r="M2001" s="34">
        <f t="shared" si="97"/>
        <v>0</v>
      </c>
    </row>
    <row r="2002" spans="7:13" x14ac:dyDescent="0.25">
      <c r="G2002" s="10" t="str">
        <f t="shared" si="95"/>
        <v/>
      </c>
      <c r="H2002" t="str">
        <f t="shared" si="96"/>
        <v/>
      </c>
      <c r="M2002" s="34">
        <f t="shared" si="97"/>
        <v>0</v>
      </c>
    </row>
    <row r="2003" spans="7:13" x14ac:dyDescent="0.25">
      <c r="G2003" s="10" t="str">
        <f t="shared" si="95"/>
        <v/>
      </c>
      <c r="H2003" t="str">
        <f t="shared" si="96"/>
        <v/>
      </c>
      <c r="M2003" s="34">
        <f t="shared" si="97"/>
        <v>0</v>
      </c>
    </row>
    <row r="2004" spans="7:13" x14ac:dyDescent="0.25">
      <c r="G2004" s="10" t="str">
        <f t="shared" si="95"/>
        <v/>
      </c>
      <c r="H2004" t="str">
        <f t="shared" si="96"/>
        <v/>
      </c>
      <c r="M2004" s="34">
        <f t="shared" si="97"/>
        <v>0</v>
      </c>
    </row>
    <row r="2005" spans="7:13" x14ac:dyDescent="0.25">
      <c r="G2005" s="10" t="str">
        <f t="shared" si="95"/>
        <v/>
      </c>
      <c r="H2005" t="str">
        <f t="shared" si="96"/>
        <v/>
      </c>
      <c r="M2005" s="34">
        <f t="shared" si="97"/>
        <v>0</v>
      </c>
    </row>
    <row r="2006" spans="7:13" x14ac:dyDescent="0.25">
      <c r="G2006" s="10" t="str">
        <f t="shared" si="95"/>
        <v/>
      </c>
      <c r="H2006" t="str">
        <f t="shared" si="96"/>
        <v/>
      </c>
      <c r="M2006" s="34">
        <f t="shared" si="97"/>
        <v>0</v>
      </c>
    </row>
    <row r="2007" spans="7:13" x14ac:dyDescent="0.25">
      <c r="G2007" s="10" t="str">
        <f t="shared" si="95"/>
        <v/>
      </c>
      <c r="H2007" t="str">
        <f t="shared" si="96"/>
        <v/>
      </c>
      <c r="M2007" s="34">
        <f t="shared" si="97"/>
        <v>0</v>
      </c>
    </row>
    <row r="2008" spans="7:13" x14ac:dyDescent="0.25">
      <c r="G2008" s="10" t="str">
        <f t="shared" si="95"/>
        <v/>
      </c>
      <c r="H2008" t="str">
        <f t="shared" si="96"/>
        <v/>
      </c>
      <c r="M2008" s="34">
        <f t="shared" si="97"/>
        <v>0</v>
      </c>
    </row>
    <row r="2009" spans="7:13" x14ac:dyDescent="0.25">
      <c r="G2009" s="10" t="str">
        <f t="shared" si="95"/>
        <v/>
      </c>
      <c r="H2009" t="str">
        <f t="shared" si="96"/>
        <v/>
      </c>
      <c r="M2009" s="34">
        <f t="shared" si="97"/>
        <v>0</v>
      </c>
    </row>
    <row r="2010" spans="7:13" x14ac:dyDescent="0.25">
      <c r="G2010" s="10" t="str">
        <f t="shared" si="95"/>
        <v/>
      </c>
      <c r="H2010" t="str">
        <f t="shared" si="96"/>
        <v/>
      </c>
      <c r="M2010" s="34">
        <f t="shared" si="97"/>
        <v>0</v>
      </c>
    </row>
    <row r="2011" spans="7:13" x14ac:dyDescent="0.25">
      <c r="G2011" s="10" t="str">
        <f t="shared" si="95"/>
        <v/>
      </c>
      <c r="H2011" t="str">
        <f t="shared" si="96"/>
        <v/>
      </c>
      <c r="M2011" s="34">
        <f t="shared" si="97"/>
        <v>0</v>
      </c>
    </row>
    <row r="2012" spans="7:13" x14ac:dyDescent="0.25">
      <c r="G2012" s="10" t="str">
        <f t="shared" si="95"/>
        <v/>
      </c>
      <c r="H2012" t="str">
        <f t="shared" si="96"/>
        <v/>
      </c>
      <c r="M2012" s="34">
        <f t="shared" si="97"/>
        <v>0</v>
      </c>
    </row>
    <row r="2013" spans="7:13" x14ac:dyDescent="0.25">
      <c r="G2013" s="10" t="str">
        <f t="shared" si="95"/>
        <v/>
      </c>
      <c r="H2013" t="str">
        <f t="shared" si="96"/>
        <v/>
      </c>
      <c r="M2013" s="34">
        <f t="shared" si="97"/>
        <v>0</v>
      </c>
    </row>
    <row r="2014" spans="7:13" x14ac:dyDescent="0.25">
      <c r="G2014" s="10" t="str">
        <f t="shared" si="95"/>
        <v/>
      </c>
      <c r="H2014" t="str">
        <f t="shared" si="96"/>
        <v/>
      </c>
      <c r="M2014" s="34">
        <f t="shared" si="97"/>
        <v>0</v>
      </c>
    </row>
    <row r="2015" spans="7:13" x14ac:dyDescent="0.25">
      <c r="G2015" s="10" t="str">
        <f t="shared" si="95"/>
        <v/>
      </c>
      <c r="H2015" t="str">
        <f t="shared" si="96"/>
        <v/>
      </c>
      <c r="M2015" s="34">
        <f t="shared" si="97"/>
        <v>0</v>
      </c>
    </row>
    <row r="2016" spans="7:13" x14ac:dyDescent="0.25">
      <c r="G2016" s="10" t="str">
        <f t="shared" si="95"/>
        <v/>
      </c>
      <c r="H2016" t="str">
        <f t="shared" si="96"/>
        <v/>
      </c>
      <c r="M2016" s="34">
        <f t="shared" si="97"/>
        <v>0</v>
      </c>
    </row>
    <row r="2017" spans="7:13" x14ac:dyDescent="0.25">
      <c r="G2017" s="10" t="str">
        <f t="shared" si="95"/>
        <v/>
      </c>
      <c r="H2017" t="str">
        <f t="shared" si="96"/>
        <v/>
      </c>
      <c r="M2017" s="34">
        <f t="shared" si="97"/>
        <v>0</v>
      </c>
    </row>
    <row r="2018" spans="7:13" x14ac:dyDescent="0.25">
      <c r="G2018" s="10" t="str">
        <f t="shared" si="95"/>
        <v/>
      </c>
      <c r="H2018" t="str">
        <f t="shared" si="96"/>
        <v/>
      </c>
      <c r="M2018" s="34">
        <f t="shared" si="97"/>
        <v>0</v>
      </c>
    </row>
    <row r="2019" spans="7:13" x14ac:dyDescent="0.25">
      <c r="G2019" s="10" t="str">
        <f t="shared" si="95"/>
        <v/>
      </c>
      <c r="H2019" t="str">
        <f t="shared" si="96"/>
        <v/>
      </c>
      <c r="M2019" s="34">
        <f t="shared" si="97"/>
        <v>0</v>
      </c>
    </row>
    <row r="2020" spans="7:13" x14ac:dyDescent="0.25">
      <c r="G2020" s="10" t="str">
        <f t="shared" si="95"/>
        <v/>
      </c>
      <c r="H2020" t="str">
        <f t="shared" si="96"/>
        <v/>
      </c>
      <c r="M2020" s="34">
        <f t="shared" si="97"/>
        <v>0</v>
      </c>
    </row>
    <row r="2021" spans="7:13" x14ac:dyDescent="0.25">
      <c r="G2021" s="10" t="str">
        <f t="shared" si="95"/>
        <v/>
      </c>
      <c r="H2021" t="str">
        <f t="shared" si="96"/>
        <v/>
      </c>
      <c r="M2021" s="34">
        <f t="shared" si="97"/>
        <v>0</v>
      </c>
    </row>
    <row r="2022" spans="7:13" x14ac:dyDescent="0.25">
      <c r="G2022" s="10" t="str">
        <f t="shared" si="95"/>
        <v/>
      </c>
      <c r="H2022" t="str">
        <f t="shared" si="96"/>
        <v/>
      </c>
      <c r="M2022" s="34">
        <f t="shared" si="97"/>
        <v>0</v>
      </c>
    </row>
    <row r="2023" spans="7:13" x14ac:dyDescent="0.25">
      <c r="G2023" s="10" t="str">
        <f t="shared" si="95"/>
        <v/>
      </c>
      <c r="H2023" t="str">
        <f t="shared" si="96"/>
        <v/>
      </c>
      <c r="M2023" s="34">
        <f t="shared" si="97"/>
        <v>0</v>
      </c>
    </row>
    <row r="2024" spans="7:13" x14ac:dyDescent="0.25">
      <c r="G2024" s="10" t="str">
        <f t="shared" si="95"/>
        <v/>
      </c>
      <c r="H2024" t="str">
        <f t="shared" si="96"/>
        <v/>
      </c>
      <c r="M2024" s="34">
        <f t="shared" si="97"/>
        <v>0</v>
      </c>
    </row>
    <row r="2025" spans="7:13" x14ac:dyDescent="0.25">
      <c r="G2025" s="10" t="str">
        <f t="shared" si="95"/>
        <v/>
      </c>
      <c r="H2025" t="str">
        <f t="shared" si="96"/>
        <v/>
      </c>
      <c r="M2025" s="34">
        <f t="shared" si="97"/>
        <v>0</v>
      </c>
    </row>
    <row r="2026" spans="7:13" x14ac:dyDescent="0.25">
      <c r="G2026" s="10" t="str">
        <f t="shared" si="95"/>
        <v/>
      </c>
      <c r="H2026" t="str">
        <f t="shared" si="96"/>
        <v/>
      </c>
      <c r="M2026" s="34">
        <f t="shared" si="97"/>
        <v>0</v>
      </c>
    </row>
    <row r="2027" spans="7:13" x14ac:dyDescent="0.25">
      <c r="G2027" s="10" t="str">
        <f t="shared" si="95"/>
        <v/>
      </c>
      <c r="H2027" t="str">
        <f t="shared" si="96"/>
        <v/>
      </c>
      <c r="M2027" s="34">
        <f t="shared" si="97"/>
        <v>0</v>
      </c>
    </row>
    <row r="2028" spans="7:13" x14ac:dyDescent="0.25">
      <c r="G2028" s="10" t="str">
        <f t="shared" si="95"/>
        <v/>
      </c>
      <c r="H2028" t="str">
        <f t="shared" si="96"/>
        <v/>
      </c>
      <c r="M2028" s="34">
        <f t="shared" si="97"/>
        <v>0</v>
      </c>
    </row>
    <row r="2029" spans="7:13" x14ac:dyDescent="0.25">
      <c r="G2029" s="10" t="str">
        <f t="shared" si="95"/>
        <v/>
      </c>
      <c r="H2029" t="str">
        <f t="shared" si="96"/>
        <v/>
      </c>
      <c r="M2029" s="34">
        <f t="shared" si="97"/>
        <v>0</v>
      </c>
    </row>
    <row r="2030" spans="7:13" x14ac:dyDescent="0.25">
      <c r="G2030" s="10" t="str">
        <f t="shared" si="95"/>
        <v/>
      </c>
      <c r="H2030" t="str">
        <f t="shared" si="96"/>
        <v/>
      </c>
      <c r="M2030" s="34">
        <f t="shared" si="97"/>
        <v>0</v>
      </c>
    </row>
    <row r="2031" spans="7:13" x14ac:dyDescent="0.25">
      <c r="G2031" s="10" t="str">
        <f t="shared" si="95"/>
        <v/>
      </c>
      <c r="H2031" t="str">
        <f t="shared" si="96"/>
        <v/>
      </c>
      <c r="M2031" s="34">
        <f t="shared" si="97"/>
        <v>0</v>
      </c>
    </row>
    <row r="2032" spans="7:13" x14ac:dyDescent="0.25">
      <c r="G2032" s="10" t="str">
        <f t="shared" si="95"/>
        <v/>
      </c>
      <c r="H2032" t="str">
        <f t="shared" si="96"/>
        <v/>
      </c>
      <c r="M2032" s="34">
        <f t="shared" si="97"/>
        <v>0</v>
      </c>
    </row>
    <row r="2033" spans="7:13" x14ac:dyDescent="0.25">
      <c r="G2033" s="10" t="str">
        <f t="shared" si="95"/>
        <v/>
      </c>
      <c r="H2033" t="str">
        <f t="shared" si="96"/>
        <v/>
      </c>
      <c r="M2033" s="34">
        <f t="shared" si="97"/>
        <v>0</v>
      </c>
    </row>
    <row r="2034" spans="7:13" x14ac:dyDescent="0.25">
      <c r="G2034" s="10" t="str">
        <f t="shared" si="95"/>
        <v/>
      </c>
      <c r="H2034" t="str">
        <f t="shared" si="96"/>
        <v/>
      </c>
      <c r="M2034" s="34">
        <f t="shared" si="97"/>
        <v>0</v>
      </c>
    </row>
    <row r="2035" spans="7:13" x14ac:dyDescent="0.25">
      <c r="G2035" s="10" t="str">
        <f t="shared" si="95"/>
        <v/>
      </c>
      <c r="H2035" t="str">
        <f t="shared" si="96"/>
        <v/>
      </c>
      <c r="M2035" s="34">
        <f t="shared" si="97"/>
        <v>0</v>
      </c>
    </row>
    <row r="2036" spans="7:13" x14ac:dyDescent="0.25">
      <c r="G2036" s="10" t="str">
        <f t="shared" si="95"/>
        <v/>
      </c>
      <c r="H2036" t="str">
        <f t="shared" si="96"/>
        <v/>
      </c>
      <c r="M2036" s="34">
        <f t="shared" si="97"/>
        <v>0</v>
      </c>
    </row>
    <row r="2037" spans="7:13" x14ac:dyDescent="0.25">
      <c r="G2037" s="10" t="str">
        <f t="shared" si="95"/>
        <v/>
      </c>
      <c r="H2037" t="str">
        <f t="shared" si="96"/>
        <v/>
      </c>
      <c r="M2037" s="34">
        <f t="shared" si="97"/>
        <v>0</v>
      </c>
    </row>
    <row r="2038" spans="7:13" x14ac:dyDescent="0.25">
      <c r="G2038" s="10" t="str">
        <f t="shared" si="95"/>
        <v/>
      </c>
      <c r="H2038" t="str">
        <f t="shared" si="96"/>
        <v/>
      </c>
      <c r="M2038" s="34">
        <f t="shared" si="97"/>
        <v>0</v>
      </c>
    </row>
    <row r="2039" spans="7:13" x14ac:dyDescent="0.25">
      <c r="G2039" s="10" t="str">
        <f t="shared" si="95"/>
        <v/>
      </c>
      <c r="H2039" t="str">
        <f t="shared" si="96"/>
        <v/>
      </c>
      <c r="M2039" s="34">
        <f t="shared" si="97"/>
        <v>0</v>
      </c>
    </row>
    <row r="2040" spans="7:13" x14ac:dyDescent="0.25">
      <c r="G2040" s="10" t="str">
        <f t="shared" si="95"/>
        <v/>
      </c>
      <c r="H2040" t="str">
        <f t="shared" si="96"/>
        <v/>
      </c>
      <c r="M2040" s="34">
        <f t="shared" si="97"/>
        <v>0</v>
      </c>
    </row>
    <row r="2041" spans="7:13" x14ac:dyDescent="0.25">
      <c r="G2041" s="10" t="str">
        <f t="shared" si="95"/>
        <v/>
      </c>
      <c r="H2041" t="str">
        <f t="shared" si="96"/>
        <v/>
      </c>
      <c r="M2041" s="34">
        <f t="shared" si="97"/>
        <v>0</v>
      </c>
    </row>
    <row r="2042" spans="7:13" x14ac:dyDescent="0.25">
      <c r="G2042" s="10" t="str">
        <f t="shared" si="95"/>
        <v/>
      </c>
      <c r="H2042" t="str">
        <f t="shared" si="96"/>
        <v/>
      </c>
      <c r="M2042" s="34">
        <f t="shared" si="97"/>
        <v>0</v>
      </c>
    </row>
    <row r="2043" spans="7:13" x14ac:dyDescent="0.25">
      <c r="G2043" s="10" t="str">
        <f t="shared" si="95"/>
        <v/>
      </c>
      <c r="H2043" t="str">
        <f t="shared" si="96"/>
        <v/>
      </c>
      <c r="M2043" s="34">
        <f t="shared" si="97"/>
        <v>0</v>
      </c>
    </row>
    <row r="2044" spans="7:13" x14ac:dyDescent="0.25">
      <c r="G2044" s="10" t="str">
        <f t="shared" si="95"/>
        <v/>
      </c>
      <c r="H2044" t="str">
        <f t="shared" si="96"/>
        <v/>
      </c>
      <c r="M2044" s="34">
        <f t="shared" si="97"/>
        <v>0</v>
      </c>
    </row>
    <row r="2045" spans="7:13" x14ac:dyDescent="0.25">
      <c r="G2045" s="10" t="str">
        <f t="shared" si="95"/>
        <v/>
      </c>
      <c r="H2045" t="str">
        <f t="shared" si="96"/>
        <v/>
      </c>
      <c r="M2045" s="34">
        <f t="shared" si="97"/>
        <v>0</v>
      </c>
    </row>
    <row r="2046" spans="7:13" x14ac:dyDescent="0.25">
      <c r="G2046" s="10" t="str">
        <f t="shared" si="95"/>
        <v/>
      </c>
      <c r="H2046" t="str">
        <f t="shared" si="96"/>
        <v/>
      </c>
      <c r="M2046" s="34">
        <f t="shared" si="97"/>
        <v>0</v>
      </c>
    </row>
    <row r="2047" spans="7:13" x14ac:dyDescent="0.25">
      <c r="G2047" s="10" t="str">
        <f t="shared" si="95"/>
        <v/>
      </c>
      <c r="H2047" t="str">
        <f t="shared" si="96"/>
        <v/>
      </c>
      <c r="M2047" s="34">
        <f t="shared" si="97"/>
        <v>0</v>
      </c>
    </row>
    <row r="2048" spans="7:13" x14ac:dyDescent="0.25">
      <c r="G2048" s="10" t="str">
        <f t="shared" si="95"/>
        <v/>
      </c>
      <c r="H2048" t="str">
        <f t="shared" si="96"/>
        <v/>
      </c>
      <c r="M2048" s="34">
        <f t="shared" si="97"/>
        <v>0</v>
      </c>
    </row>
    <row r="2049" spans="7:13" x14ac:dyDescent="0.25">
      <c r="G2049" s="10" t="str">
        <f t="shared" si="95"/>
        <v/>
      </c>
      <c r="H2049" t="str">
        <f t="shared" si="96"/>
        <v/>
      </c>
      <c r="M2049" s="34">
        <f t="shared" si="97"/>
        <v>0</v>
      </c>
    </row>
    <row r="2050" spans="7:13" x14ac:dyDescent="0.25">
      <c r="G2050" s="10" t="str">
        <f t="shared" ref="G2050:G2113" si="98">IF(F2050&gt;0,"RECETTE",IF(F2050&lt;0,"DÉPENSE",""))</f>
        <v/>
      </c>
      <c r="H2050" t="str">
        <f t="shared" ref="H2050:H2113" si="99">+IF(ISNUMBER(D2050),D2050,"")</f>
        <v/>
      </c>
      <c r="M2050" s="34">
        <f t="shared" si="97"/>
        <v>0</v>
      </c>
    </row>
    <row r="2051" spans="7:13" x14ac:dyDescent="0.25">
      <c r="G2051" s="10" t="str">
        <f t="shared" si="98"/>
        <v/>
      </c>
      <c r="H2051" t="str">
        <f t="shared" si="99"/>
        <v/>
      </c>
      <c r="M2051" s="34">
        <f t="shared" ref="M2051:M2114" si="100">IF(AND(E2051="Chèque",G2051="RECETTE"),F2051,0)</f>
        <v>0</v>
      </c>
    </row>
    <row r="2052" spans="7:13" x14ac:dyDescent="0.25">
      <c r="G2052" s="10" t="str">
        <f t="shared" si="98"/>
        <v/>
      </c>
      <c r="H2052" t="str">
        <f t="shared" si="99"/>
        <v/>
      </c>
      <c r="M2052" s="34">
        <f t="shared" si="100"/>
        <v>0</v>
      </c>
    </row>
    <row r="2053" spans="7:13" x14ac:dyDescent="0.25">
      <c r="G2053" s="10" t="str">
        <f t="shared" si="98"/>
        <v/>
      </c>
      <c r="H2053" t="str">
        <f t="shared" si="99"/>
        <v/>
      </c>
      <c r="M2053" s="34">
        <f t="shared" si="100"/>
        <v>0</v>
      </c>
    </row>
    <row r="2054" spans="7:13" x14ac:dyDescent="0.25">
      <c r="G2054" s="10" t="str">
        <f t="shared" si="98"/>
        <v/>
      </c>
      <c r="H2054" t="str">
        <f t="shared" si="99"/>
        <v/>
      </c>
      <c r="M2054" s="34">
        <f t="shared" si="100"/>
        <v>0</v>
      </c>
    </row>
    <row r="2055" spans="7:13" x14ac:dyDescent="0.25">
      <c r="G2055" s="10" t="str">
        <f t="shared" si="98"/>
        <v/>
      </c>
      <c r="H2055" t="str">
        <f t="shared" si="99"/>
        <v/>
      </c>
      <c r="M2055" s="34">
        <f t="shared" si="100"/>
        <v>0</v>
      </c>
    </row>
    <row r="2056" spans="7:13" x14ac:dyDescent="0.25">
      <c r="G2056" s="10" t="str">
        <f t="shared" si="98"/>
        <v/>
      </c>
      <c r="H2056" t="str">
        <f t="shared" si="99"/>
        <v/>
      </c>
      <c r="M2056" s="34">
        <f t="shared" si="100"/>
        <v>0</v>
      </c>
    </row>
    <row r="2057" spans="7:13" x14ac:dyDescent="0.25">
      <c r="G2057" s="10" t="str">
        <f t="shared" si="98"/>
        <v/>
      </c>
      <c r="H2057" t="str">
        <f t="shared" si="99"/>
        <v/>
      </c>
      <c r="M2057" s="34">
        <f t="shared" si="100"/>
        <v>0</v>
      </c>
    </row>
    <row r="2058" spans="7:13" x14ac:dyDescent="0.25">
      <c r="G2058" s="10" t="str">
        <f t="shared" si="98"/>
        <v/>
      </c>
      <c r="H2058" t="str">
        <f t="shared" si="99"/>
        <v/>
      </c>
      <c r="M2058" s="34">
        <f t="shared" si="100"/>
        <v>0</v>
      </c>
    </row>
    <row r="2059" spans="7:13" x14ac:dyDescent="0.25">
      <c r="G2059" s="10" t="str">
        <f t="shared" si="98"/>
        <v/>
      </c>
      <c r="H2059" t="str">
        <f t="shared" si="99"/>
        <v/>
      </c>
      <c r="M2059" s="34">
        <f t="shared" si="100"/>
        <v>0</v>
      </c>
    </row>
    <row r="2060" spans="7:13" x14ac:dyDescent="0.25">
      <c r="G2060" s="10" t="str">
        <f t="shared" si="98"/>
        <v/>
      </c>
      <c r="H2060" t="str">
        <f t="shared" si="99"/>
        <v/>
      </c>
      <c r="M2060" s="34">
        <f t="shared" si="100"/>
        <v>0</v>
      </c>
    </row>
    <row r="2061" spans="7:13" x14ac:dyDescent="0.25">
      <c r="G2061" s="10" t="str">
        <f t="shared" si="98"/>
        <v/>
      </c>
      <c r="H2061" t="str">
        <f t="shared" si="99"/>
        <v/>
      </c>
      <c r="M2061" s="34">
        <f t="shared" si="100"/>
        <v>0</v>
      </c>
    </row>
    <row r="2062" spans="7:13" x14ac:dyDescent="0.25">
      <c r="G2062" s="10" t="str">
        <f t="shared" si="98"/>
        <v/>
      </c>
      <c r="H2062" t="str">
        <f t="shared" si="99"/>
        <v/>
      </c>
      <c r="M2062" s="34">
        <f t="shared" si="100"/>
        <v>0</v>
      </c>
    </row>
    <row r="2063" spans="7:13" x14ac:dyDescent="0.25">
      <c r="G2063" s="10" t="str">
        <f t="shared" si="98"/>
        <v/>
      </c>
      <c r="H2063" t="str">
        <f t="shared" si="99"/>
        <v/>
      </c>
      <c r="M2063" s="34">
        <f t="shared" si="100"/>
        <v>0</v>
      </c>
    </row>
    <row r="2064" spans="7:13" x14ac:dyDescent="0.25">
      <c r="G2064" s="10" t="str">
        <f t="shared" si="98"/>
        <v/>
      </c>
      <c r="H2064" t="str">
        <f t="shared" si="99"/>
        <v/>
      </c>
      <c r="M2064" s="34">
        <f t="shared" si="100"/>
        <v>0</v>
      </c>
    </row>
    <row r="2065" spans="7:13" x14ac:dyDescent="0.25">
      <c r="G2065" s="10" t="str">
        <f t="shared" si="98"/>
        <v/>
      </c>
      <c r="H2065" t="str">
        <f t="shared" si="99"/>
        <v/>
      </c>
      <c r="M2065" s="34">
        <f t="shared" si="100"/>
        <v>0</v>
      </c>
    </row>
    <row r="2066" spans="7:13" x14ac:dyDescent="0.25">
      <c r="G2066" s="10" t="str">
        <f t="shared" si="98"/>
        <v/>
      </c>
      <c r="H2066" t="str">
        <f t="shared" si="99"/>
        <v/>
      </c>
      <c r="M2066" s="34">
        <f t="shared" si="100"/>
        <v>0</v>
      </c>
    </row>
    <row r="2067" spans="7:13" x14ac:dyDescent="0.25">
      <c r="G2067" s="10" t="str">
        <f t="shared" si="98"/>
        <v/>
      </c>
      <c r="H2067" t="str">
        <f t="shared" si="99"/>
        <v/>
      </c>
      <c r="M2067" s="34">
        <f t="shared" si="100"/>
        <v>0</v>
      </c>
    </row>
    <row r="2068" spans="7:13" x14ac:dyDescent="0.25">
      <c r="G2068" s="10" t="str">
        <f t="shared" si="98"/>
        <v/>
      </c>
      <c r="H2068" t="str">
        <f t="shared" si="99"/>
        <v/>
      </c>
      <c r="M2068" s="34">
        <f t="shared" si="100"/>
        <v>0</v>
      </c>
    </row>
    <row r="2069" spans="7:13" x14ac:dyDescent="0.25">
      <c r="G2069" s="10" t="str">
        <f t="shared" si="98"/>
        <v/>
      </c>
      <c r="H2069" t="str">
        <f t="shared" si="99"/>
        <v/>
      </c>
      <c r="M2069" s="34">
        <f t="shared" si="100"/>
        <v>0</v>
      </c>
    </row>
    <row r="2070" spans="7:13" x14ac:dyDescent="0.25">
      <c r="G2070" s="10" t="str">
        <f t="shared" si="98"/>
        <v/>
      </c>
      <c r="H2070" t="str">
        <f t="shared" si="99"/>
        <v/>
      </c>
      <c r="M2070" s="34">
        <f t="shared" si="100"/>
        <v>0</v>
      </c>
    </row>
    <row r="2071" spans="7:13" x14ac:dyDescent="0.25">
      <c r="G2071" s="10" t="str">
        <f t="shared" si="98"/>
        <v/>
      </c>
      <c r="H2071" t="str">
        <f t="shared" si="99"/>
        <v/>
      </c>
      <c r="M2071" s="34">
        <f t="shared" si="100"/>
        <v>0</v>
      </c>
    </row>
    <row r="2072" spans="7:13" x14ac:dyDescent="0.25">
      <c r="G2072" s="10" t="str">
        <f t="shared" si="98"/>
        <v/>
      </c>
      <c r="H2072" t="str">
        <f t="shared" si="99"/>
        <v/>
      </c>
      <c r="M2072" s="34">
        <f t="shared" si="100"/>
        <v>0</v>
      </c>
    </row>
    <row r="2073" spans="7:13" x14ac:dyDescent="0.25">
      <c r="G2073" s="10" t="str">
        <f t="shared" si="98"/>
        <v/>
      </c>
      <c r="H2073" t="str">
        <f t="shared" si="99"/>
        <v/>
      </c>
      <c r="M2073" s="34">
        <f t="shared" si="100"/>
        <v>0</v>
      </c>
    </row>
    <row r="2074" spans="7:13" x14ac:dyDescent="0.25">
      <c r="G2074" s="10" t="str">
        <f t="shared" si="98"/>
        <v/>
      </c>
      <c r="H2074" t="str">
        <f t="shared" si="99"/>
        <v/>
      </c>
      <c r="M2074" s="34">
        <f t="shared" si="100"/>
        <v>0</v>
      </c>
    </row>
    <row r="2075" spans="7:13" x14ac:dyDescent="0.25">
      <c r="G2075" s="10" t="str">
        <f t="shared" si="98"/>
        <v/>
      </c>
      <c r="H2075" t="str">
        <f t="shared" si="99"/>
        <v/>
      </c>
      <c r="M2075" s="34">
        <f t="shared" si="100"/>
        <v>0</v>
      </c>
    </row>
    <row r="2076" spans="7:13" x14ac:dyDescent="0.25">
      <c r="G2076" s="10" t="str">
        <f t="shared" si="98"/>
        <v/>
      </c>
      <c r="H2076" t="str">
        <f t="shared" si="99"/>
        <v/>
      </c>
      <c r="M2076" s="34">
        <f t="shared" si="100"/>
        <v>0</v>
      </c>
    </row>
    <row r="2077" spans="7:13" x14ac:dyDescent="0.25">
      <c r="G2077" s="10" t="str">
        <f t="shared" si="98"/>
        <v/>
      </c>
      <c r="H2077" t="str">
        <f t="shared" si="99"/>
        <v/>
      </c>
      <c r="M2077" s="34">
        <f t="shared" si="100"/>
        <v>0</v>
      </c>
    </row>
    <row r="2078" spans="7:13" x14ac:dyDescent="0.25">
      <c r="G2078" s="10" t="str">
        <f t="shared" si="98"/>
        <v/>
      </c>
      <c r="H2078" t="str">
        <f t="shared" si="99"/>
        <v/>
      </c>
      <c r="M2078" s="34">
        <f t="shared" si="100"/>
        <v>0</v>
      </c>
    </row>
    <row r="2079" spans="7:13" x14ac:dyDescent="0.25">
      <c r="G2079" s="10" t="str">
        <f t="shared" si="98"/>
        <v/>
      </c>
      <c r="H2079" t="str">
        <f t="shared" si="99"/>
        <v/>
      </c>
      <c r="M2079" s="34">
        <f t="shared" si="100"/>
        <v>0</v>
      </c>
    </row>
    <row r="2080" spans="7:13" x14ac:dyDescent="0.25">
      <c r="G2080" s="10" t="str">
        <f t="shared" si="98"/>
        <v/>
      </c>
      <c r="H2080" t="str">
        <f t="shared" si="99"/>
        <v/>
      </c>
      <c r="M2080" s="34">
        <f t="shared" si="100"/>
        <v>0</v>
      </c>
    </row>
    <row r="2081" spans="7:13" x14ac:dyDescent="0.25">
      <c r="G2081" s="10" t="str">
        <f t="shared" si="98"/>
        <v/>
      </c>
      <c r="H2081" t="str">
        <f t="shared" si="99"/>
        <v/>
      </c>
      <c r="M2081" s="34">
        <f t="shared" si="100"/>
        <v>0</v>
      </c>
    </row>
    <row r="2082" spans="7:13" x14ac:dyDescent="0.25">
      <c r="G2082" s="10" t="str">
        <f t="shared" si="98"/>
        <v/>
      </c>
      <c r="H2082" t="str">
        <f t="shared" si="99"/>
        <v/>
      </c>
      <c r="M2082" s="34">
        <f t="shared" si="100"/>
        <v>0</v>
      </c>
    </row>
    <row r="2083" spans="7:13" x14ac:dyDescent="0.25">
      <c r="G2083" s="10" t="str">
        <f t="shared" si="98"/>
        <v/>
      </c>
      <c r="H2083" t="str">
        <f t="shared" si="99"/>
        <v/>
      </c>
      <c r="M2083" s="34">
        <f t="shared" si="100"/>
        <v>0</v>
      </c>
    </row>
    <row r="2084" spans="7:13" x14ac:dyDescent="0.25">
      <c r="G2084" s="10" t="str">
        <f t="shared" si="98"/>
        <v/>
      </c>
      <c r="H2084" t="str">
        <f t="shared" si="99"/>
        <v/>
      </c>
      <c r="M2084" s="34">
        <f t="shared" si="100"/>
        <v>0</v>
      </c>
    </row>
    <row r="2085" spans="7:13" x14ac:dyDescent="0.25">
      <c r="G2085" s="10" t="str">
        <f t="shared" si="98"/>
        <v/>
      </c>
      <c r="H2085" t="str">
        <f t="shared" si="99"/>
        <v/>
      </c>
      <c r="M2085" s="34">
        <f t="shared" si="100"/>
        <v>0</v>
      </c>
    </row>
    <row r="2086" spans="7:13" x14ac:dyDescent="0.25">
      <c r="G2086" s="10" t="str">
        <f t="shared" si="98"/>
        <v/>
      </c>
      <c r="H2086" t="str">
        <f t="shared" si="99"/>
        <v/>
      </c>
      <c r="M2086" s="34">
        <f t="shared" si="100"/>
        <v>0</v>
      </c>
    </row>
    <row r="2087" spans="7:13" x14ac:dyDescent="0.25">
      <c r="G2087" s="10" t="str">
        <f t="shared" si="98"/>
        <v/>
      </c>
      <c r="H2087" t="str">
        <f t="shared" si="99"/>
        <v/>
      </c>
      <c r="M2087" s="34">
        <f t="shared" si="100"/>
        <v>0</v>
      </c>
    </row>
    <row r="2088" spans="7:13" x14ac:dyDescent="0.25">
      <c r="G2088" s="10" t="str">
        <f t="shared" si="98"/>
        <v/>
      </c>
      <c r="H2088" t="str">
        <f t="shared" si="99"/>
        <v/>
      </c>
      <c r="M2088" s="34">
        <f t="shared" si="100"/>
        <v>0</v>
      </c>
    </row>
    <row r="2089" spans="7:13" x14ac:dyDescent="0.25">
      <c r="G2089" s="10" t="str">
        <f t="shared" si="98"/>
        <v/>
      </c>
      <c r="H2089" t="str">
        <f t="shared" si="99"/>
        <v/>
      </c>
      <c r="M2089" s="34">
        <f t="shared" si="100"/>
        <v>0</v>
      </c>
    </row>
    <row r="2090" spans="7:13" x14ac:dyDescent="0.25">
      <c r="G2090" s="10" t="str">
        <f t="shared" si="98"/>
        <v/>
      </c>
      <c r="H2090" t="str">
        <f t="shared" si="99"/>
        <v/>
      </c>
      <c r="M2090" s="34">
        <f t="shared" si="100"/>
        <v>0</v>
      </c>
    </row>
    <row r="2091" spans="7:13" x14ac:dyDescent="0.25">
      <c r="G2091" s="10" t="str">
        <f t="shared" si="98"/>
        <v/>
      </c>
      <c r="H2091" t="str">
        <f t="shared" si="99"/>
        <v/>
      </c>
      <c r="M2091" s="34">
        <f t="shared" si="100"/>
        <v>0</v>
      </c>
    </row>
    <row r="2092" spans="7:13" x14ac:dyDescent="0.25">
      <c r="G2092" s="10" t="str">
        <f t="shared" si="98"/>
        <v/>
      </c>
      <c r="H2092" t="str">
        <f t="shared" si="99"/>
        <v/>
      </c>
      <c r="M2092" s="34">
        <f t="shared" si="100"/>
        <v>0</v>
      </c>
    </row>
    <row r="2093" spans="7:13" x14ac:dyDescent="0.25">
      <c r="G2093" s="10" t="str">
        <f t="shared" si="98"/>
        <v/>
      </c>
      <c r="H2093" t="str">
        <f t="shared" si="99"/>
        <v/>
      </c>
      <c r="M2093" s="34">
        <f t="shared" si="100"/>
        <v>0</v>
      </c>
    </row>
    <row r="2094" spans="7:13" x14ac:dyDescent="0.25">
      <c r="G2094" s="10" t="str">
        <f t="shared" si="98"/>
        <v/>
      </c>
      <c r="H2094" t="str">
        <f t="shared" si="99"/>
        <v/>
      </c>
      <c r="M2094" s="34">
        <f t="shared" si="100"/>
        <v>0</v>
      </c>
    </row>
    <row r="2095" spans="7:13" x14ac:dyDescent="0.25">
      <c r="G2095" s="10" t="str">
        <f t="shared" si="98"/>
        <v/>
      </c>
      <c r="H2095" t="str">
        <f t="shared" si="99"/>
        <v/>
      </c>
      <c r="M2095" s="34">
        <f t="shared" si="100"/>
        <v>0</v>
      </c>
    </row>
    <row r="2096" spans="7:13" x14ac:dyDescent="0.25">
      <c r="G2096" s="10" t="str">
        <f t="shared" si="98"/>
        <v/>
      </c>
      <c r="H2096" t="str">
        <f t="shared" si="99"/>
        <v/>
      </c>
      <c r="M2096" s="34">
        <f t="shared" si="100"/>
        <v>0</v>
      </c>
    </row>
    <row r="2097" spans="7:13" x14ac:dyDescent="0.25">
      <c r="G2097" s="10" t="str">
        <f t="shared" si="98"/>
        <v/>
      </c>
      <c r="H2097" t="str">
        <f t="shared" si="99"/>
        <v/>
      </c>
      <c r="M2097" s="34">
        <f t="shared" si="100"/>
        <v>0</v>
      </c>
    </row>
    <row r="2098" spans="7:13" x14ac:dyDescent="0.25">
      <c r="G2098" s="10" t="str">
        <f t="shared" si="98"/>
        <v/>
      </c>
      <c r="H2098" t="str">
        <f t="shared" si="99"/>
        <v/>
      </c>
      <c r="M2098" s="34">
        <f t="shared" si="100"/>
        <v>0</v>
      </c>
    </row>
    <row r="2099" spans="7:13" x14ac:dyDescent="0.25">
      <c r="G2099" s="10" t="str">
        <f t="shared" si="98"/>
        <v/>
      </c>
      <c r="H2099" t="str">
        <f t="shared" si="99"/>
        <v/>
      </c>
      <c r="M2099" s="34">
        <f t="shared" si="100"/>
        <v>0</v>
      </c>
    </row>
    <row r="2100" spans="7:13" x14ac:dyDescent="0.25">
      <c r="G2100" s="10" t="str">
        <f t="shared" si="98"/>
        <v/>
      </c>
      <c r="H2100" t="str">
        <f t="shared" si="99"/>
        <v/>
      </c>
      <c r="M2100" s="34">
        <f t="shared" si="100"/>
        <v>0</v>
      </c>
    </row>
    <row r="2101" spans="7:13" x14ac:dyDescent="0.25">
      <c r="G2101" s="10" t="str">
        <f t="shared" si="98"/>
        <v/>
      </c>
      <c r="H2101" t="str">
        <f t="shared" si="99"/>
        <v/>
      </c>
      <c r="M2101" s="34">
        <f t="shared" si="100"/>
        <v>0</v>
      </c>
    </row>
    <row r="2102" spans="7:13" x14ac:dyDescent="0.25">
      <c r="G2102" s="10" t="str">
        <f t="shared" si="98"/>
        <v/>
      </c>
      <c r="H2102" t="str">
        <f t="shared" si="99"/>
        <v/>
      </c>
      <c r="M2102" s="34">
        <f t="shared" si="100"/>
        <v>0</v>
      </c>
    </row>
    <row r="2103" spans="7:13" x14ac:dyDescent="0.25">
      <c r="G2103" s="10" t="str">
        <f t="shared" si="98"/>
        <v/>
      </c>
      <c r="H2103" t="str">
        <f t="shared" si="99"/>
        <v/>
      </c>
      <c r="M2103" s="34">
        <f t="shared" si="100"/>
        <v>0</v>
      </c>
    </row>
    <row r="2104" spans="7:13" x14ac:dyDescent="0.25">
      <c r="G2104" s="10" t="str">
        <f t="shared" si="98"/>
        <v/>
      </c>
      <c r="H2104" t="str">
        <f t="shared" si="99"/>
        <v/>
      </c>
      <c r="M2104" s="34">
        <f t="shared" si="100"/>
        <v>0</v>
      </c>
    </row>
    <row r="2105" spans="7:13" x14ac:dyDescent="0.25">
      <c r="G2105" s="10" t="str">
        <f t="shared" si="98"/>
        <v/>
      </c>
      <c r="H2105" t="str">
        <f t="shared" si="99"/>
        <v/>
      </c>
      <c r="M2105" s="34">
        <f t="shared" si="100"/>
        <v>0</v>
      </c>
    </row>
    <row r="2106" spans="7:13" x14ac:dyDescent="0.25">
      <c r="G2106" s="10" t="str">
        <f t="shared" si="98"/>
        <v/>
      </c>
      <c r="H2106" t="str">
        <f t="shared" si="99"/>
        <v/>
      </c>
      <c r="M2106" s="34">
        <f t="shared" si="100"/>
        <v>0</v>
      </c>
    </row>
    <row r="2107" spans="7:13" x14ac:dyDescent="0.25">
      <c r="G2107" s="10" t="str">
        <f t="shared" si="98"/>
        <v/>
      </c>
      <c r="H2107" t="str">
        <f t="shared" si="99"/>
        <v/>
      </c>
      <c r="M2107" s="34">
        <f t="shared" si="100"/>
        <v>0</v>
      </c>
    </row>
    <row r="2108" spans="7:13" x14ac:dyDescent="0.25">
      <c r="G2108" s="10" t="str">
        <f t="shared" si="98"/>
        <v/>
      </c>
      <c r="H2108" t="str">
        <f t="shared" si="99"/>
        <v/>
      </c>
      <c r="M2108" s="34">
        <f t="shared" si="100"/>
        <v>0</v>
      </c>
    </row>
    <row r="2109" spans="7:13" x14ac:dyDescent="0.25">
      <c r="G2109" s="10" t="str">
        <f t="shared" si="98"/>
        <v/>
      </c>
      <c r="H2109" t="str">
        <f t="shared" si="99"/>
        <v/>
      </c>
      <c r="M2109" s="34">
        <f t="shared" si="100"/>
        <v>0</v>
      </c>
    </row>
    <row r="2110" spans="7:13" x14ac:dyDescent="0.25">
      <c r="G2110" s="10" t="str">
        <f t="shared" si="98"/>
        <v/>
      </c>
      <c r="H2110" t="str">
        <f t="shared" si="99"/>
        <v/>
      </c>
      <c r="M2110" s="34">
        <f t="shared" si="100"/>
        <v>0</v>
      </c>
    </row>
    <row r="2111" spans="7:13" x14ac:dyDescent="0.25">
      <c r="G2111" s="10" t="str">
        <f t="shared" si="98"/>
        <v/>
      </c>
      <c r="H2111" t="str">
        <f t="shared" si="99"/>
        <v/>
      </c>
      <c r="M2111" s="34">
        <f t="shared" si="100"/>
        <v>0</v>
      </c>
    </row>
    <row r="2112" spans="7:13" x14ac:dyDescent="0.25">
      <c r="G2112" s="10" t="str">
        <f t="shared" si="98"/>
        <v/>
      </c>
      <c r="H2112" t="str">
        <f t="shared" si="99"/>
        <v/>
      </c>
      <c r="M2112" s="34">
        <f t="shared" si="100"/>
        <v>0</v>
      </c>
    </row>
    <row r="2113" spans="7:13" x14ac:dyDescent="0.25">
      <c r="G2113" s="10" t="str">
        <f t="shared" si="98"/>
        <v/>
      </c>
      <c r="H2113" t="str">
        <f t="shared" si="99"/>
        <v/>
      </c>
      <c r="M2113" s="34">
        <f t="shared" si="100"/>
        <v>0</v>
      </c>
    </row>
    <row r="2114" spans="7:13" x14ac:dyDescent="0.25">
      <c r="G2114" s="10" t="str">
        <f t="shared" ref="G2114:G2177" si="101">IF(F2114&gt;0,"RECETTE",IF(F2114&lt;0,"DÉPENSE",""))</f>
        <v/>
      </c>
      <c r="H2114" t="str">
        <f t="shared" ref="H2114:H2177" si="102">+IF(ISNUMBER(D2114),D2114,"")</f>
        <v/>
      </c>
      <c r="M2114" s="34">
        <f t="shared" si="100"/>
        <v>0</v>
      </c>
    </row>
    <row r="2115" spans="7:13" x14ac:dyDescent="0.25">
      <c r="G2115" s="10" t="str">
        <f t="shared" si="101"/>
        <v/>
      </c>
      <c r="H2115" t="str">
        <f t="shared" si="102"/>
        <v/>
      </c>
      <c r="M2115" s="34">
        <f t="shared" ref="M2115:M2178" si="103">IF(AND(E2115="Chèque",G2115="RECETTE"),F2115,0)</f>
        <v>0</v>
      </c>
    </row>
    <row r="2116" spans="7:13" x14ac:dyDescent="0.25">
      <c r="G2116" s="10" t="str">
        <f t="shared" si="101"/>
        <v/>
      </c>
      <c r="H2116" t="str">
        <f t="shared" si="102"/>
        <v/>
      </c>
      <c r="M2116" s="34">
        <f t="shared" si="103"/>
        <v>0</v>
      </c>
    </row>
    <row r="2117" spans="7:13" x14ac:dyDescent="0.25">
      <c r="G2117" s="10" t="str">
        <f t="shared" si="101"/>
        <v/>
      </c>
      <c r="H2117" t="str">
        <f t="shared" si="102"/>
        <v/>
      </c>
      <c r="M2117" s="34">
        <f t="shared" si="103"/>
        <v>0</v>
      </c>
    </row>
    <row r="2118" spans="7:13" x14ac:dyDescent="0.25">
      <c r="G2118" s="10" t="str">
        <f t="shared" si="101"/>
        <v/>
      </c>
      <c r="H2118" t="str">
        <f t="shared" si="102"/>
        <v/>
      </c>
      <c r="M2118" s="34">
        <f t="shared" si="103"/>
        <v>0</v>
      </c>
    </row>
    <row r="2119" spans="7:13" x14ac:dyDescent="0.25">
      <c r="G2119" s="10" t="str">
        <f t="shared" si="101"/>
        <v/>
      </c>
      <c r="H2119" t="str">
        <f t="shared" si="102"/>
        <v/>
      </c>
      <c r="M2119" s="34">
        <f t="shared" si="103"/>
        <v>0</v>
      </c>
    </row>
    <row r="2120" spans="7:13" x14ac:dyDescent="0.25">
      <c r="G2120" s="10" t="str">
        <f t="shared" si="101"/>
        <v/>
      </c>
      <c r="H2120" t="str">
        <f t="shared" si="102"/>
        <v/>
      </c>
      <c r="M2120" s="34">
        <f t="shared" si="103"/>
        <v>0</v>
      </c>
    </row>
    <row r="2121" spans="7:13" x14ac:dyDescent="0.25">
      <c r="G2121" s="10" t="str">
        <f t="shared" si="101"/>
        <v/>
      </c>
      <c r="H2121" t="str">
        <f t="shared" si="102"/>
        <v/>
      </c>
      <c r="M2121" s="34">
        <f t="shared" si="103"/>
        <v>0</v>
      </c>
    </row>
    <row r="2122" spans="7:13" x14ac:dyDescent="0.25">
      <c r="G2122" s="10" t="str">
        <f t="shared" si="101"/>
        <v/>
      </c>
      <c r="H2122" t="str">
        <f t="shared" si="102"/>
        <v/>
      </c>
      <c r="M2122" s="34">
        <f t="shared" si="103"/>
        <v>0</v>
      </c>
    </row>
    <row r="2123" spans="7:13" x14ac:dyDescent="0.25">
      <c r="G2123" s="10" t="str">
        <f t="shared" si="101"/>
        <v/>
      </c>
      <c r="H2123" t="str">
        <f t="shared" si="102"/>
        <v/>
      </c>
      <c r="M2123" s="34">
        <f t="shared" si="103"/>
        <v>0</v>
      </c>
    </row>
    <row r="2124" spans="7:13" x14ac:dyDescent="0.25">
      <c r="G2124" s="10" t="str">
        <f t="shared" si="101"/>
        <v/>
      </c>
      <c r="H2124" t="str">
        <f t="shared" si="102"/>
        <v/>
      </c>
      <c r="M2124" s="34">
        <f t="shared" si="103"/>
        <v>0</v>
      </c>
    </row>
    <row r="2125" spans="7:13" x14ac:dyDescent="0.25">
      <c r="G2125" s="10" t="str">
        <f t="shared" si="101"/>
        <v/>
      </c>
      <c r="H2125" t="str">
        <f t="shared" si="102"/>
        <v/>
      </c>
      <c r="M2125" s="34">
        <f t="shared" si="103"/>
        <v>0</v>
      </c>
    </row>
    <row r="2126" spans="7:13" x14ac:dyDescent="0.25">
      <c r="G2126" s="10" t="str">
        <f t="shared" si="101"/>
        <v/>
      </c>
      <c r="H2126" t="str">
        <f t="shared" si="102"/>
        <v/>
      </c>
      <c r="M2126" s="34">
        <f t="shared" si="103"/>
        <v>0</v>
      </c>
    </row>
    <row r="2127" spans="7:13" x14ac:dyDescent="0.25">
      <c r="G2127" s="10" t="str">
        <f t="shared" si="101"/>
        <v/>
      </c>
      <c r="H2127" t="str">
        <f t="shared" si="102"/>
        <v/>
      </c>
      <c r="M2127" s="34">
        <f t="shared" si="103"/>
        <v>0</v>
      </c>
    </row>
    <row r="2128" spans="7:13" x14ac:dyDescent="0.25">
      <c r="G2128" s="10" t="str">
        <f t="shared" si="101"/>
        <v/>
      </c>
      <c r="H2128" t="str">
        <f t="shared" si="102"/>
        <v/>
      </c>
      <c r="M2128" s="34">
        <f t="shared" si="103"/>
        <v>0</v>
      </c>
    </row>
    <row r="2129" spans="7:13" x14ac:dyDescent="0.25">
      <c r="G2129" s="10" t="str">
        <f t="shared" si="101"/>
        <v/>
      </c>
      <c r="H2129" t="str">
        <f t="shared" si="102"/>
        <v/>
      </c>
      <c r="M2129" s="34">
        <f t="shared" si="103"/>
        <v>0</v>
      </c>
    </row>
    <row r="2130" spans="7:13" x14ac:dyDescent="0.25">
      <c r="G2130" s="10" t="str">
        <f t="shared" si="101"/>
        <v/>
      </c>
      <c r="H2130" t="str">
        <f t="shared" si="102"/>
        <v/>
      </c>
      <c r="M2130" s="34">
        <f t="shared" si="103"/>
        <v>0</v>
      </c>
    </row>
    <row r="2131" spans="7:13" x14ac:dyDescent="0.25">
      <c r="G2131" s="10" t="str">
        <f t="shared" si="101"/>
        <v/>
      </c>
      <c r="H2131" t="str">
        <f t="shared" si="102"/>
        <v/>
      </c>
      <c r="M2131" s="34">
        <f t="shared" si="103"/>
        <v>0</v>
      </c>
    </row>
    <row r="2132" spans="7:13" x14ac:dyDescent="0.25">
      <c r="G2132" s="10" t="str">
        <f t="shared" si="101"/>
        <v/>
      </c>
      <c r="H2132" t="str">
        <f t="shared" si="102"/>
        <v/>
      </c>
      <c r="M2132" s="34">
        <f t="shared" si="103"/>
        <v>0</v>
      </c>
    </row>
    <row r="2133" spans="7:13" x14ac:dyDescent="0.25">
      <c r="G2133" s="10" t="str">
        <f t="shared" si="101"/>
        <v/>
      </c>
      <c r="H2133" t="str">
        <f t="shared" si="102"/>
        <v/>
      </c>
      <c r="M2133" s="34">
        <f t="shared" si="103"/>
        <v>0</v>
      </c>
    </row>
    <row r="2134" spans="7:13" x14ac:dyDescent="0.25">
      <c r="G2134" s="10" t="str">
        <f t="shared" si="101"/>
        <v/>
      </c>
      <c r="H2134" t="str">
        <f t="shared" si="102"/>
        <v/>
      </c>
      <c r="M2134" s="34">
        <f t="shared" si="103"/>
        <v>0</v>
      </c>
    </row>
    <row r="2135" spans="7:13" x14ac:dyDescent="0.25">
      <c r="G2135" s="10" t="str">
        <f t="shared" si="101"/>
        <v/>
      </c>
      <c r="H2135" t="str">
        <f t="shared" si="102"/>
        <v/>
      </c>
      <c r="M2135" s="34">
        <f t="shared" si="103"/>
        <v>0</v>
      </c>
    </row>
    <row r="2136" spans="7:13" x14ac:dyDescent="0.25">
      <c r="G2136" s="10" t="str">
        <f t="shared" si="101"/>
        <v/>
      </c>
      <c r="H2136" t="str">
        <f t="shared" si="102"/>
        <v/>
      </c>
      <c r="M2136" s="34">
        <f t="shared" si="103"/>
        <v>0</v>
      </c>
    </row>
    <row r="2137" spans="7:13" x14ac:dyDescent="0.25">
      <c r="G2137" s="10" t="str">
        <f t="shared" si="101"/>
        <v/>
      </c>
      <c r="H2137" t="str">
        <f t="shared" si="102"/>
        <v/>
      </c>
      <c r="M2137" s="34">
        <f t="shared" si="103"/>
        <v>0</v>
      </c>
    </row>
    <row r="2138" spans="7:13" x14ac:dyDescent="0.25">
      <c r="G2138" s="10" t="str">
        <f t="shared" si="101"/>
        <v/>
      </c>
      <c r="H2138" t="str">
        <f t="shared" si="102"/>
        <v/>
      </c>
      <c r="M2138" s="34">
        <f t="shared" si="103"/>
        <v>0</v>
      </c>
    </row>
    <row r="2139" spans="7:13" x14ac:dyDescent="0.25">
      <c r="G2139" s="10" t="str">
        <f t="shared" si="101"/>
        <v/>
      </c>
      <c r="H2139" t="str">
        <f t="shared" si="102"/>
        <v/>
      </c>
      <c r="M2139" s="34">
        <f t="shared" si="103"/>
        <v>0</v>
      </c>
    </row>
    <row r="2140" spans="7:13" x14ac:dyDescent="0.25">
      <c r="G2140" s="10" t="str">
        <f t="shared" si="101"/>
        <v/>
      </c>
      <c r="H2140" t="str">
        <f t="shared" si="102"/>
        <v/>
      </c>
      <c r="M2140" s="34">
        <f t="shared" si="103"/>
        <v>0</v>
      </c>
    </row>
    <row r="2141" spans="7:13" x14ac:dyDescent="0.25">
      <c r="G2141" s="10" t="str">
        <f t="shared" si="101"/>
        <v/>
      </c>
      <c r="H2141" t="str">
        <f t="shared" si="102"/>
        <v/>
      </c>
      <c r="M2141" s="34">
        <f t="shared" si="103"/>
        <v>0</v>
      </c>
    </row>
    <row r="2142" spans="7:13" x14ac:dyDescent="0.25">
      <c r="G2142" s="10" t="str">
        <f t="shared" si="101"/>
        <v/>
      </c>
      <c r="H2142" t="str">
        <f t="shared" si="102"/>
        <v/>
      </c>
      <c r="M2142" s="34">
        <f t="shared" si="103"/>
        <v>0</v>
      </c>
    </row>
    <row r="2143" spans="7:13" x14ac:dyDescent="0.25">
      <c r="G2143" s="10" t="str">
        <f t="shared" si="101"/>
        <v/>
      </c>
      <c r="H2143" t="str">
        <f t="shared" si="102"/>
        <v/>
      </c>
      <c r="M2143" s="34">
        <f t="shared" si="103"/>
        <v>0</v>
      </c>
    </row>
    <row r="2144" spans="7:13" x14ac:dyDescent="0.25">
      <c r="G2144" s="10" t="str">
        <f t="shared" si="101"/>
        <v/>
      </c>
      <c r="H2144" t="str">
        <f t="shared" si="102"/>
        <v/>
      </c>
      <c r="M2144" s="34">
        <f t="shared" si="103"/>
        <v>0</v>
      </c>
    </row>
    <row r="2145" spans="7:13" x14ac:dyDescent="0.25">
      <c r="G2145" s="10" t="str">
        <f t="shared" si="101"/>
        <v/>
      </c>
      <c r="H2145" t="str">
        <f t="shared" si="102"/>
        <v/>
      </c>
      <c r="M2145" s="34">
        <f t="shared" si="103"/>
        <v>0</v>
      </c>
    </row>
    <row r="2146" spans="7:13" x14ac:dyDescent="0.25">
      <c r="G2146" s="10" t="str">
        <f t="shared" si="101"/>
        <v/>
      </c>
      <c r="H2146" t="str">
        <f t="shared" si="102"/>
        <v/>
      </c>
      <c r="M2146" s="34">
        <f t="shared" si="103"/>
        <v>0</v>
      </c>
    </row>
    <row r="2147" spans="7:13" x14ac:dyDescent="0.25">
      <c r="G2147" s="10" t="str">
        <f t="shared" si="101"/>
        <v/>
      </c>
      <c r="H2147" t="str">
        <f t="shared" si="102"/>
        <v/>
      </c>
      <c r="M2147" s="34">
        <f t="shared" si="103"/>
        <v>0</v>
      </c>
    </row>
    <row r="2148" spans="7:13" x14ac:dyDescent="0.25">
      <c r="G2148" s="10" t="str">
        <f t="shared" si="101"/>
        <v/>
      </c>
      <c r="H2148" t="str">
        <f t="shared" si="102"/>
        <v/>
      </c>
      <c r="M2148" s="34">
        <f t="shared" si="103"/>
        <v>0</v>
      </c>
    </row>
    <row r="2149" spans="7:13" x14ac:dyDescent="0.25">
      <c r="G2149" s="10" t="str">
        <f t="shared" si="101"/>
        <v/>
      </c>
      <c r="H2149" t="str">
        <f t="shared" si="102"/>
        <v/>
      </c>
      <c r="M2149" s="34">
        <f t="shared" si="103"/>
        <v>0</v>
      </c>
    </row>
    <row r="2150" spans="7:13" x14ac:dyDescent="0.25">
      <c r="G2150" s="10" t="str">
        <f t="shared" si="101"/>
        <v/>
      </c>
      <c r="H2150" t="str">
        <f t="shared" si="102"/>
        <v/>
      </c>
      <c r="M2150" s="34">
        <f t="shared" si="103"/>
        <v>0</v>
      </c>
    </row>
    <row r="2151" spans="7:13" x14ac:dyDescent="0.25">
      <c r="G2151" s="10" t="str">
        <f t="shared" si="101"/>
        <v/>
      </c>
      <c r="H2151" t="str">
        <f t="shared" si="102"/>
        <v/>
      </c>
      <c r="M2151" s="34">
        <f t="shared" si="103"/>
        <v>0</v>
      </c>
    </row>
    <row r="2152" spans="7:13" x14ac:dyDescent="0.25">
      <c r="G2152" s="10" t="str">
        <f t="shared" si="101"/>
        <v/>
      </c>
      <c r="H2152" t="str">
        <f t="shared" si="102"/>
        <v/>
      </c>
      <c r="M2152" s="34">
        <f t="shared" si="103"/>
        <v>0</v>
      </c>
    </row>
    <row r="2153" spans="7:13" x14ac:dyDescent="0.25">
      <c r="G2153" s="10" t="str">
        <f t="shared" si="101"/>
        <v/>
      </c>
      <c r="H2153" t="str">
        <f t="shared" si="102"/>
        <v/>
      </c>
      <c r="M2153" s="34">
        <f t="shared" si="103"/>
        <v>0</v>
      </c>
    </row>
    <row r="2154" spans="7:13" x14ac:dyDescent="0.25">
      <c r="G2154" s="10" t="str">
        <f t="shared" si="101"/>
        <v/>
      </c>
      <c r="H2154" t="str">
        <f t="shared" si="102"/>
        <v/>
      </c>
      <c r="M2154" s="34">
        <f t="shared" si="103"/>
        <v>0</v>
      </c>
    </row>
    <row r="2155" spans="7:13" x14ac:dyDescent="0.25">
      <c r="G2155" s="10" t="str">
        <f t="shared" si="101"/>
        <v/>
      </c>
      <c r="H2155" t="str">
        <f t="shared" si="102"/>
        <v/>
      </c>
      <c r="M2155" s="34">
        <f t="shared" si="103"/>
        <v>0</v>
      </c>
    </row>
    <row r="2156" spans="7:13" x14ac:dyDescent="0.25">
      <c r="G2156" s="10" t="str">
        <f t="shared" si="101"/>
        <v/>
      </c>
      <c r="H2156" t="str">
        <f t="shared" si="102"/>
        <v/>
      </c>
      <c r="M2156" s="34">
        <f t="shared" si="103"/>
        <v>0</v>
      </c>
    </row>
    <row r="2157" spans="7:13" x14ac:dyDescent="0.25">
      <c r="G2157" s="10" t="str">
        <f t="shared" si="101"/>
        <v/>
      </c>
      <c r="H2157" t="str">
        <f t="shared" si="102"/>
        <v/>
      </c>
      <c r="M2157" s="34">
        <f t="shared" si="103"/>
        <v>0</v>
      </c>
    </row>
    <row r="2158" spans="7:13" x14ac:dyDescent="0.25">
      <c r="G2158" s="10" t="str">
        <f t="shared" si="101"/>
        <v/>
      </c>
      <c r="H2158" t="str">
        <f t="shared" si="102"/>
        <v/>
      </c>
      <c r="M2158" s="34">
        <f t="shared" si="103"/>
        <v>0</v>
      </c>
    </row>
    <row r="2159" spans="7:13" x14ac:dyDescent="0.25">
      <c r="G2159" s="10" t="str">
        <f t="shared" si="101"/>
        <v/>
      </c>
      <c r="H2159" t="str">
        <f t="shared" si="102"/>
        <v/>
      </c>
      <c r="M2159" s="34">
        <f t="shared" si="103"/>
        <v>0</v>
      </c>
    </row>
    <row r="2160" spans="7:13" x14ac:dyDescent="0.25">
      <c r="G2160" s="10" t="str">
        <f t="shared" si="101"/>
        <v/>
      </c>
      <c r="H2160" t="str">
        <f t="shared" si="102"/>
        <v/>
      </c>
      <c r="M2160" s="34">
        <f t="shared" si="103"/>
        <v>0</v>
      </c>
    </row>
    <row r="2161" spans="7:13" x14ac:dyDescent="0.25">
      <c r="G2161" s="10" t="str">
        <f t="shared" si="101"/>
        <v/>
      </c>
      <c r="H2161" t="str">
        <f t="shared" si="102"/>
        <v/>
      </c>
      <c r="M2161" s="34">
        <f t="shared" si="103"/>
        <v>0</v>
      </c>
    </row>
    <row r="2162" spans="7:13" x14ac:dyDescent="0.25">
      <c r="G2162" s="10" t="str">
        <f t="shared" si="101"/>
        <v/>
      </c>
      <c r="H2162" t="str">
        <f t="shared" si="102"/>
        <v/>
      </c>
      <c r="M2162" s="34">
        <f t="shared" si="103"/>
        <v>0</v>
      </c>
    </row>
    <row r="2163" spans="7:13" x14ac:dyDescent="0.25">
      <c r="G2163" s="10" t="str">
        <f t="shared" si="101"/>
        <v/>
      </c>
      <c r="H2163" t="str">
        <f t="shared" si="102"/>
        <v/>
      </c>
      <c r="M2163" s="34">
        <f t="shared" si="103"/>
        <v>0</v>
      </c>
    </row>
    <row r="2164" spans="7:13" x14ac:dyDescent="0.25">
      <c r="G2164" s="10" t="str">
        <f t="shared" si="101"/>
        <v/>
      </c>
      <c r="H2164" t="str">
        <f t="shared" si="102"/>
        <v/>
      </c>
      <c r="M2164" s="34">
        <f t="shared" si="103"/>
        <v>0</v>
      </c>
    </row>
    <row r="2165" spans="7:13" x14ac:dyDescent="0.25">
      <c r="G2165" s="10" t="str">
        <f t="shared" si="101"/>
        <v/>
      </c>
      <c r="H2165" t="str">
        <f t="shared" si="102"/>
        <v/>
      </c>
      <c r="M2165" s="34">
        <f t="shared" si="103"/>
        <v>0</v>
      </c>
    </row>
    <row r="2166" spans="7:13" x14ac:dyDescent="0.25">
      <c r="G2166" s="10" t="str">
        <f t="shared" si="101"/>
        <v/>
      </c>
      <c r="H2166" t="str">
        <f t="shared" si="102"/>
        <v/>
      </c>
      <c r="M2166" s="34">
        <f t="shared" si="103"/>
        <v>0</v>
      </c>
    </row>
    <row r="2167" spans="7:13" x14ac:dyDescent="0.25">
      <c r="G2167" s="10" t="str">
        <f t="shared" si="101"/>
        <v/>
      </c>
      <c r="H2167" t="str">
        <f t="shared" si="102"/>
        <v/>
      </c>
      <c r="M2167" s="34">
        <f t="shared" si="103"/>
        <v>0</v>
      </c>
    </row>
    <row r="2168" spans="7:13" x14ac:dyDescent="0.25">
      <c r="G2168" s="10" t="str">
        <f t="shared" si="101"/>
        <v/>
      </c>
      <c r="H2168" t="str">
        <f t="shared" si="102"/>
        <v/>
      </c>
      <c r="M2168" s="34">
        <f t="shared" si="103"/>
        <v>0</v>
      </c>
    </row>
    <row r="2169" spans="7:13" x14ac:dyDescent="0.25">
      <c r="G2169" s="10" t="str">
        <f t="shared" si="101"/>
        <v/>
      </c>
      <c r="H2169" t="str">
        <f t="shared" si="102"/>
        <v/>
      </c>
      <c r="M2169" s="34">
        <f t="shared" si="103"/>
        <v>0</v>
      </c>
    </row>
    <row r="2170" spans="7:13" x14ac:dyDescent="0.25">
      <c r="G2170" s="10" t="str">
        <f t="shared" si="101"/>
        <v/>
      </c>
      <c r="H2170" t="str">
        <f t="shared" si="102"/>
        <v/>
      </c>
      <c r="M2170" s="34">
        <f t="shared" si="103"/>
        <v>0</v>
      </c>
    </row>
    <row r="2171" spans="7:13" x14ac:dyDescent="0.25">
      <c r="G2171" s="10" t="str">
        <f t="shared" si="101"/>
        <v/>
      </c>
      <c r="H2171" t="str">
        <f t="shared" si="102"/>
        <v/>
      </c>
      <c r="M2171" s="34">
        <f t="shared" si="103"/>
        <v>0</v>
      </c>
    </row>
    <row r="2172" spans="7:13" x14ac:dyDescent="0.25">
      <c r="G2172" s="10" t="str">
        <f t="shared" si="101"/>
        <v/>
      </c>
      <c r="H2172" t="str">
        <f t="shared" si="102"/>
        <v/>
      </c>
      <c r="M2172" s="34">
        <f t="shared" si="103"/>
        <v>0</v>
      </c>
    </row>
    <row r="2173" spans="7:13" x14ac:dyDescent="0.25">
      <c r="G2173" s="10" t="str">
        <f t="shared" si="101"/>
        <v/>
      </c>
      <c r="H2173" t="str">
        <f t="shared" si="102"/>
        <v/>
      </c>
      <c r="M2173" s="34">
        <f t="shared" si="103"/>
        <v>0</v>
      </c>
    </row>
    <row r="2174" spans="7:13" x14ac:dyDescent="0.25">
      <c r="G2174" s="10" t="str">
        <f t="shared" si="101"/>
        <v/>
      </c>
      <c r="H2174" t="str">
        <f t="shared" si="102"/>
        <v/>
      </c>
      <c r="M2174" s="34">
        <f t="shared" si="103"/>
        <v>0</v>
      </c>
    </row>
    <row r="2175" spans="7:13" x14ac:dyDescent="0.25">
      <c r="G2175" s="10" t="str">
        <f t="shared" si="101"/>
        <v/>
      </c>
      <c r="H2175" t="str">
        <f t="shared" si="102"/>
        <v/>
      </c>
      <c r="M2175" s="34">
        <f t="shared" si="103"/>
        <v>0</v>
      </c>
    </row>
    <row r="2176" spans="7:13" x14ac:dyDescent="0.25">
      <c r="G2176" s="10" t="str">
        <f t="shared" si="101"/>
        <v/>
      </c>
      <c r="H2176" t="str">
        <f t="shared" si="102"/>
        <v/>
      </c>
      <c r="M2176" s="34">
        <f t="shared" si="103"/>
        <v>0</v>
      </c>
    </row>
    <row r="2177" spans="7:13" x14ac:dyDescent="0.25">
      <c r="G2177" s="10" t="str">
        <f t="shared" si="101"/>
        <v/>
      </c>
      <c r="H2177" t="str">
        <f t="shared" si="102"/>
        <v/>
      </c>
      <c r="M2177" s="34">
        <f t="shared" si="103"/>
        <v>0</v>
      </c>
    </row>
    <row r="2178" spans="7:13" x14ac:dyDescent="0.25">
      <c r="G2178" s="10" t="str">
        <f t="shared" ref="G2178:G2241" si="104">IF(F2178&gt;0,"RECETTE",IF(F2178&lt;0,"DÉPENSE",""))</f>
        <v/>
      </c>
      <c r="H2178" t="str">
        <f t="shared" ref="H2178:H2241" si="105">+IF(ISNUMBER(D2178),D2178,"")</f>
        <v/>
      </c>
      <c r="M2178" s="34">
        <f t="shared" si="103"/>
        <v>0</v>
      </c>
    </row>
    <row r="2179" spans="7:13" x14ac:dyDescent="0.25">
      <c r="G2179" s="10" t="str">
        <f t="shared" si="104"/>
        <v/>
      </c>
      <c r="H2179" t="str">
        <f t="shared" si="105"/>
        <v/>
      </c>
      <c r="M2179" s="34">
        <f t="shared" ref="M2179:M2242" si="106">IF(AND(E2179="Chèque",G2179="RECETTE"),F2179,0)</f>
        <v>0</v>
      </c>
    </row>
    <row r="2180" spans="7:13" x14ac:dyDescent="0.25">
      <c r="G2180" s="10" t="str">
        <f t="shared" si="104"/>
        <v/>
      </c>
      <c r="H2180" t="str">
        <f t="shared" si="105"/>
        <v/>
      </c>
      <c r="M2180" s="34">
        <f t="shared" si="106"/>
        <v>0</v>
      </c>
    </row>
    <row r="2181" spans="7:13" x14ac:dyDescent="0.25">
      <c r="G2181" s="10" t="str">
        <f t="shared" si="104"/>
        <v/>
      </c>
      <c r="H2181" t="str">
        <f t="shared" si="105"/>
        <v/>
      </c>
      <c r="M2181" s="34">
        <f t="shared" si="106"/>
        <v>0</v>
      </c>
    </row>
    <row r="2182" spans="7:13" x14ac:dyDescent="0.25">
      <c r="G2182" s="10" t="str">
        <f t="shared" si="104"/>
        <v/>
      </c>
      <c r="H2182" t="str">
        <f t="shared" si="105"/>
        <v/>
      </c>
      <c r="M2182" s="34">
        <f t="shared" si="106"/>
        <v>0</v>
      </c>
    </row>
    <row r="2183" spans="7:13" x14ac:dyDescent="0.25">
      <c r="G2183" s="10" t="str">
        <f t="shared" si="104"/>
        <v/>
      </c>
      <c r="H2183" t="str">
        <f t="shared" si="105"/>
        <v/>
      </c>
      <c r="M2183" s="34">
        <f t="shared" si="106"/>
        <v>0</v>
      </c>
    </row>
    <row r="2184" spans="7:13" x14ac:dyDescent="0.25">
      <c r="G2184" s="10" t="str">
        <f t="shared" si="104"/>
        <v/>
      </c>
      <c r="H2184" t="str">
        <f t="shared" si="105"/>
        <v/>
      </c>
      <c r="M2184" s="34">
        <f t="shared" si="106"/>
        <v>0</v>
      </c>
    </row>
    <row r="2185" spans="7:13" x14ac:dyDescent="0.25">
      <c r="G2185" s="10" t="str">
        <f t="shared" si="104"/>
        <v/>
      </c>
      <c r="H2185" t="str">
        <f t="shared" si="105"/>
        <v/>
      </c>
      <c r="M2185" s="34">
        <f t="shared" si="106"/>
        <v>0</v>
      </c>
    </row>
    <row r="2186" spans="7:13" x14ac:dyDescent="0.25">
      <c r="G2186" s="10" t="str">
        <f t="shared" si="104"/>
        <v/>
      </c>
      <c r="H2186" t="str">
        <f t="shared" si="105"/>
        <v/>
      </c>
      <c r="M2186" s="34">
        <f t="shared" si="106"/>
        <v>0</v>
      </c>
    </row>
    <row r="2187" spans="7:13" x14ac:dyDescent="0.25">
      <c r="G2187" s="10" t="str">
        <f t="shared" si="104"/>
        <v/>
      </c>
      <c r="H2187" t="str">
        <f t="shared" si="105"/>
        <v/>
      </c>
      <c r="M2187" s="34">
        <f t="shared" si="106"/>
        <v>0</v>
      </c>
    </row>
    <row r="2188" spans="7:13" x14ac:dyDescent="0.25">
      <c r="G2188" s="10" t="str">
        <f t="shared" si="104"/>
        <v/>
      </c>
      <c r="H2188" t="str">
        <f t="shared" si="105"/>
        <v/>
      </c>
      <c r="M2188" s="34">
        <f t="shared" si="106"/>
        <v>0</v>
      </c>
    </row>
    <row r="2189" spans="7:13" x14ac:dyDescent="0.25">
      <c r="G2189" s="10" t="str">
        <f t="shared" si="104"/>
        <v/>
      </c>
      <c r="H2189" t="str">
        <f t="shared" si="105"/>
        <v/>
      </c>
      <c r="M2189" s="34">
        <f t="shared" si="106"/>
        <v>0</v>
      </c>
    </row>
    <row r="2190" spans="7:13" x14ac:dyDescent="0.25">
      <c r="G2190" s="10" t="str">
        <f t="shared" si="104"/>
        <v/>
      </c>
      <c r="H2190" t="str">
        <f t="shared" si="105"/>
        <v/>
      </c>
      <c r="M2190" s="34">
        <f t="shared" si="106"/>
        <v>0</v>
      </c>
    </row>
    <row r="2191" spans="7:13" x14ac:dyDescent="0.25">
      <c r="G2191" s="10" t="str">
        <f t="shared" si="104"/>
        <v/>
      </c>
      <c r="H2191" t="str">
        <f t="shared" si="105"/>
        <v/>
      </c>
      <c r="M2191" s="34">
        <f t="shared" si="106"/>
        <v>0</v>
      </c>
    </row>
    <row r="2192" spans="7:13" x14ac:dyDescent="0.25">
      <c r="G2192" s="10" t="str">
        <f t="shared" si="104"/>
        <v/>
      </c>
      <c r="H2192" t="str">
        <f t="shared" si="105"/>
        <v/>
      </c>
      <c r="M2192" s="34">
        <f t="shared" si="106"/>
        <v>0</v>
      </c>
    </row>
    <row r="2193" spans="7:13" x14ac:dyDescent="0.25">
      <c r="G2193" s="10" t="str">
        <f t="shared" si="104"/>
        <v/>
      </c>
      <c r="H2193" t="str">
        <f t="shared" si="105"/>
        <v/>
      </c>
      <c r="M2193" s="34">
        <f t="shared" si="106"/>
        <v>0</v>
      </c>
    </row>
    <row r="2194" spans="7:13" x14ac:dyDescent="0.25">
      <c r="G2194" s="10" t="str">
        <f t="shared" si="104"/>
        <v/>
      </c>
      <c r="H2194" t="str">
        <f t="shared" si="105"/>
        <v/>
      </c>
      <c r="M2194" s="34">
        <f t="shared" si="106"/>
        <v>0</v>
      </c>
    </row>
    <row r="2195" spans="7:13" x14ac:dyDescent="0.25">
      <c r="G2195" s="10" t="str">
        <f t="shared" si="104"/>
        <v/>
      </c>
      <c r="H2195" t="str">
        <f t="shared" si="105"/>
        <v/>
      </c>
      <c r="M2195" s="34">
        <f t="shared" si="106"/>
        <v>0</v>
      </c>
    </row>
    <row r="2196" spans="7:13" x14ac:dyDescent="0.25">
      <c r="G2196" s="10" t="str">
        <f t="shared" si="104"/>
        <v/>
      </c>
      <c r="H2196" t="str">
        <f t="shared" si="105"/>
        <v/>
      </c>
      <c r="M2196" s="34">
        <f t="shared" si="106"/>
        <v>0</v>
      </c>
    </row>
    <row r="2197" spans="7:13" x14ac:dyDescent="0.25">
      <c r="G2197" s="10" t="str">
        <f t="shared" si="104"/>
        <v/>
      </c>
      <c r="H2197" t="str">
        <f t="shared" si="105"/>
        <v/>
      </c>
      <c r="M2197" s="34">
        <f t="shared" si="106"/>
        <v>0</v>
      </c>
    </row>
    <row r="2198" spans="7:13" x14ac:dyDescent="0.25">
      <c r="G2198" s="10" t="str">
        <f t="shared" si="104"/>
        <v/>
      </c>
      <c r="H2198" t="str">
        <f t="shared" si="105"/>
        <v/>
      </c>
      <c r="M2198" s="34">
        <f t="shared" si="106"/>
        <v>0</v>
      </c>
    </row>
    <row r="2199" spans="7:13" x14ac:dyDescent="0.25">
      <c r="G2199" s="10" t="str">
        <f t="shared" si="104"/>
        <v/>
      </c>
      <c r="H2199" t="str">
        <f t="shared" si="105"/>
        <v/>
      </c>
      <c r="M2199" s="34">
        <f t="shared" si="106"/>
        <v>0</v>
      </c>
    </row>
    <row r="2200" spans="7:13" x14ac:dyDescent="0.25">
      <c r="G2200" s="10" t="str">
        <f t="shared" si="104"/>
        <v/>
      </c>
      <c r="H2200" t="str">
        <f t="shared" si="105"/>
        <v/>
      </c>
      <c r="M2200" s="34">
        <f t="shared" si="106"/>
        <v>0</v>
      </c>
    </row>
    <row r="2201" spans="7:13" x14ac:dyDescent="0.25">
      <c r="G2201" s="10" t="str">
        <f t="shared" si="104"/>
        <v/>
      </c>
      <c r="H2201" t="str">
        <f t="shared" si="105"/>
        <v/>
      </c>
      <c r="M2201" s="34">
        <f t="shared" si="106"/>
        <v>0</v>
      </c>
    </row>
    <row r="2202" spans="7:13" x14ac:dyDescent="0.25">
      <c r="G2202" s="10" t="str">
        <f t="shared" si="104"/>
        <v/>
      </c>
      <c r="H2202" t="str">
        <f t="shared" si="105"/>
        <v/>
      </c>
      <c r="M2202" s="34">
        <f t="shared" si="106"/>
        <v>0</v>
      </c>
    </row>
    <row r="2203" spans="7:13" x14ac:dyDescent="0.25">
      <c r="G2203" s="10" t="str">
        <f t="shared" si="104"/>
        <v/>
      </c>
      <c r="H2203" t="str">
        <f t="shared" si="105"/>
        <v/>
      </c>
      <c r="M2203" s="34">
        <f t="shared" si="106"/>
        <v>0</v>
      </c>
    </row>
    <row r="2204" spans="7:13" x14ac:dyDescent="0.25">
      <c r="G2204" s="10" t="str">
        <f t="shared" si="104"/>
        <v/>
      </c>
      <c r="H2204" t="str">
        <f t="shared" si="105"/>
        <v/>
      </c>
      <c r="M2204" s="34">
        <f t="shared" si="106"/>
        <v>0</v>
      </c>
    </row>
    <row r="2205" spans="7:13" x14ac:dyDescent="0.25">
      <c r="G2205" s="10" t="str">
        <f t="shared" si="104"/>
        <v/>
      </c>
      <c r="H2205" t="str">
        <f t="shared" si="105"/>
        <v/>
      </c>
      <c r="M2205" s="34">
        <f t="shared" si="106"/>
        <v>0</v>
      </c>
    </row>
    <row r="2206" spans="7:13" x14ac:dyDescent="0.25">
      <c r="G2206" s="10" t="str">
        <f t="shared" si="104"/>
        <v/>
      </c>
      <c r="H2206" t="str">
        <f t="shared" si="105"/>
        <v/>
      </c>
      <c r="M2206" s="34">
        <f t="shared" si="106"/>
        <v>0</v>
      </c>
    </row>
    <row r="2207" spans="7:13" x14ac:dyDescent="0.25">
      <c r="G2207" s="10" t="str">
        <f t="shared" si="104"/>
        <v/>
      </c>
      <c r="H2207" t="str">
        <f t="shared" si="105"/>
        <v/>
      </c>
      <c r="M2207" s="34">
        <f t="shared" si="106"/>
        <v>0</v>
      </c>
    </row>
    <row r="2208" spans="7:13" x14ac:dyDescent="0.25">
      <c r="G2208" s="10" t="str">
        <f t="shared" si="104"/>
        <v/>
      </c>
      <c r="H2208" t="str">
        <f t="shared" si="105"/>
        <v/>
      </c>
      <c r="M2208" s="34">
        <f t="shared" si="106"/>
        <v>0</v>
      </c>
    </row>
    <row r="2209" spans="7:13" x14ac:dyDescent="0.25">
      <c r="G2209" s="10" t="str">
        <f t="shared" si="104"/>
        <v/>
      </c>
      <c r="H2209" t="str">
        <f t="shared" si="105"/>
        <v/>
      </c>
      <c r="M2209" s="34">
        <f t="shared" si="106"/>
        <v>0</v>
      </c>
    </row>
    <row r="2210" spans="7:13" x14ac:dyDescent="0.25">
      <c r="G2210" s="10" t="str">
        <f t="shared" si="104"/>
        <v/>
      </c>
      <c r="H2210" t="str">
        <f t="shared" si="105"/>
        <v/>
      </c>
      <c r="M2210" s="34">
        <f t="shared" si="106"/>
        <v>0</v>
      </c>
    </row>
    <row r="2211" spans="7:13" x14ac:dyDescent="0.25">
      <c r="G2211" s="10" t="str">
        <f t="shared" si="104"/>
        <v/>
      </c>
      <c r="H2211" t="str">
        <f t="shared" si="105"/>
        <v/>
      </c>
      <c r="M2211" s="34">
        <f t="shared" si="106"/>
        <v>0</v>
      </c>
    </row>
    <row r="2212" spans="7:13" x14ac:dyDescent="0.25">
      <c r="G2212" s="10" t="str">
        <f t="shared" si="104"/>
        <v/>
      </c>
      <c r="H2212" t="str">
        <f t="shared" si="105"/>
        <v/>
      </c>
      <c r="M2212" s="34">
        <f t="shared" si="106"/>
        <v>0</v>
      </c>
    </row>
    <row r="2213" spans="7:13" x14ac:dyDescent="0.25">
      <c r="G2213" s="10" t="str">
        <f t="shared" si="104"/>
        <v/>
      </c>
      <c r="H2213" t="str">
        <f t="shared" si="105"/>
        <v/>
      </c>
      <c r="M2213" s="34">
        <f t="shared" si="106"/>
        <v>0</v>
      </c>
    </row>
    <row r="2214" spans="7:13" x14ac:dyDescent="0.25">
      <c r="G2214" s="10" t="str">
        <f t="shared" si="104"/>
        <v/>
      </c>
      <c r="H2214" t="str">
        <f t="shared" si="105"/>
        <v/>
      </c>
      <c r="M2214" s="34">
        <f t="shared" si="106"/>
        <v>0</v>
      </c>
    </row>
    <row r="2215" spans="7:13" x14ac:dyDescent="0.25">
      <c r="G2215" s="10" t="str">
        <f t="shared" si="104"/>
        <v/>
      </c>
      <c r="H2215" t="str">
        <f t="shared" si="105"/>
        <v/>
      </c>
      <c r="M2215" s="34">
        <f t="shared" si="106"/>
        <v>0</v>
      </c>
    </row>
    <row r="2216" spans="7:13" x14ac:dyDescent="0.25">
      <c r="G2216" s="10" t="str">
        <f t="shared" si="104"/>
        <v/>
      </c>
      <c r="H2216" t="str">
        <f t="shared" si="105"/>
        <v/>
      </c>
      <c r="M2216" s="34">
        <f t="shared" si="106"/>
        <v>0</v>
      </c>
    </row>
    <row r="2217" spans="7:13" x14ac:dyDescent="0.25">
      <c r="G2217" s="10" t="str">
        <f t="shared" si="104"/>
        <v/>
      </c>
      <c r="H2217" t="str">
        <f t="shared" si="105"/>
        <v/>
      </c>
      <c r="M2217" s="34">
        <f t="shared" si="106"/>
        <v>0</v>
      </c>
    </row>
    <row r="2218" spans="7:13" x14ac:dyDescent="0.25">
      <c r="G2218" s="10" t="str">
        <f t="shared" si="104"/>
        <v/>
      </c>
      <c r="H2218" t="str">
        <f t="shared" si="105"/>
        <v/>
      </c>
      <c r="M2218" s="34">
        <f t="shared" si="106"/>
        <v>0</v>
      </c>
    </row>
    <row r="2219" spans="7:13" x14ac:dyDescent="0.25">
      <c r="G2219" s="10" t="str">
        <f t="shared" si="104"/>
        <v/>
      </c>
      <c r="H2219" t="str">
        <f t="shared" si="105"/>
        <v/>
      </c>
      <c r="M2219" s="34">
        <f t="shared" si="106"/>
        <v>0</v>
      </c>
    </row>
    <row r="2220" spans="7:13" x14ac:dyDescent="0.25">
      <c r="G2220" s="10" t="str">
        <f t="shared" si="104"/>
        <v/>
      </c>
      <c r="H2220" t="str">
        <f t="shared" si="105"/>
        <v/>
      </c>
      <c r="M2220" s="34">
        <f t="shared" si="106"/>
        <v>0</v>
      </c>
    </row>
    <row r="2221" spans="7:13" x14ac:dyDescent="0.25">
      <c r="G2221" s="10" t="str">
        <f t="shared" si="104"/>
        <v/>
      </c>
      <c r="H2221" t="str">
        <f t="shared" si="105"/>
        <v/>
      </c>
      <c r="M2221" s="34">
        <f t="shared" si="106"/>
        <v>0</v>
      </c>
    </row>
    <row r="2222" spans="7:13" x14ac:dyDescent="0.25">
      <c r="G2222" s="10" t="str">
        <f t="shared" si="104"/>
        <v/>
      </c>
      <c r="H2222" t="str">
        <f t="shared" si="105"/>
        <v/>
      </c>
      <c r="M2222" s="34">
        <f t="shared" si="106"/>
        <v>0</v>
      </c>
    </row>
    <row r="2223" spans="7:13" x14ac:dyDescent="0.25">
      <c r="G2223" s="10" t="str">
        <f t="shared" si="104"/>
        <v/>
      </c>
      <c r="H2223" t="str">
        <f t="shared" si="105"/>
        <v/>
      </c>
      <c r="M2223" s="34">
        <f t="shared" si="106"/>
        <v>0</v>
      </c>
    </row>
    <row r="2224" spans="7:13" x14ac:dyDescent="0.25">
      <c r="G2224" s="10" t="str">
        <f t="shared" si="104"/>
        <v/>
      </c>
      <c r="H2224" t="str">
        <f t="shared" si="105"/>
        <v/>
      </c>
      <c r="M2224" s="34">
        <f t="shared" si="106"/>
        <v>0</v>
      </c>
    </row>
    <row r="2225" spans="7:13" x14ac:dyDescent="0.25">
      <c r="G2225" s="10" t="str">
        <f t="shared" si="104"/>
        <v/>
      </c>
      <c r="H2225" t="str">
        <f t="shared" si="105"/>
        <v/>
      </c>
      <c r="M2225" s="34">
        <f t="shared" si="106"/>
        <v>0</v>
      </c>
    </row>
    <row r="2226" spans="7:13" x14ac:dyDescent="0.25">
      <c r="G2226" s="10" t="str">
        <f t="shared" si="104"/>
        <v/>
      </c>
      <c r="H2226" t="str">
        <f t="shared" si="105"/>
        <v/>
      </c>
      <c r="M2226" s="34">
        <f t="shared" si="106"/>
        <v>0</v>
      </c>
    </row>
    <row r="2227" spans="7:13" x14ac:dyDescent="0.25">
      <c r="G2227" s="10" t="str">
        <f t="shared" si="104"/>
        <v/>
      </c>
      <c r="H2227" t="str">
        <f t="shared" si="105"/>
        <v/>
      </c>
      <c r="M2227" s="34">
        <f t="shared" si="106"/>
        <v>0</v>
      </c>
    </row>
    <row r="2228" spans="7:13" x14ac:dyDescent="0.25">
      <c r="G2228" s="10" t="str">
        <f t="shared" si="104"/>
        <v/>
      </c>
      <c r="H2228" t="str">
        <f t="shared" si="105"/>
        <v/>
      </c>
      <c r="M2228" s="34">
        <f t="shared" si="106"/>
        <v>0</v>
      </c>
    </row>
    <row r="2229" spans="7:13" x14ac:dyDescent="0.25">
      <c r="G2229" s="10" t="str">
        <f t="shared" si="104"/>
        <v/>
      </c>
      <c r="H2229" t="str">
        <f t="shared" si="105"/>
        <v/>
      </c>
      <c r="M2229" s="34">
        <f t="shared" si="106"/>
        <v>0</v>
      </c>
    </row>
    <row r="2230" spans="7:13" x14ac:dyDescent="0.25">
      <c r="G2230" s="10" t="str">
        <f t="shared" si="104"/>
        <v/>
      </c>
      <c r="H2230" t="str">
        <f t="shared" si="105"/>
        <v/>
      </c>
      <c r="M2230" s="34">
        <f t="shared" si="106"/>
        <v>0</v>
      </c>
    </row>
    <row r="2231" spans="7:13" x14ac:dyDescent="0.25">
      <c r="G2231" s="10" t="str">
        <f t="shared" si="104"/>
        <v/>
      </c>
      <c r="H2231" t="str">
        <f t="shared" si="105"/>
        <v/>
      </c>
      <c r="M2231" s="34">
        <f t="shared" si="106"/>
        <v>0</v>
      </c>
    </row>
    <row r="2232" spans="7:13" x14ac:dyDescent="0.25">
      <c r="G2232" s="10" t="str">
        <f t="shared" si="104"/>
        <v/>
      </c>
      <c r="H2232" t="str">
        <f t="shared" si="105"/>
        <v/>
      </c>
      <c r="M2232" s="34">
        <f t="shared" si="106"/>
        <v>0</v>
      </c>
    </row>
    <row r="2233" spans="7:13" x14ac:dyDescent="0.25">
      <c r="G2233" s="10" t="str">
        <f t="shared" si="104"/>
        <v/>
      </c>
      <c r="H2233" t="str">
        <f t="shared" si="105"/>
        <v/>
      </c>
      <c r="M2233" s="34">
        <f t="shared" si="106"/>
        <v>0</v>
      </c>
    </row>
    <row r="2234" spans="7:13" x14ac:dyDescent="0.25">
      <c r="G2234" s="10" t="str">
        <f t="shared" si="104"/>
        <v/>
      </c>
      <c r="H2234" t="str">
        <f t="shared" si="105"/>
        <v/>
      </c>
      <c r="M2234" s="34">
        <f t="shared" si="106"/>
        <v>0</v>
      </c>
    </row>
    <row r="2235" spans="7:13" x14ac:dyDescent="0.25">
      <c r="G2235" s="10" t="str">
        <f t="shared" si="104"/>
        <v/>
      </c>
      <c r="H2235" t="str">
        <f t="shared" si="105"/>
        <v/>
      </c>
      <c r="M2235" s="34">
        <f t="shared" si="106"/>
        <v>0</v>
      </c>
    </row>
    <row r="2236" spans="7:13" x14ac:dyDescent="0.25">
      <c r="G2236" s="10" t="str">
        <f t="shared" si="104"/>
        <v/>
      </c>
      <c r="H2236" t="str">
        <f t="shared" si="105"/>
        <v/>
      </c>
      <c r="M2236" s="34">
        <f t="shared" si="106"/>
        <v>0</v>
      </c>
    </row>
    <row r="2237" spans="7:13" x14ac:dyDescent="0.25">
      <c r="G2237" s="10" t="str">
        <f t="shared" si="104"/>
        <v/>
      </c>
      <c r="H2237" t="str">
        <f t="shared" si="105"/>
        <v/>
      </c>
      <c r="M2237" s="34">
        <f t="shared" si="106"/>
        <v>0</v>
      </c>
    </row>
    <row r="2238" spans="7:13" x14ac:dyDescent="0.25">
      <c r="G2238" s="10" t="str">
        <f t="shared" si="104"/>
        <v/>
      </c>
      <c r="H2238" t="str">
        <f t="shared" si="105"/>
        <v/>
      </c>
      <c r="M2238" s="34">
        <f t="shared" si="106"/>
        <v>0</v>
      </c>
    </row>
    <row r="2239" spans="7:13" x14ac:dyDescent="0.25">
      <c r="G2239" s="10" t="str">
        <f t="shared" si="104"/>
        <v/>
      </c>
      <c r="H2239" t="str">
        <f t="shared" si="105"/>
        <v/>
      </c>
      <c r="M2239" s="34">
        <f t="shared" si="106"/>
        <v>0</v>
      </c>
    </row>
    <row r="2240" spans="7:13" x14ac:dyDescent="0.25">
      <c r="G2240" s="10" t="str">
        <f t="shared" si="104"/>
        <v/>
      </c>
      <c r="H2240" t="str">
        <f t="shared" si="105"/>
        <v/>
      </c>
      <c r="M2240" s="34">
        <f t="shared" si="106"/>
        <v>0</v>
      </c>
    </row>
    <row r="2241" spans="7:13" x14ac:dyDescent="0.25">
      <c r="G2241" s="10" t="str">
        <f t="shared" si="104"/>
        <v/>
      </c>
      <c r="H2241" t="str">
        <f t="shared" si="105"/>
        <v/>
      </c>
      <c r="M2241" s="34">
        <f t="shared" si="106"/>
        <v>0</v>
      </c>
    </row>
    <row r="2242" spans="7:13" x14ac:dyDescent="0.25">
      <c r="G2242" s="10" t="str">
        <f t="shared" ref="G2242:G2305" si="107">IF(F2242&gt;0,"RECETTE",IF(F2242&lt;0,"DÉPENSE",""))</f>
        <v/>
      </c>
      <c r="H2242" t="str">
        <f t="shared" ref="H2242:H2305" si="108">+IF(ISNUMBER(D2242),D2242,"")</f>
        <v/>
      </c>
      <c r="M2242" s="34">
        <f t="shared" si="106"/>
        <v>0</v>
      </c>
    </row>
    <row r="2243" spans="7:13" x14ac:dyDescent="0.25">
      <c r="G2243" s="10" t="str">
        <f t="shared" si="107"/>
        <v/>
      </c>
      <c r="H2243" t="str">
        <f t="shared" si="108"/>
        <v/>
      </c>
      <c r="M2243" s="34">
        <f t="shared" ref="M2243:M2306" si="109">IF(AND(E2243="Chèque",G2243="RECETTE"),F2243,0)</f>
        <v>0</v>
      </c>
    </row>
    <row r="2244" spans="7:13" x14ac:dyDescent="0.25">
      <c r="G2244" s="10" t="str">
        <f t="shared" si="107"/>
        <v/>
      </c>
      <c r="H2244" t="str">
        <f t="shared" si="108"/>
        <v/>
      </c>
      <c r="M2244" s="34">
        <f t="shared" si="109"/>
        <v>0</v>
      </c>
    </row>
    <row r="2245" spans="7:13" x14ac:dyDescent="0.25">
      <c r="G2245" s="10" t="str">
        <f t="shared" si="107"/>
        <v/>
      </c>
      <c r="H2245" t="str">
        <f t="shared" si="108"/>
        <v/>
      </c>
      <c r="M2245" s="34">
        <f t="shared" si="109"/>
        <v>0</v>
      </c>
    </row>
    <row r="2246" spans="7:13" x14ac:dyDescent="0.25">
      <c r="G2246" s="10" t="str">
        <f t="shared" si="107"/>
        <v/>
      </c>
      <c r="H2246" t="str">
        <f t="shared" si="108"/>
        <v/>
      </c>
      <c r="M2246" s="34">
        <f t="shared" si="109"/>
        <v>0</v>
      </c>
    </row>
    <row r="2247" spans="7:13" x14ac:dyDescent="0.25">
      <c r="G2247" s="10" t="str">
        <f t="shared" si="107"/>
        <v/>
      </c>
      <c r="H2247" t="str">
        <f t="shared" si="108"/>
        <v/>
      </c>
      <c r="M2247" s="34">
        <f t="shared" si="109"/>
        <v>0</v>
      </c>
    </row>
    <row r="2248" spans="7:13" x14ac:dyDescent="0.25">
      <c r="G2248" s="10" t="str">
        <f t="shared" si="107"/>
        <v/>
      </c>
      <c r="H2248" t="str">
        <f t="shared" si="108"/>
        <v/>
      </c>
      <c r="M2248" s="34">
        <f t="shared" si="109"/>
        <v>0</v>
      </c>
    </row>
    <row r="2249" spans="7:13" x14ac:dyDescent="0.25">
      <c r="G2249" s="10" t="str">
        <f t="shared" si="107"/>
        <v/>
      </c>
      <c r="H2249" t="str">
        <f t="shared" si="108"/>
        <v/>
      </c>
      <c r="M2249" s="34">
        <f t="shared" si="109"/>
        <v>0</v>
      </c>
    </row>
    <row r="2250" spans="7:13" x14ac:dyDescent="0.25">
      <c r="G2250" s="10" t="str">
        <f t="shared" si="107"/>
        <v/>
      </c>
      <c r="H2250" t="str">
        <f t="shared" si="108"/>
        <v/>
      </c>
      <c r="M2250" s="34">
        <f t="shared" si="109"/>
        <v>0</v>
      </c>
    </row>
    <row r="2251" spans="7:13" x14ac:dyDescent="0.25">
      <c r="G2251" s="10" t="str">
        <f t="shared" si="107"/>
        <v/>
      </c>
      <c r="H2251" t="str">
        <f t="shared" si="108"/>
        <v/>
      </c>
      <c r="M2251" s="34">
        <f t="shared" si="109"/>
        <v>0</v>
      </c>
    </row>
    <row r="2252" spans="7:13" x14ac:dyDescent="0.25">
      <c r="G2252" s="10" t="str">
        <f t="shared" si="107"/>
        <v/>
      </c>
      <c r="H2252" t="str">
        <f t="shared" si="108"/>
        <v/>
      </c>
      <c r="M2252" s="34">
        <f t="shared" si="109"/>
        <v>0</v>
      </c>
    </row>
    <row r="2253" spans="7:13" x14ac:dyDescent="0.25">
      <c r="G2253" s="10" t="str">
        <f t="shared" si="107"/>
        <v/>
      </c>
      <c r="H2253" t="str">
        <f t="shared" si="108"/>
        <v/>
      </c>
      <c r="M2253" s="34">
        <f t="shared" si="109"/>
        <v>0</v>
      </c>
    </row>
    <row r="2254" spans="7:13" x14ac:dyDescent="0.25">
      <c r="G2254" s="10" t="str">
        <f t="shared" si="107"/>
        <v/>
      </c>
      <c r="H2254" t="str">
        <f t="shared" si="108"/>
        <v/>
      </c>
      <c r="M2254" s="34">
        <f t="shared" si="109"/>
        <v>0</v>
      </c>
    </row>
    <row r="2255" spans="7:13" x14ac:dyDescent="0.25">
      <c r="G2255" s="10" t="str">
        <f t="shared" si="107"/>
        <v/>
      </c>
      <c r="H2255" t="str">
        <f t="shared" si="108"/>
        <v/>
      </c>
      <c r="M2255" s="34">
        <f t="shared" si="109"/>
        <v>0</v>
      </c>
    </row>
    <row r="2256" spans="7:13" x14ac:dyDescent="0.25">
      <c r="G2256" s="10" t="str">
        <f t="shared" si="107"/>
        <v/>
      </c>
      <c r="H2256" t="str">
        <f t="shared" si="108"/>
        <v/>
      </c>
      <c r="M2256" s="34">
        <f t="shared" si="109"/>
        <v>0</v>
      </c>
    </row>
    <row r="2257" spans="7:13" x14ac:dyDescent="0.25">
      <c r="G2257" s="10" t="str">
        <f t="shared" si="107"/>
        <v/>
      </c>
      <c r="H2257" t="str">
        <f t="shared" si="108"/>
        <v/>
      </c>
      <c r="M2257" s="34">
        <f t="shared" si="109"/>
        <v>0</v>
      </c>
    </row>
    <row r="2258" spans="7:13" x14ac:dyDescent="0.25">
      <c r="G2258" s="10" t="str">
        <f t="shared" si="107"/>
        <v/>
      </c>
      <c r="H2258" t="str">
        <f t="shared" si="108"/>
        <v/>
      </c>
      <c r="M2258" s="34">
        <f t="shared" si="109"/>
        <v>0</v>
      </c>
    </row>
    <row r="2259" spans="7:13" x14ac:dyDescent="0.25">
      <c r="G2259" s="10" t="str">
        <f t="shared" si="107"/>
        <v/>
      </c>
      <c r="H2259" t="str">
        <f t="shared" si="108"/>
        <v/>
      </c>
      <c r="M2259" s="34">
        <f t="shared" si="109"/>
        <v>0</v>
      </c>
    </row>
    <row r="2260" spans="7:13" x14ac:dyDescent="0.25">
      <c r="G2260" s="10" t="str">
        <f t="shared" si="107"/>
        <v/>
      </c>
      <c r="H2260" t="str">
        <f t="shared" si="108"/>
        <v/>
      </c>
      <c r="M2260" s="34">
        <f t="shared" si="109"/>
        <v>0</v>
      </c>
    </row>
    <row r="2261" spans="7:13" x14ac:dyDescent="0.25">
      <c r="G2261" s="10" t="str">
        <f t="shared" si="107"/>
        <v/>
      </c>
      <c r="H2261" t="str">
        <f t="shared" si="108"/>
        <v/>
      </c>
      <c r="M2261" s="34">
        <f t="shared" si="109"/>
        <v>0</v>
      </c>
    </row>
    <row r="2262" spans="7:13" x14ac:dyDescent="0.25">
      <c r="G2262" s="10" t="str">
        <f t="shared" si="107"/>
        <v/>
      </c>
      <c r="H2262" t="str">
        <f t="shared" si="108"/>
        <v/>
      </c>
      <c r="M2262" s="34">
        <f t="shared" si="109"/>
        <v>0</v>
      </c>
    </row>
    <row r="2263" spans="7:13" x14ac:dyDescent="0.25">
      <c r="G2263" s="10" t="str">
        <f t="shared" si="107"/>
        <v/>
      </c>
      <c r="H2263" t="str">
        <f t="shared" si="108"/>
        <v/>
      </c>
      <c r="M2263" s="34">
        <f t="shared" si="109"/>
        <v>0</v>
      </c>
    </row>
    <row r="2264" spans="7:13" x14ac:dyDescent="0.25">
      <c r="G2264" s="10" t="str">
        <f t="shared" si="107"/>
        <v/>
      </c>
      <c r="H2264" t="str">
        <f t="shared" si="108"/>
        <v/>
      </c>
      <c r="M2264" s="34">
        <f t="shared" si="109"/>
        <v>0</v>
      </c>
    </row>
    <row r="2265" spans="7:13" x14ac:dyDescent="0.25">
      <c r="G2265" s="10" t="str">
        <f t="shared" si="107"/>
        <v/>
      </c>
      <c r="H2265" t="str">
        <f t="shared" si="108"/>
        <v/>
      </c>
      <c r="M2265" s="34">
        <f t="shared" si="109"/>
        <v>0</v>
      </c>
    </row>
    <row r="2266" spans="7:13" x14ac:dyDescent="0.25">
      <c r="G2266" s="10" t="str">
        <f t="shared" si="107"/>
        <v/>
      </c>
      <c r="H2266" t="str">
        <f t="shared" si="108"/>
        <v/>
      </c>
      <c r="M2266" s="34">
        <f t="shared" si="109"/>
        <v>0</v>
      </c>
    </row>
    <row r="2267" spans="7:13" x14ac:dyDescent="0.25">
      <c r="G2267" s="10" t="str">
        <f t="shared" si="107"/>
        <v/>
      </c>
      <c r="H2267" t="str">
        <f t="shared" si="108"/>
        <v/>
      </c>
      <c r="M2267" s="34">
        <f t="shared" si="109"/>
        <v>0</v>
      </c>
    </row>
    <row r="2268" spans="7:13" x14ac:dyDescent="0.25">
      <c r="G2268" s="10" t="str">
        <f t="shared" si="107"/>
        <v/>
      </c>
      <c r="H2268" t="str">
        <f t="shared" si="108"/>
        <v/>
      </c>
      <c r="M2268" s="34">
        <f t="shared" si="109"/>
        <v>0</v>
      </c>
    </row>
    <row r="2269" spans="7:13" x14ac:dyDescent="0.25">
      <c r="G2269" s="10" t="str">
        <f t="shared" si="107"/>
        <v/>
      </c>
      <c r="H2269" t="str">
        <f t="shared" si="108"/>
        <v/>
      </c>
      <c r="M2269" s="34">
        <f t="shared" si="109"/>
        <v>0</v>
      </c>
    </row>
    <row r="2270" spans="7:13" x14ac:dyDescent="0.25">
      <c r="G2270" s="10" t="str">
        <f t="shared" si="107"/>
        <v/>
      </c>
      <c r="H2270" t="str">
        <f t="shared" si="108"/>
        <v/>
      </c>
      <c r="M2270" s="34">
        <f t="shared" si="109"/>
        <v>0</v>
      </c>
    </row>
    <row r="2271" spans="7:13" x14ac:dyDescent="0.25">
      <c r="G2271" s="10" t="str">
        <f t="shared" si="107"/>
        <v/>
      </c>
      <c r="H2271" t="str">
        <f t="shared" si="108"/>
        <v/>
      </c>
      <c r="M2271" s="34">
        <f t="shared" si="109"/>
        <v>0</v>
      </c>
    </row>
    <row r="2272" spans="7:13" x14ac:dyDescent="0.25">
      <c r="G2272" s="10" t="str">
        <f t="shared" si="107"/>
        <v/>
      </c>
      <c r="H2272" t="str">
        <f t="shared" si="108"/>
        <v/>
      </c>
      <c r="M2272" s="34">
        <f t="shared" si="109"/>
        <v>0</v>
      </c>
    </row>
    <row r="2273" spans="7:13" x14ac:dyDescent="0.25">
      <c r="G2273" s="10" t="str">
        <f t="shared" si="107"/>
        <v/>
      </c>
      <c r="H2273" t="str">
        <f t="shared" si="108"/>
        <v/>
      </c>
      <c r="M2273" s="34">
        <f t="shared" si="109"/>
        <v>0</v>
      </c>
    </row>
    <row r="2274" spans="7:13" x14ac:dyDescent="0.25">
      <c r="G2274" s="10" t="str">
        <f t="shared" si="107"/>
        <v/>
      </c>
      <c r="H2274" t="str">
        <f t="shared" si="108"/>
        <v/>
      </c>
      <c r="M2274" s="34">
        <f t="shared" si="109"/>
        <v>0</v>
      </c>
    </row>
    <row r="2275" spans="7:13" x14ac:dyDescent="0.25">
      <c r="G2275" s="10" t="str">
        <f t="shared" si="107"/>
        <v/>
      </c>
      <c r="H2275" t="str">
        <f t="shared" si="108"/>
        <v/>
      </c>
      <c r="M2275" s="34">
        <f t="shared" si="109"/>
        <v>0</v>
      </c>
    </row>
    <row r="2276" spans="7:13" x14ac:dyDescent="0.25">
      <c r="G2276" s="10" t="str">
        <f t="shared" si="107"/>
        <v/>
      </c>
      <c r="H2276" t="str">
        <f t="shared" si="108"/>
        <v/>
      </c>
      <c r="M2276" s="34">
        <f t="shared" si="109"/>
        <v>0</v>
      </c>
    </row>
    <row r="2277" spans="7:13" x14ac:dyDescent="0.25">
      <c r="G2277" s="10" t="str">
        <f t="shared" si="107"/>
        <v/>
      </c>
      <c r="H2277" t="str">
        <f t="shared" si="108"/>
        <v/>
      </c>
      <c r="M2277" s="34">
        <f t="shared" si="109"/>
        <v>0</v>
      </c>
    </row>
    <row r="2278" spans="7:13" x14ac:dyDescent="0.25">
      <c r="G2278" s="10" t="str">
        <f t="shared" si="107"/>
        <v/>
      </c>
      <c r="H2278" t="str">
        <f t="shared" si="108"/>
        <v/>
      </c>
      <c r="M2278" s="34">
        <f t="shared" si="109"/>
        <v>0</v>
      </c>
    </row>
    <row r="2279" spans="7:13" x14ac:dyDescent="0.25">
      <c r="G2279" s="10" t="str">
        <f t="shared" si="107"/>
        <v/>
      </c>
      <c r="H2279" t="str">
        <f t="shared" si="108"/>
        <v/>
      </c>
      <c r="M2279" s="34">
        <f t="shared" si="109"/>
        <v>0</v>
      </c>
    </row>
    <row r="2280" spans="7:13" x14ac:dyDescent="0.25">
      <c r="G2280" s="10" t="str">
        <f t="shared" si="107"/>
        <v/>
      </c>
      <c r="H2280" t="str">
        <f t="shared" si="108"/>
        <v/>
      </c>
      <c r="M2280" s="34">
        <f t="shared" si="109"/>
        <v>0</v>
      </c>
    </row>
    <row r="2281" spans="7:13" x14ac:dyDescent="0.25">
      <c r="G2281" s="10" t="str">
        <f t="shared" si="107"/>
        <v/>
      </c>
      <c r="H2281" t="str">
        <f t="shared" si="108"/>
        <v/>
      </c>
      <c r="M2281" s="34">
        <f t="shared" si="109"/>
        <v>0</v>
      </c>
    </row>
    <row r="2282" spans="7:13" x14ac:dyDescent="0.25">
      <c r="G2282" s="10" t="str">
        <f t="shared" si="107"/>
        <v/>
      </c>
      <c r="H2282" t="str">
        <f t="shared" si="108"/>
        <v/>
      </c>
      <c r="M2282" s="34">
        <f t="shared" si="109"/>
        <v>0</v>
      </c>
    </row>
    <row r="2283" spans="7:13" x14ac:dyDescent="0.25">
      <c r="G2283" s="10" t="str">
        <f t="shared" si="107"/>
        <v/>
      </c>
      <c r="H2283" t="str">
        <f t="shared" si="108"/>
        <v/>
      </c>
      <c r="M2283" s="34">
        <f t="shared" si="109"/>
        <v>0</v>
      </c>
    </row>
    <row r="2284" spans="7:13" x14ac:dyDescent="0.25">
      <c r="G2284" s="10" t="str">
        <f t="shared" si="107"/>
        <v/>
      </c>
      <c r="H2284" t="str">
        <f t="shared" si="108"/>
        <v/>
      </c>
      <c r="M2284" s="34">
        <f t="shared" si="109"/>
        <v>0</v>
      </c>
    </row>
    <row r="2285" spans="7:13" x14ac:dyDescent="0.25">
      <c r="G2285" s="10" t="str">
        <f t="shared" si="107"/>
        <v/>
      </c>
      <c r="H2285" t="str">
        <f t="shared" si="108"/>
        <v/>
      </c>
      <c r="M2285" s="34">
        <f t="shared" si="109"/>
        <v>0</v>
      </c>
    </row>
    <row r="2286" spans="7:13" x14ac:dyDescent="0.25">
      <c r="G2286" s="10" t="str">
        <f t="shared" si="107"/>
        <v/>
      </c>
      <c r="H2286" t="str">
        <f t="shared" si="108"/>
        <v/>
      </c>
      <c r="M2286" s="34">
        <f t="shared" si="109"/>
        <v>0</v>
      </c>
    </row>
    <row r="2287" spans="7:13" x14ac:dyDescent="0.25">
      <c r="G2287" s="10" t="str">
        <f t="shared" si="107"/>
        <v/>
      </c>
      <c r="H2287" t="str">
        <f t="shared" si="108"/>
        <v/>
      </c>
      <c r="M2287" s="34">
        <f t="shared" si="109"/>
        <v>0</v>
      </c>
    </row>
    <row r="2288" spans="7:13" x14ac:dyDescent="0.25">
      <c r="G2288" s="10" t="str">
        <f t="shared" si="107"/>
        <v/>
      </c>
      <c r="H2288" t="str">
        <f t="shared" si="108"/>
        <v/>
      </c>
      <c r="M2288" s="34">
        <f t="shared" si="109"/>
        <v>0</v>
      </c>
    </row>
    <row r="2289" spans="7:13" x14ac:dyDescent="0.25">
      <c r="G2289" s="10" t="str">
        <f t="shared" si="107"/>
        <v/>
      </c>
      <c r="H2289" t="str">
        <f t="shared" si="108"/>
        <v/>
      </c>
      <c r="M2289" s="34">
        <f t="shared" si="109"/>
        <v>0</v>
      </c>
    </row>
    <row r="2290" spans="7:13" x14ac:dyDescent="0.25">
      <c r="G2290" s="10" t="str">
        <f t="shared" si="107"/>
        <v/>
      </c>
      <c r="H2290" t="str">
        <f t="shared" si="108"/>
        <v/>
      </c>
      <c r="M2290" s="34">
        <f t="shared" si="109"/>
        <v>0</v>
      </c>
    </row>
    <row r="2291" spans="7:13" x14ac:dyDescent="0.25">
      <c r="G2291" s="10" t="str">
        <f t="shared" si="107"/>
        <v/>
      </c>
      <c r="H2291" t="str">
        <f t="shared" si="108"/>
        <v/>
      </c>
      <c r="M2291" s="34">
        <f t="shared" si="109"/>
        <v>0</v>
      </c>
    </row>
    <row r="2292" spans="7:13" x14ac:dyDescent="0.25">
      <c r="G2292" s="10" t="str">
        <f t="shared" si="107"/>
        <v/>
      </c>
      <c r="H2292" t="str">
        <f t="shared" si="108"/>
        <v/>
      </c>
      <c r="M2292" s="34">
        <f t="shared" si="109"/>
        <v>0</v>
      </c>
    </row>
    <row r="2293" spans="7:13" x14ac:dyDescent="0.25">
      <c r="G2293" s="10" t="str">
        <f t="shared" si="107"/>
        <v/>
      </c>
      <c r="H2293" t="str">
        <f t="shared" si="108"/>
        <v/>
      </c>
      <c r="M2293" s="34">
        <f t="shared" si="109"/>
        <v>0</v>
      </c>
    </row>
    <row r="2294" spans="7:13" x14ac:dyDescent="0.25">
      <c r="G2294" s="10" t="str">
        <f t="shared" si="107"/>
        <v/>
      </c>
      <c r="H2294" t="str">
        <f t="shared" si="108"/>
        <v/>
      </c>
      <c r="M2294" s="34">
        <f t="shared" si="109"/>
        <v>0</v>
      </c>
    </row>
    <row r="2295" spans="7:13" x14ac:dyDescent="0.25">
      <c r="G2295" s="10" t="str">
        <f t="shared" si="107"/>
        <v/>
      </c>
      <c r="H2295" t="str">
        <f t="shared" si="108"/>
        <v/>
      </c>
      <c r="M2295" s="34">
        <f t="shared" si="109"/>
        <v>0</v>
      </c>
    </row>
    <row r="2296" spans="7:13" x14ac:dyDescent="0.25">
      <c r="G2296" s="10" t="str">
        <f t="shared" si="107"/>
        <v/>
      </c>
      <c r="H2296" t="str">
        <f t="shared" si="108"/>
        <v/>
      </c>
      <c r="M2296" s="34">
        <f t="shared" si="109"/>
        <v>0</v>
      </c>
    </row>
    <row r="2297" spans="7:13" x14ac:dyDescent="0.25">
      <c r="G2297" s="10" t="str">
        <f t="shared" si="107"/>
        <v/>
      </c>
      <c r="H2297" t="str">
        <f t="shared" si="108"/>
        <v/>
      </c>
      <c r="M2297" s="34">
        <f t="shared" si="109"/>
        <v>0</v>
      </c>
    </row>
    <row r="2298" spans="7:13" x14ac:dyDescent="0.25">
      <c r="G2298" s="10" t="str">
        <f t="shared" si="107"/>
        <v/>
      </c>
      <c r="H2298" t="str">
        <f t="shared" si="108"/>
        <v/>
      </c>
      <c r="M2298" s="34">
        <f t="shared" si="109"/>
        <v>0</v>
      </c>
    </row>
    <row r="2299" spans="7:13" x14ac:dyDescent="0.25">
      <c r="G2299" s="10" t="str">
        <f t="shared" si="107"/>
        <v/>
      </c>
      <c r="H2299" t="str">
        <f t="shared" si="108"/>
        <v/>
      </c>
      <c r="M2299" s="34">
        <f t="shared" si="109"/>
        <v>0</v>
      </c>
    </row>
    <row r="2300" spans="7:13" x14ac:dyDescent="0.25">
      <c r="G2300" s="10" t="str">
        <f t="shared" si="107"/>
        <v/>
      </c>
      <c r="H2300" t="str">
        <f t="shared" si="108"/>
        <v/>
      </c>
      <c r="M2300" s="34">
        <f t="shared" si="109"/>
        <v>0</v>
      </c>
    </row>
    <row r="2301" spans="7:13" x14ac:dyDescent="0.25">
      <c r="G2301" s="10" t="str">
        <f t="shared" si="107"/>
        <v/>
      </c>
      <c r="H2301" t="str">
        <f t="shared" si="108"/>
        <v/>
      </c>
      <c r="M2301" s="34">
        <f t="shared" si="109"/>
        <v>0</v>
      </c>
    </row>
    <row r="2302" spans="7:13" x14ac:dyDescent="0.25">
      <c r="G2302" s="10" t="str">
        <f t="shared" si="107"/>
        <v/>
      </c>
      <c r="H2302" t="str">
        <f t="shared" si="108"/>
        <v/>
      </c>
      <c r="M2302" s="34">
        <f t="shared" si="109"/>
        <v>0</v>
      </c>
    </row>
    <row r="2303" spans="7:13" x14ac:dyDescent="0.25">
      <c r="G2303" s="10" t="str">
        <f t="shared" si="107"/>
        <v/>
      </c>
      <c r="H2303" t="str">
        <f t="shared" si="108"/>
        <v/>
      </c>
      <c r="M2303" s="34">
        <f t="shared" si="109"/>
        <v>0</v>
      </c>
    </row>
    <row r="2304" spans="7:13" x14ac:dyDescent="0.25">
      <c r="G2304" s="10" t="str">
        <f t="shared" si="107"/>
        <v/>
      </c>
      <c r="H2304" t="str">
        <f t="shared" si="108"/>
        <v/>
      </c>
      <c r="M2304" s="34">
        <f t="shared" si="109"/>
        <v>0</v>
      </c>
    </row>
    <row r="2305" spans="7:13" x14ac:dyDescent="0.25">
      <c r="G2305" s="10" t="str">
        <f t="shared" si="107"/>
        <v/>
      </c>
      <c r="H2305" t="str">
        <f t="shared" si="108"/>
        <v/>
      </c>
      <c r="M2305" s="34">
        <f t="shared" si="109"/>
        <v>0</v>
      </c>
    </row>
    <row r="2306" spans="7:13" x14ac:dyDescent="0.25">
      <c r="G2306" s="10" t="str">
        <f t="shared" ref="G2306:G2369" si="110">IF(F2306&gt;0,"RECETTE",IF(F2306&lt;0,"DÉPENSE",""))</f>
        <v/>
      </c>
      <c r="H2306" t="str">
        <f t="shared" ref="H2306:H2369" si="111">+IF(ISNUMBER(D2306),D2306,"")</f>
        <v/>
      </c>
      <c r="M2306" s="34">
        <f t="shared" si="109"/>
        <v>0</v>
      </c>
    </row>
    <row r="2307" spans="7:13" x14ac:dyDescent="0.25">
      <c r="G2307" s="10" t="str">
        <f t="shared" si="110"/>
        <v/>
      </c>
      <c r="H2307" t="str">
        <f t="shared" si="111"/>
        <v/>
      </c>
      <c r="M2307" s="34">
        <f t="shared" ref="M2307:M2370" si="112">IF(AND(E2307="Chèque",G2307="RECETTE"),F2307,0)</f>
        <v>0</v>
      </c>
    </row>
    <row r="2308" spans="7:13" x14ac:dyDescent="0.25">
      <c r="G2308" s="10" t="str">
        <f t="shared" si="110"/>
        <v/>
      </c>
      <c r="H2308" t="str">
        <f t="shared" si="111"/>
        <v/>
      </c>
      <c r="M2308" s="34">
        <f t="shared" si="112"/>
        <v>0</v>
      </c>
    </row>
    <row r="2309" spans="7:13" x14ac:dyDescent="0.25">
      <c r="G2309" s="10" t="str">
        <f t="shared" si="110"/>
        <v/>
      </c>
      <c r="H2309" t="str">
        <f t="shared" si="111"/>
        <v/>
      </c>
      <c r="M2309" s="34">
        <f t="shared" si="112"/>
        <v>0</v>
      </c>
    </row>
    <row r="2310" spans="7:13" x14ac:dyDescent="0.25">
      <c r="G2310" s="10" t="str">
        <f t="shared" si="110"/>
        <v/>
      </c>
      <c r="H2310" t="str">
        <f t="shared" si="111"/>
        <v/>
      </c>
      <c r="M2310" s="34">
        <f t="shared" si="112"/>
        <v>0</v>
      </c>
    </row>
    <row r="2311" spans="7:13" x14ac:dyDescent="0.25">
      <c r="G2311" s="10" t="str">
        <f t="shared" si="110"/>
        <v/>
      </c>
      <c r="H2311" t="str">
        <f t="shared" si="111"/>
        <v/>
      </c>
      <c r="M2311" s="34">
        <f t="shared" si="112"/>
        <v>0</v>
      </c>
    </row>
    <row r="2312" spans="7:13" x14ac:dyDescent="0.25">
      <c r="G2312" s="10" t="str">
        <f t="shared" si="110"/>
        <v/>
      </c>
      <c r="H2312" t="str">
        <f t="shared" si="111"/>
        <v/>
      </c>
      <c r="M2312" s="34">
        <f t="shared" si="112"/>
        <v>0</v>
      </c>
    </row>
    <row r="2313" spans="7:13" x14ac:dyDescent="0.25">
      <c r="G2313" s="10" t="str">
        <f t="shared" si="110"/>
        <v/>
      </c>
      <c r="H2313" t="str">
        <f t="shared" si="111"/>
        <v/>
      </c>
      <c r="M2313" s="34">
        <f t="shared" si="112"/>
        <v>0</v>
      </c>
    </row>
    <row r="2314" spans="7:13" x14ac:dyDescent="0.25">
      <c r="G2314" s="10" t="str">
        <f t="shared" si="110"/>
        <v/>
      </c>
      <c r="H2314" t="str">
        <f t="shared" si="111"/>
        <v/>
      </c>
      <c r="M2314" s="34">
        <f t="shared" si="112"/>
        <v>0</v>
      </c>
    </row>
    <row r="2315" spans="7:13" x14ac:dyDescent="0.25">
      <c r="G2315" s="10" t="str">
        <f t="shared" si="110"/>
        <v/>
      </c>
      <c r="H2315" t="str">
        <f t="shared" si="111"/>
        <v/>
      </c>
      <c r="M2315" s="34">
        <f t="shared" si="112"/>
        <v>0</v>
      </c>
    </row>
    <row r="2316" spans="7:13" x14ac:dyDescent="0.25">
      <c r="G2316" s="10" t="str">
        <f t="shared" si="110"/>
        <v/>
      </c>
      <c r="H2316" t="str">
        <f t="shared" si="111"/>
        <v/>
      </c>
      <c r="M2316" s="34">
        <f t="shared" si="112"/>
        <v>0</v>
      </c>
    </row>
    <row r="2317" spans="7:13" x14ac:dyDescent="0.25">
      <c r="G2317" s="10" t="str">
        <f t="shared" si="110"/>
        <v/>
      </c>
      <c r="H2317" t="str">
        <f t="shared" si="111"/>
        <v/>
      </c>
      <c r="M2317" s="34">
        <f t="shared" si="112"/>
        <v>0</v>
      </c>
    </row>
    <row r="2318" spans="7:13" x14ac:dyDescent="0.25">
      <c r="G2318" s="10" t="str">
        <f t="shared" si="110"/>
        <v/>
      </c>
      <c r="H2318" t="str">
        <f t="shared" si="111"/>
        <v/>
      </c>
      <c r="M2318" s="34">
        <f t="shared" si="112"/>
        <v>0</v>
      </c>
    </row>
    <row r="2319" spans="7:13" x14ac:dyDescent="0.25">
      <c r="G2319" s="10" t="str">
        <f t="shared" si="110"/>
        <v/>
      </c>
      <c r="H2319" t="str">
        <f t="shared" si="111"/>
        <v/>
      </c>
      <c r="M2319" s="34">
        <f t="shared" si="112"/>
        <v>0</v>
      </c>
    </row>
    <row r="2320" spans="7:13" x14ac:dyDescent="0.25">
      <c r="G2320" s="10" t="str">
        <f t="shared" si="110"/>
        <v/>
      </c>
      <c r="H2320" t="str">
        <f t="shared" si="111"/>
        <v/>
      </c>
      <c r="M2320" s="34">
        <f t="shared" si="112"/>
        <v>0</v>
      </c>
    </row>
    <row r="2321" spans="7:13" x14ac:dyDescent="0.25">
      <c r="G2321" s="10" t="str">
        <f t="shared" si="110"/>
        <v/>
      </c>
      <c r="H2321" t="str">
        <f t="shared" si="111"/>
        <v/>
      </c>
      <c r="M2321" s="34">
        <f t="shared" si="112"/>
        <v>0</v>
      </c>
    </row>
    <row r="2322" spans="7:13" x14ac:dyDescent="0.25">
      <c r="G2322" s="10" t="str">
        <f t="shared" si="110"/>
        <v/>
      </c>
      <c r="H2322" t="str">
        <f t="shared" si="111"/>
        <v/>
      </c>
      <c r="M2322" s="34">
        <f t="shared" si="112"/>
        <v>0</v>
      </c>
    </row>
    <row r="2323" spans="7:13" x14ac:dyDescent="0.25">
      <c r="G2323" s="10" t="str">
        <f t="shared" si="110"/>
        <v/>
      </c>
      <c r="H2323" t="str">
        <f t="shared" si="111"/>
        <v/>
      </c>
      <c r="M2323" s="34">
        <f t="shared" si="112"/>
        <v>0</v>
      </c>
    </row>
    <row r="2324" spans="7:13" x14ac:dyDescent="0.25">
      <c r="G2324" s="10" t="str">
        <f t="shared" si="110"/>
        <v/>
      </c>
      <c r="H2324" t="str">
        <f t="shared" si="111"/>
        <v/>
      </c>
      <c r="M2324" s="34">
        <f t="shared" si="112"/>
        <v>0</v>
      </c>
    </row>
    <row r="2325" spans="7:13" x14ac:dyDescent="0.25">
      <c r="G2325" s="10" t="str">
        <f t="shared" si="110"/>
        <v/>
      </c>
      <c r="H2325" t="str">
        <f t="shared" si="111"/>
        <v/>
      </c>
      <c r="M2325" s="34">
        <f t="shared" si="112"/>
        <v>0</v>
      </c>
    </row>
    <row r="2326" spans="7:13" x14ac:dyDescent="0.25">
      <c r="G2326" s="10" t="str">
        <f t="shared" si="110"/>
        <v/>
      </c>
      <c r="H2326" t="str">
        <f t="shared" si="111"/>
        <v/>
      </c>
      <c r="M2326" s="34">
        <f t="shared" si="112"/>
        <v>0</v>
      </c>
    </row>
    <row r="2327" spans="7:13" x14ac:dyDescent="0.25">
      <c r="G2327" s="10" t="str">
        <f t="shared" si="110"/>
        <v/>
      </c>
      <c r="H2327" t="str">
        <f t="shared" si="111"/>
        <v/>
      </c>
      <c r="M2327" s="34">
        <f t="shared" si="112"/>
        <v>0</v>
      </c>
    </row>
    <row r="2328" spans="7:13" x14ac:dyDescent="0.25">
      <c r="G2328" s="10" t="str">
        <f t="shared" si="110"/>
        <v/>
      </c>
      <c r="H2328" t="str">
        <f t="shared" si="111"/>
        <v/>
      </c>
      <c r="M2328" s="34">
        <f t="shared" si="112"/>
        <v>0</v>
      </c>
    </row>
    <row r="2329" spans="7:13" x14ac:dyDescent="0.25">
      <c r="G2329" s="10" t="str">
        <f t="shared" si="110"/>
        <v/>
      </c>
      <c r="H2329" t="str">
        <f t="shared" si="111"/>
        <v/>
      </c>
      <c r="M2329" s="34">
        <f t="shared" si="112"/>
        <v>0</v>
      </c>
    </row>
    <row r="2330" spans="7:13" x14ac:dyDescent="0.25">
      <c r="G2330" s="10" t="str">
        <f t="shared" si="110"/>
        <v/>
      </c>
      <c r="H2330" t="str">
        <f t="shared" si="111"/>
        <v/>
      </c>
      <c r="M2330" s="34">
        <f t="shared" si="112"/>
        <v>0</v>
      </c>
    </row>
    <row r="2331" spans="7:13" x14ac:dyDescent="0.25">
      <c r="G2331" s="10" t="str">
        <f t="shared" si="110"/>
        <v/>
      </c>
      <c r="H2331" t="str">
        <f t="shared" si="111"/>
        <v/>
      </c>
      <c r="M2331" s="34">
        <f t="shared" si="112"/>
        <v>0</v>
      </c>
    </row>
    <row r="2332" spans="7:13" x14ac:dyDescent="0.25">
      <c r="G2332" s="10" t="str">
        <f t="shared" si="110"/>
        <v/>
      </c>
      <c r="H2332" t="str">
        <f t="shared" si="111"/>
        <v/>
      </c>
      <c r="M2332" s="34">
        <f t="shared" si="112"/>
        <v>0</v>
      </c>
    </row>
    <row r="2333" spans="7:13" x14ac:dyDescent="0.25">
      <c r="G2333" s="10" t="str">
        <f t="shared" si="110"/>
        <v/>
      </c>
      <c r="H2333" t="str">
        <f t="shared" si="111"/>
        <v/>
      </c>
      <c r="M2333" s="34">
        <f t="shared" si="112"/>
        <v>0</v>
      </c>
    </row>
    <row r="2334" spans="7:13" x14ac:dyDescent="0.25">
      <c r="G2334" s="10" t="str">
        <f t="shared" si="110"/>
        <v/>
      </c>
      <c r="H2334" t="str">
        <f t="shared" si="111"/>
        <v/>
      </c>
      <c r="M2334" s="34">
        <f t="shared" si="112"/>
        <v>0</v>
      </c>
    </row>
    <row r="2335" spans="7:13" x14ac:dyDescent="0.25">
      <c r="G2335" s="10" t="str">
        <f t="shared" si="110"/>
        <v/>
      </c>
      <c r="H2335" t="str">
        <f t="shared" si="111"/>
        <v/>
      </c>
      <c r="M2335" s="34">
        <f t="shared" si="112"/>
        <v>0</v>
      </c>
    </row>
    <row r="2336" spans="7:13" x14ac:dyDescent="0.25">
      <c r="G2336" s="10" t="str">
        <f t="shared" si="110"/>
        <v/>
      </c>
      <c r="H2336" t="str">
        <f t="shared" si="111"/>
        <v/>
      </c>
      <c r="M2336" s="34">
        <f t="shared" si="112"/>
        <v>0</v>
      </c>
    </row>
    <row r="2337" spans="7:13" x14ac:dyDescent="0.25">
      <c r="G2337" s="10" t="str">
        <f t="shared" si="110"/>
        <v/>
      </c>
      <c r="H2337" t="str">
        <f t="shared" si="111"/>
        <v/>
      </c>
      <c r="M2337" s="34">
        <f t="shared" si="112"/>
        <v>0</v>
      </c>
    </row>
    <row r="2338" spans="7:13" x14ac:dyDescent="0.25">
      <c r="G2338" s="10" t="str">
        <f t="shared" si="110"/>
        <v/>
      </c>
      <c r="H2338" t="str">
        <f t="shared" si="111"/>
        <v/>
      </c>
      <c r="M2338" s="34">
        <f t="shared" si="112"/>
        <v>0</v>
      </c>
    </row>
    <row r="2339" spans="7:13" x14ac:dyDescent="0.25">
      <c r="G2339" s="10" t="str">
        <f t="shared" si="110"/>
        <v/>
      </c>
      <c r="H2339" t="str">
        <f t="shared" si="111"/>
        <v/>
      </c>
      <c r="M2339" s="34">
        <f t="shared" si="112"/>
        <v>0</v>
      </c>
    </row>
    <row r="2340" spans="7:13" x14ac:dyDescent="0.25">
      <c r="G2340" s="10" t="str">
        <f t="shared" si="110"/>
        <v/>
      </c>
      <c r="H2340" t="str">
        <f t="shared" si="111"/>
        <v/>
      </c>
      <c r="M2340" s="34">
        <f t="shared" si="112"/>
        <v>0</v>
      </c>
    </row>
    <row r="2341" spans="7:13" x14ac:dyDescent="0.25">
      <c r="G2341" s="10" t="str">
        <f t="shared" si="110"/>
        <v/>
      </c>
      <c r="H2341" t="str">
        <f t="shared" si="111"/>
        <v/>
      </c>
      <c r="M2341" s="34">
        <f t="shared" si="112"/>
        <v>0</v>
      </c>
    </row>
    <row r="2342" spans="7:13" x14ac:dyDescent="0.25">
      <c r="G2342" s="10" t="str">
        <f t="shared" si="110"/>
        <v/>
      </c>
      <c r="H2342" t="str">
        <f t="shared" si="111"/>
        <v/>
      </c>
      <c r="M2342" s="34">
        <f t="shared" si="112"/>
        <v>0</v>
      </c>
    </row>
    <row r="2343" spans="7:13" x14ac:dyDescent="0.25">
      <c r="G2343" s="10" t="str">
        <f t="shared" si="110"/>
        <v/>
      </c>
      <c r="H2343" t="str">
        <f t="shared" si="111"/>
        <v/>
      </c>
      <c r="M2343" s="34">
        <f t="shared" si="112"/>
        <v>0</v>
      </c>
    </row>
    <row r="2344" spans="7:13" x14ac:dyDescent="0.25">
      <c r="G2344" s="10" t="str">
        <f t="shared" si="110"/>
        <v/>
      </c>
      <c r="H2344" t="str">
        <f t="shared" si="111"/>
        <v/>
      </c>
      <c r="M2344" s="34">
        <f t="shared" si="112"/>
        <v>0</v>
      </c>
    </row>
    <row r="2345" spans="7:13" x14ac:dyDescent="0.25">
      <c r="G2345" s="10" t="str">
        <f t="shared" si="110"/>
        <v/>
      </c>
      <c r="H2345" t="str">
        <f t="shared" si="111"/>
        <v/>
      </c>
      <c r="M2345" s="34">
        <f t="shared" si="112"/>
        <v>0</v>
      </c>
    </row>
    <row r="2346" spans="7:13" x14ac:dyDescent="0.25">
      <c r="G2346" s="10" t="str">
        <f t="shared" si="110"/>
        <v/>
      </c>
      <c r="H2346" t="str">
        <f t="shared" si="111"/>
        <v/>
      </c>
      <c r="M2346" s="34">
        <f t="shared" si="112"/>
        <v>0</v>
      </c>
    </row>
    <row r="2347" spans="7:13" x14ac:dyDescent="0.25">
      <c r="G2347" s="10" t="str">
        <f t="shared" si="110"/>
        <v/>
      </c>
      <c r="H2347" t="str">
        <f t="shared" si="111"/>
        <v/>
      </c>
      <c r="M2347" s="34">
        <f t="shared" si="112"/>
        <v>0</v>
      </c>
    </row>
    <row r="2348" spans="7:13" x14ac:dyDescent="0.25">
      <c r="G2348" s="10" t="str">
        <f t="shared" si="110"/>
        <v/>
      </c>
      <c r="H2348" t="str">
        <f t="shared" si="111"/>
        <v/>
      </c>
      <c r="M2348" s="34">
        <f t="shared" si="112"/>
        <v>0</v>
      </c>
    </row>
    <row r="2349" spans="7:13" x14ac:dyDescent="0.25">
      <c r="G2349" s="10" t="str">
        <f t="shared" si="110"/>
        <v/>
      </c>
      <c r="H2349" t="str">
        <f t="shared" si="111"/>
        <v/>
      </c>
      <c r="M2349" s="34">
        <f t="shared" si="112"/>
        <v>0</v>
      </c>
    </row>
    <row r="2350" spans="7:13" x14ac:dyDescent="0.25">
      <c r="G2350" s="10" t="str">
        <f t="shared" si="110"/>
        <v/>
      </c>
      <c r="H2350" t="str">
        <f t="shared" si="111"/>
        <v/>
      </c>
      <c r="M2350" s="34">
        <f t="shared" si="112"/>
        <v>0</v>
      </c>
    </row>
    <row r="2351" spans="7:13" x14ac:dyDescent="0.25">
      <c r="G2351" s="10" t="str">
        <f t="shared" si="110"/>
        <v/>
      </c>
      <c r="H2351" t="str">
        <f t="shared" si="111"/>
        <v/>
      </c>
      <c r="M2351" s="34">
        <f t="shared" si="112"/>
        <v>0</v>
      </c>
    </row>
    <row r="2352" spans="7:13" x14ac:dyDescent="0.25">
      <c r="G2352" s="10" t="str">
        <f t="shared" si="110"/>
        <v/>
      </c>
      <c r="H2352" t="str">
        <f t="shared" si="111"/>
        <v/>
      </c>
      <c r="M2352" s="34">
        <f t="shared" si="112"/>
        <v>0</v>
      </c>
    </row>
    <row r="2353" spans="7:13" x14ac:dyDescent="0.25">
      <c r="G2353" s="10" t="str">
        <f t="shared" si="110"/>
        <v/>
      </c>
      <c r="H2353" t="str">
        <f t="shared" si="111"/>
        <v/>
      </c>
      <c r="M2353" s="34">
        <f t="shared" si="112"/>
        <v>0</v>
      </c>
    </row>
    <row r="2354" spans="7:13" x14ac:dyDescent="0.25">
      <c r="G2354" s="10" t="str">
        <f t="shared" si="110"/>
        <v/>
      </c>
      <c r="H2354" t="str">
        <f t="shared" si="111"/>
        <v/>
      </c>
      <c r="M2354" s="34">
        <f t="shared" si="112"/>
        <v>0</v>
      </c>
    </row>
    <row r="2355" spans="7:13" x14ac:dyDescent="0.25">
      <c r="G2355" s="10" t="str">
        <f t="shared" si="110"/>
        <v/>
      </c>
      <c r="H2355" t="str">
        <f t="shared" si="111"/>
        <v/>
      </c>
      <c r="M2355" s="34">
        <f t="shared" si="112"/>
        <v>0</v>
      </c>
    </row>
    <row r="2356" spans="7:13" x14ac:dyDescent="0.25">
      <c r="G2356" s="10" t="str">
        <f t="shared" si="110"/>
        <v/>
      </c>
      <c r="H2356" t="str">
        <f t="shared" si="111"/>
        <v/>
      </c>
      <c r="M2356" s="34">
        <f t="shared" si="112"/>
        <v>0</v>
      </c>
    </row>
    <row r="2357" spans="7:13" x14ac:dyDescent="0.25">
      <c r="G2357" s="10" t="str">
        <f t="shared" si="110"/>
        <v/>
      </c>
      <c r="H2357" t="str">
        <f t="shared" si="111"/>
        <v/>
      </c>
      <c r="M2357" s="34">
        <f t="shared" si="112"/>
        <v>0</v>
      </c>
    </row>
    <row r="2358" spans="7:13" x14ac:dyDescent="0.25">
      <c r="G2358" s="10" t="str">
        <f t="shared" si="110"/>
        <v/>
      </c>
      <c r="H2358" t="str">
        <f t="shared" si="111"/>
        <v/>
      </c>
      <c r="M2358" s="34">
        <f t="shared" si="112"/>
        <v>0</v>
      </c>
    </row>
    <row r="2359" spans="7:13" x14ac:dyDescent="0.25">
      <c r="G2359" s="10" t="str">
        <f t="shared" si="110"/>
        <v/>
      </c>
      <c r="H2359" t="str">
        <f t="shared" si="111"/>
        <v/>
      </c>
      <c r="M2359" s="34">
        <f t="shared" si="112"/>
        <v>0</v>
      </c>
    </row>
    <row r="2360" spans="7:13" x14ac:dyDescent="0.25">
      <c r="G2360" s="10" t="str">
        <f t="shared" si="110"/>
        <v/>
      </c>
      <c r="H2360" t="str">
        <f t="shared" si="111"/>
        <v/>
      </c>
      <c r="M2360" s="34">
        <f t="shared" si="112"/>
        <v>0</v>
      </c>
    </row>
    <row r="2361" spans="7:13" x14ac:dyDescent="0.25">
      <c r="G2361" s="10" t="str">
        <f t="shared" si="110"/>
        <v/>
      </c>
      <c r="H2361" t="str">
        <f t="shared" si="111"/>
        <v/>
      </c>
      <c r="M2361" s="34">
        <f t="shared" si="112"/>
        <v>0</v>
      </c>
    </row>
    <row r="2362" spans="7:13" x14ac:dyDescent="0.25">
      <c r="G2362" s="10" t="str">
        <f t="shared" si="110"/>
        <v/>
      </c>
      <c r="H2362" t="str">
        <f t="shared" si="111"/>
        <v/>
      </c>
      <c r="M2362" s="34">
        <f t="shared" si="112"/>
        <v>0</v>
      </c>
    </row>
    <row r="2363" spans="7:13" x14ac:dyDescent="0.25">
      <c r="G2363" s="10" t="str">
        <f t="shared" si="110"/>
        <v/>
      </c>
      <c r="H2363" t="str">
        <f t="shared" si="111"/>
        <v/>
      </c>
      <c r="M2363" s="34">
        <f t="shared" si="112"/>
        <v>0</v>
      </c>
    </row>
    <row r="2364" spans="7:13" x14ac:dyDescent="0.25">
      <c r="G2364" s="10" t="str">
        <f t="shared" si="110"/>
        <v/>
      </c>
      <c r="H2364" t="str">
        <f t="shared" si="111"/>
        <v/>
      </c>
      <c r="M2364" s="34">
        <f t="shared" si="112"/>
        <v>0</v>
      </c>
    </row>
    <row r="2365" spans="7:13" x14ac:dyDescent="0.25">
      <c r="G2365" s="10" t="str">
        <f t="shared" si="110"/>
        <v/>
      </c>
      <c r="H2365" t="str">
        <f t="shared" si="111"/>
        <v/>
      </c>
      <c r="M2365" s="34">
        <f t="shared" si="112"/>
        <v>0</v>
      </c>
    </row>
    <row r="2366" spans="7:13" x14ac:dyDescent="0.25">
      <c r="G2366" s="10" t="str">
        <f t="shared" si="110"/>
        <v/>
      </c>
      <c r="H2366" t="str">
        <f t="shared" si="111"/>
        <v/>
      </c>
      <c r="M2366" s="34">
        <f t="shared" si="112"/>
        <v>0</v>
      </c>
    </row>
    <row r="2367" spans="7:13" x14ac:dyDescent="0.25">
      <c r="G2367" s="10" t="str">
        <f t="shared" si="110"/>
        <v/>
      </c>
      <c r="H2367" t="str">
        <f t="shared" si="111"/>
        <v/>
      </c>
      <c r="M2367" s="34">
        <f t="shared" si="112"/>
        <v>0</v>
      </c>
    </row>
    <row r="2368" spans="7:13" x14ac:dyDescent="0.25">
      <c r="G2368" s="10" t="str">
        <f t="shared" si="110"/>
        <v/>
      </c>
      <c r="H2368" t="str">
        <f t="shared" si="111"/>
        <v/>
      </c>
      <c r="M2368" s="34">
        <f t="shared" si="112"/>
        <v>0</v>
      </c>
    </row>
    <row r="2369" spans="7:13" x14ac:dyDescent="0.25">
      <c r="G2369" s="10" t="str">
        <f t="shared" si="110"/>
        <v/>
      </c>
      <c r="H2369" t="str">
        <f t="shared" si="111"/>
        <v/>
      </c>
      <c r="M2369" s="34">
        <f t="shared" si="112"/>
        <v>0</v>
      </c>
    </row>
    <row r="2370" spans="7:13" x14ac:dyDescent="0.25">
      <c r="G2370" s="10" t="str">
        <f t="shared" ref="G2370:G2433" si="113">IF(F2370&gt;0,"RECETTE",IF(F2370&lt;0,"DÉPENSE",""))</f>
        <v/>
      </c>
      <c r="H2370" t="str">
        <f t="shared" ref="H2370:H2433" si="114">+IF(ISNUMBER(D2370),D2370,"")</f>
        <v/>
      </c>
      <c r="M2370" s="34">
        <f t="shared" si="112"/>
        <v>0</v>
      </c>
    </row>
    <row r="2371" spans="7:13" x14ac:dyDescent="0.25">
      <c r="G2371" s="10" t="str">
        <f t="shared" si="113"/>
        <v/>
      </c>
      <c r="H2371" t="str">
        <f t="shared" si="114"/>
        <v/>
      </c>
      <c r="M2371" s="34">
        <f t="shared" ref="M2371:M2434" si="115">IF(AND(E2371="Chèque",G2371="RECETTE"),F2371,0)</f>
        <v>0</v>
      </c>
    </row>
    <row r="2372" spans="7:13" x14ac:dyDescent="0.25">
      <c r="G2372" s="10" t="str">
        <f t="shared" si="113"/>
        <v/>
      </c>
      <c r="H2372" t="str">
        <f t="shared" si="114"/>
        <v/>
      </c>
      <c r="M2372" s="34">
        <f t="shared" si="115"/>
        <v>0</v>
      </c>
    </row>
    <row r="2373" spans="7:13" x14ac:dyDescent="0.25">
      <c r="G2373" s="10" t="str">
        <f t="shared" si="113"/>
        <v/>
      </c>
      <c r="H2373" t="str">
        <f t="shared" si="114"/>
        <v/>
      </c>
      <c r="M2373" s="34">
        <f t="shared" si="115"/>
        <v>0</v>
      </c>
    </row>
    <row r="2374" spans="7:13" x14ac:dyDescent="0.25">
      <c r="G2374" s="10" t="str">
        <f t="shared" si="113"/>
        <v/>
      </c>
      <c r="H2374" t="str">
        <f t="shared" si="114"/>
        <v/>
      </c>
      <c r="M2374" s="34">
        <f t="shared" si="115"/>
        <v>0</v>
      </c>
    </row>
    <row r="2375" spans="7:13" x14ac:dyDescent="0.25">
      <c r="G2375" s="10" t="str">
        <f t="shared" si="113"/>
        <v/>
      </c>
      <c r="H2375" t="str">
        <f t="shared" si="114"/>
        <v/>
      </c>
      <c r="M2375" s="34">
        <f t="shared" si="115"/>
        <v>0</v>
      </c>
    </row>
    <row r="2376" spans="7:13" x14ac:dyDescent="0.25">
      <c r="G2376" s="10" t="str">
        <f t="shared" si="113"/>
        <v/>
      </c>
      <c r="H2376" t="str">
        <f t="shared" si="114"/>
        <v/>
      </c>
      <c r="M2376" s="34">
        <f t="shared" si="115"/>
        <v>0</v>
      </c>
    </row>
    <row r="2377" spans="7:13" x14ac:dyDescent="0.25">
      <c r="G2377" s="10" t="str">
        <f t="shared" si="113"/>
        <v/>
      </c>
      <c r="H2377" t="str">
        <f t="shared" si="114"/>
        <v/>
      </c>
      <c r="M2377" s="34">
        <f t="shared" si="115"/>
        <v>0</v>
      </c>
    </row>
    <row r="2378" spans="7:13" x14ac:dyDescent="0.25">
      <c r="G2378" s="10" t="str">
        <f t="shared" si="113"/>
        <v/>
      </c>
      <c r="H2378" t="str">
        <f t="shared" si="114"/>
        <v/>
      </c>
      <c r="M2378" s="34">
        <f t="shared" si="115"/>
        <v>0</v>
      </c>
    </row>
    <row r="2379" spans="7:13" x14ac:dyDescent="0.25">
      <c r="G2379" s="10" t="str">
        <f t="shared" si="113"/>
        <v/>
      </c>
      <c r="H2379" t="str">
        <f t="shared" si="114"/>
        <v/>
      </c>
      <c r="M2379" s="34">
        <f t="shared" si="115"/>
        <v>0</v>
      </c>
    </row>
    <row r="2380" spans="7:13" x14ac:dyDescent="0.25">
      <c r="G2380" s="10" t="str">
        <f t="shared" si="113"/>
        <v/>
      </c>
      <c r="H2380" t="str">
        <f t="shared" si="114"/>
        <v/>
      </c>
      <c r="M2380" s="34">
        <f t="shared" si="115"/>
        <v>0</v>
      </c>
    </row>
    <row r="2381" spans="7:13" x14ac:dyDescent="0.25">
      <c r="G2381" s="10" t="str">
        <f t="shared" si="113"/>
        <v/>
      </c>
      <c r="H2381" t="str">
        <f t="shared" si="114"/>
        <v/>
      </c>
      <c r="M2381" s="34">
        <f t="shared" si="115"/>
        <v>0</v>
      </c>
    </row>
    <row r="2382" spans="7:13" x14ac:dyDescent="0.25">
      <c r="G2382" s="10" t="str">
        <f t="shared" si="113"/>
        <v/>
      </c>
      <c r="H2382" t="str">
        <f t="shared" si="114"/>
        <v/>
      </c>
      <c r="M2382" s="34">
        <f t="shared" si="115"/>
        <v>0</v>
      </c>
    </row>
    <row r="2383" spans="7:13" x14ac:dyDescent="0.25">
      <c r="G2383" s="10" t="str">
        <f t="shared" si="113"/>
        <v/>
      </c>
      <c r="H2383" t="str">
        <f t="shared" si="114"/>
        <v/>
      </c>
      <c r="M2383" s="34">
        <f t="shared" si="115"/>
        <v>0</v>
      </c>
    </row>
    <row r="2384" spans="7:13" x14ac:dyDescent="0.25">
      <c r="G2384" s="10" t="str">
        <f t="shared" si="113"/>
        <v/>
      </c>
      <c r="H2384" t="str">
        <f t="shared" si="114"/>
        <v/>
      </c>
      <c r="M2384" s="34">
        <f t="shared" si="115"/>
        <v>0</v>
      </c>
    </row>
    <row r="2385" spans="7:13" x14ac:dyDescent="0.25">
      <c r="G2385" s="10" t="str">
        <f t="shared" si="113"/>
        <v/>
      </c>
      <c r="H2385" t="str">
        <f t="shared" si="114"/>
        <v/>
      </c>
      <c r="M2385" s="34">
        <f t="shared" si="115"/>
        <v>0</v>
      </c>
    </row>
    <row r="2386" spans="7:13" x14ac:dyDescent="0.25">
      <c r="G2386" s="10" t="str">
        <f t="shared" si="113"/>
        <v/>
      </c>
      <c r="H2386" t="str">
        <f t="shared" si="114"/>
        <v/>
      </c>
      <c r="M2386" s="34">
        <f t="shared" si="115"/>
        <v>0</v>
      </c>
    </row>
    <row r="2387" spans="7:13" x14ac:dyDescent="0.25">
      <c r="G2387" s="10" t="str">
        <f t="shared" si="113"/>
        <v/>
      </c>
      <c r="H2387" t="str">
        <f t="shared" si="114"/>
        <v/>
      </c>
      <c r="M2387" s="34">
        <f t="shared" si="115"/>
        <v>0</v>
      </c>
    </row>
    <row r="2388" spans="7:13" x14ac:dyDescent="0.25">
      <c r="G2388" s="10" t="str">
        <f t="shared" si="113"/>
        <v/>
      </c>
      <c r="H2388" t="str">
        <f t="shared" si="114"/>
        <v/>
      </c>
      <c r="M2388" s="34">
        <f t="shared" si="115"/>
        <v>0</v>
      </c>
    </row>
    <row r="2389" spans="7:13" x14ac:dyDescent="0.25">
      <c r="G2389" s="10" t="str">
        <f t="shared" si="113"/>
        <v/>
      </c>
      <c r="H2389" t="str">
        <f t="shared" si="114"/>
        <v/>
      </c>
      <c r="M2389" s="34">
        <f t="shared" si="115"/>
        <v>0</v>
      </c>
    </row>
    <row r="2390" spans="7:13" x14ac:dyDescent="0.25">
      <c r="G2390" s="10" t="str">
        <f t="shared" si="113"/>
        <v/>
      </c>
      <c r="H2390" t="str">
        <f t="shared" si="114"/>
        <v/>
      </c>
      <c r="M2390" s="34">
        <f t="shared" si="115"/>
        <v>0</v>
      </c>
    </row>
    <row r="2391" spans="7:13" x14ac:dyDescent="0.25">
      <c r="G2391" s="10" t="str">
        <f t="shared" si="113"/>
        <v/>
      </c>
      <c r="H2391" t="str">
        <f t="shared" si="114"/>
        <v/>
      </c>
      <c r="M2391" s="34">
        <f t="shared" si="115"/>
        <v>0</v>
      </c>
    </row>
    <row r="2392" spans="7:13" x14ac:dyDescent="0.25">
      <c r="G2392" s="10" t="str">
        <f t="shared" si="113"/>
        <v/>
      </c>
      <c r="H2392" t="str">
        <f t="shared" si="114"/>
        <v/>
      </c>
      <c r="M2392" s="34">
        <f t="shared" si="115"/>
        <v>0</v>
      </c>
    </row>
    <row r="2393" spans="7:13" x14ac:dyDescent="0.25">
      <c r="G2393" s="10" t="str">
        <f t="shared" si="113"/>
        <v/>
      </c>
      <c r="H2393" t="str">
        <f t="shared" si="114"/>
        <v/>
      </c>
      <c r="M2393" s="34">
        <f t="shared" si="115"/>
        <v>0</v>
      </c>
    </row>
    <row r="2394" spans="7:13" x14ac:dyDescent="0.25">
      <c r="G2394" s="10" t="str">
        <f t="shared" si="113"/>
        <v/>
      </c>
      <c r="H2394" t="str">
        <f t="shared" si="114"/>
        <v/>
      </c>
      <c r="M2394" s="34">
        <f t="shared" si="115"/>
        <v>0</v>
      </c>
    </row>
    <row r="2395" spans="7:13" x14ac:dyDescent="0.25">
      <c r="G2395" s="10" t="str">
        <f t="shared" si="113"/>
        <v/>
      </c>
      <c r="H2395" t="str">
        <f t="shared" si="114"/>
        <v/>
      </c>
      <c r="M2395" s="34">
        <f t="shared" si="115"/>
        <v>0</v>
      </c>
    </row>
    <row r="2396" spans="7:13" x14ac:dyDescent="0.25">
      <c r="G2396" s="10" t="str">
        <f t="shared" si="113"/>
        <v/>
      </c>
      <c r="H2396" t="str">
        <f t="shared" si="114"/>
        <v/>
      </c>
      <c r="M2396" s="34">
        <f t="shared" si="115"/>
        <v>0</v>
      </c>
    </row>
    <row r="2397" spans="7:13" x14ac:dyDescent="0.25">
      <c r="G2397" s="10" t="str">
        <f t="shared" si="113"/>
        <v/>
      </c>
      <c r="H2397" t="str">
        <f t="shared" si="114"/>
        <v/>
      </c>
      <c r="M2397" s="34">
        <f t="shared" si="115"/>
        <v>0</v>
      </c>
    </row>
    <row r="2398" spans="7:13" x14ac:dyDescent="0.25">
      <c r="G2398" s="10" t="str">
        <f t="shared" si="113"/>
        <v/>
      </c>
      <c r="H2398" t="str">
        <f t="shared" si="114"/>
        <v/>
      </c>
      <c r="M2398" s="34">
        <f t="shared" si="115"/>
        <v>0</v>
      </c>
    </row>
    <row r="2399" spans="7:13" x14ac:dyDescent="0.25">
      <c r="G2399" s="10" t="str">
        <f t="shared" si="113"/>
        <v/>
      </c>
      <c r="H2399" t="str">
        <f t="shared" si="114"/>
        <v/>
      </c>
      <c r="M2399" s="34">
        <f t="shared" si="115"/>
        <v>0</v>
      </c>
    </row>
    <row r="2400" spans="7:13" x14ac:dyDescent="0.25">
      <c r="G2400" s="10" t="str">
        <f t="shared" si="113"/>
        <v/>
      </c>
      <c r="H2400" t="str">
        <f t="shared" si="114"/>
        <v/>
      </c>
      <c r="M2400" s="34">
        <f t="shared" si="115"/>
        <v>0</v>
      </c>
    </row>
    <row r="2401" spans="7:13" x14ac:dyDescent="0.25">
      <c r="G2401" s="10" t="str">
        <f t="shared" si="113"/>
        <v/>
      </c>
      <c r="H2401" t="str">
        <f t="shared" si="114"/>
        <v/>
      </c>
      <c r="M2401" s="34">
        <f t="shared" si="115"/>
        <v>0</v>
      </c>
    </row>
    <row r="2402" spans="7:13" x14ac:dyDescent="0.25">
      <c r="G2402" s="10" t="str">
        <f t="shared" si="113"/>
        <v/>
      </c>
      <c r="H2402" t="str">
        <f t="shared" si="114"/>
        <v/>
      </c>
      <c r="M2402" s="34">
        <f t="shared" si="115"/>
        <v>0</v>
      </c>
    </row>
    <row r="2403" spans="7:13" x14ac:dyDescent="0.25">
      <c r="G2403" s="10" t="str">
        <f t="shared" si="113"/>
        <v/>
      </c>
      <c r="H2403" t="str">
        <f t="shared" si="114"/>
        <v/>
      </c>
      <c r="M2403" s="34">
        <f t="shared" si="115"/>
        <v>0</v>
      </c>
    </row>
    <row r="2404" spans="7:13" x14ac:dyDescent="0.25">
      <c r="G2404" s="10" t="str">
        <f t="shared" si="113"/>
        <v/>
      </c>
      <c r="H2404" t="str">
        <f t="shared" si="114"/>
        <v/>
      </c>
      <c r="M2404" s="34">
        <f t="shared" si="115"/>
        <v>0</v>
      </c>
    </row>
    <row r="2405" spans="7:13" x14ac:dyDescent="0.25">
      <c r="G2405" s="10" t="str">
        <f t="shared" si="113"/>
        <v/>
      </c>
      <c r="H2405" t="str">
        <f t="shared" si="114"/>
        <v/>
      </c>
      <c r="M2405" s="34">
        <f t="shared" si="115"/>
        <v>0</v>
      </c>
    </row>
    <row r="2406" spans="7:13" x14ac:dyDescent="0.25">
      <c r="G2406" s="10" t="str">
        <f t="shared" si="113"/>
        <v/>
      </c>
      <c r="H2406" t="str">
        <f t="shared" si="114"/>
        <v/>
      </c>
      <c r="M2406" s="34">
        <f t="shared" si="115"/>
        <v>0</v>
      </c>
    </row>
    <row r="2407" spans="7:13" x14ac:dyDescent="0.25">
      <c r="G2407" s="10" t="str">
        <f t="shared" si="113"/>
        <v/>
      </c>
      <c r="H2407" t="str">
        <f t="shared" si="114"/>
        <v/>
      </c>
      <c r="M2407" s="34">
        <f t="shared" si="115"/>
        <v>0</v>
      </c>
    </row>
    <row r="2408" spans="7:13" x14ac:dyDescent="0.25">
      <c r="G2408" s="10" t="str">
        <f t="shared" si="113"/>
        <v/>
      </c>
      <c r="H2408" t="str">
        <f t="shared" si="114"/>
        <v/>
      </c>
      <c r="M2408" s="34">
        <f t="shared" si="115"/>
        <v>0</v>
      </c>
    </row>
    <row r="2409" spans="7:13" x14ac:dyDescent="0.25">
      <c r="G2409" s="10" t="str">
        <f t="shared" si="113"/>
        <v/>
      </c>
      <c r="H2409" t="str">
        <f t="shared" si="114"/>
        <v/>
      </c>
      <c r="M2409" s="34">
        <f t="shared" si="115"/>
        <v>0</v>
      </c>
    </row>
    <row r="2410" spans="7:13" x14ac:dyDescent="0.25">
      <c r="G2410" s="10" t="str">
        <f t="shared" si="113"/>
        <v/>
      </c>
      <c r="H2410" t="str">
        <f t="shared" si="114"/>
        <v/>
      </c>
      <c r="M2410" s="34">
        <f t="shared" si="115"/>
        <v>0</v>
      </c>
    </row>
    <row r="2411" spans="7:13" x14ac:dyDescent="0.25">
      <c r="G2411" s="10" t="str">
        <f t="shared" si="113"/>
        <v/>
      </c>
      <c r="H2411" t="str">
        <f t="shared" si="114"/>
        <v/>
      </c>
      <c r="M2411" s="34">
        <f t="shared" si="115"/>
        <v>0</v>
      </c>
    </row>
    <row r="2412" spans="7:13" x14ac:dyDescent="0.25">
      <c r="G2412" s="10" t="str">
        <f t="shared" si="113"/>
        <v/>
      </c>
      <c r="H2412" t="str">
        <f t="shared" si="114"/>
        <v/>
      </c>
      <c r="M2412" s="34">
        <f t="shared" si="115"/>
        <v>0</v>
      </c>
    </row>
    <row r="2413" spans="7:13" x14ac:dyDescent="0.25">
      <c r="G2413" s="10" t="str">
        <f t="shared" si="113"/>
        <v/>
      </c>
      <c r="H2413" t="str">
        <f t="shared" si="114"/>
        <v/>
      </c>
      <c r="M2413" s="34">
        <f t="shared" si="115"/>
        <v>0</v>
      </c>
    </row>
    <row r="2414" spans="7:13" x14ac:dyDescent="0.25">
      <c r="G2414" s="10" t="str">
        <f t="shared" si="113"/>
        <v/>
      </c>
      <c r="H2414" t="str">
        <f t="shared" si="114"/>
        <v/>
      </c>
      <c r="M2414" s="34">
        <f t="shared" si="115"/>
        <v>0</v>
      </c>
    </row>
    <row r="2415" spans="7:13" x14ac:dyDescent="0.25">
      <c r="G2415" s="10" t="str">
        <f t="shared" si="113"/>
        <v/>
      </c>
      <c r="H2415" t="str">
        <f t="shared" si="114"/>
        <v/>
      </c>
      <c r="M2415" s="34">
        <f t="shared" si="115"/>
        <v>0</v>
      </c>
    </row>
    <row r="2416" spans="7:13" x14ac:dyDescent="0.25">
      <c r="G2416" s="10" t="str">
        <f t="shared" si="113"/>
        <v/>
      </c>
      <c r="H2416" t="str">
        <f t="shared" si="114"/>
        <v/>
      </c>
      <c r="M2416" s="34">
        <f t="shared" si="115"/>
        <v>0</v>
      </c>
    </row>
    <row r="2417" spans="7:13" x14ac:dyDescent="0.25">
      <c r="G2417" s="10" t="str">
        <f t="shared" si="113"/>
        <v/>
      </c>
      <c r="H2417" t="str">
        <f t="shared" si="114"/>
        <v/>
      </c>
      <c r="M2417" s="34">
        <f t="shared" si="115"/>
        <v>0</v>
      </c>
    </row>
    <row r="2418" spans="7:13" x14ac:dyDescent="0.25">
      <c r="G2418" s="10" t="str">
        <f t="shared" si="113"/>
        <v/>
      </c>
      <c r="H2418" t="str">
        <f t="shared" si="114"/>
        <v/>
      </c>
      <c r="M2418" s="34">
        <f t="shared" si="115"/>
        <v>0</v>
      </c>
    </row>
    <row r="2419" spans="7:13" x14ac:dyDescent="0.25">
      <c r="G2419" s="10" t="str">
        <f t="shared" si="113"/>
        <v/>
      </c>
      <c r="H2419" t="str">
        <f t="shared" si="114"/>
        <v/>
      </c>
      <c r="M2419" s="34">
        <f t="shared" si="115"/>
        <v>0</v>
      </c>
    </row>
    <row r="2420" spans="7:13" x14ac:dyDescent="0.25">
      <c r="G2420" s="10" t="str">
        <f t="shared" si="113"/>
        <v/>
      </c>
      <c r="H2420" t="str">
        <f t="shared" si="114"/>
        <v/>
      </c>
      <c r="M2420" s="34">
        <f t="shared" si="115"/>
        <v>0</v>
      </c>
    </row>
    <row r="2421" spans="7:13" x14ac:dyDescent="0.25">
      <c r="G2421" s="10" t="str">
        <f t="shared" si="113"/>
        <v/>
      </c>
      <c r="H2421" t="str">
        <f t="shared" si="114"/>
        <v/>
      </c>
      <c r="M2421" s="34">
        <f t="shared" si="115"/>
        <v>0</v>
      </c>
    </row>
    <row r="2422" spans="7:13" x14ac:dyDescent="0.25">
      <c r="G2422" s="10" t="str">
        <f t="shared" si="113"/>
        <v/>
      </c>
      <c r="H2422" t="str">
        <f t="shared" si="114"/>
        <v/>
      </c>
      <c r="M2422" s="34">
        <f t="shared" si="115"/>
        <v>0</v>
      </c>
    </row>
    <row r="2423" spans="7:13" x14ac:dyDescent="0.25">
      <c r="G2423" s="10" t="str">
        <f t="shared" si="113"/>
        <v/>
      </c>
      <c r="H2423" t="str">
        <f t="shared" si="114"/>
        <v/>
      </c>
      <c r="M2423" s="34">
        <f t="shared" si="115"/>
        <v>0</v>
      </c>
    </row>
    <row r="2424" spans="7:13" x14ac:dyDescent="0.25">
      <c r="G2424" s="10" t="str">
        <f t="shared" si="113"/>
        <v/>
      </c>
      <c r="H2424" t="str">
        <f t="shared" si="114"/>
        <v/>
      </c>
      <c r="M2424" s="34">
        <f t="shared" si="115"/>
        <v>0</v>
      </c>
    </row>
    <row r="2425" spans="7:13" x14ac:dyDescent="0.25">
      <c r="G2425" s="10" t="str">
        <f t="shared" si="113"/>
        <v/>
      </c>
      <c r="H2425" t="str">
        <f t="shared" si="114"/>
        <v/>
      </c>
      <c r="M2425" s="34">
        <f t="shared" si="115"/>
        <v>0</v>
      </c>
    </row>
    <row r="2426" spans="7:13" x14ac:dyDescent="0.25">
      <c r="G2426" s="10" t="str">
        <f t="shared" si="113"/>
        <v/>
      </c>
      <c r="H2426" t="str">
        <f t="shared" si="114"/>
        <v/>
      </c>
      <c r="M2426" s="34">
        <f t="shared" si="115"/>
        <v>0</v>
      </c>
    </row>
    <row r="2427" spans="7:13" x14ac:dyDescent="0.25">
      <c r="G2427" s="10" t="str">
        <f t="shared" si="113"/>
        <v/>
      </c>
      <c r="H2427" t="str">
        <f t="shared" si="114"/>
        <v/>
      </c>
      <c r="M2427" s="34">
        <f t="shared" si="115"/>
        <v>0</v>
      </c>
    </row>
    <row r="2428" spans="7:13" x14ac:dyDescent="0.25">
      <c r="G2428" s="10" t="str">
        <f t="shared" si="113"/>
        <v/>
      </c>
      <c r="H2428" t="str">
        <f t="shared" si="114"/>
        <v/>
      </c>
      <c r="M2428" s="34">
        <f t="shared" si="115"/>
        <v>0</v>
      </c>
    </row>
    <row r="2429" spans="7:13" x14ac:dyDescent="0.25">
      <c r="G2429" s="10" t="str">
        <f t="shared" si="113"/>
        <v/>
      </c>
      <c r="H2429" t="str">
        <f t="shared" si="114"/>
        <v/>
      </c>
      <c r="M2429" s="34">
        <f t="shared" si="115"/>
        <v>0</v>
      </c>
    </row>
    <row r="2430" spans="7:13" x14ac:dyDescent="0.25">
      <c r="G2430" s="10" t="str">
        <f t="shared" si="113"/>
        <v/>
      </c>
      <c r="H2430" t="str">
        <f t="shared" si="114"/>
        <v/>
      </c>
      <c r="M2430" s="34">
        <f t="shared" si="115"/>
        <v>0</v>
      </c>
    </row>
    <row r="2431" spans="7:13" x14ac:dyDescent="0.25">
      <c r="G2431" s="10" t="str">
        <f t="shared" si="113"/>
        <v/>
      </c>
      <c r="H2431" t="str">
        <f t="shared" si="114"/>
        <v/>
      </c>
      <c r="M2431" s="34">
        <f t="shared" si="115"/>
        <v>0</v>
      </c>
    </row>
    <row r="2432" spans="7:13" x14ac:dyDescent="0.25">
      <c r="G2432" s="10" t="str">
        <f t="shared" si="113"/>
        <v/>
      </c>
      <c r="H2432" t="str">
        <f t="shared" si="114"/>
        <v/>
      </c>
      <c r="M2432" s="34">
        <f t="shared" si="115"/>
        <v>0</v>
      </c>
    </row>
    <row r="2433" spans="7:13" x14ac:dyDescent="0.25">
      <c r="G2433" s="10" t="str">
        <f t="shared" si="113"/>
        <v/>
      </c>
      <c r="H2433" t="str">
        <f t="shared" si="114"/>
        <v/>
      </c>
      <c r="M2433" s="34">
        <f t="shared" si="115"/>
        <v>0</v>
      </c>
    </row>
    <row r="2434" spans="7:13" x14ac:dyDescent="0.25">
      <c r="G2434" s="10" t="str">
        <f t="shared" ref="G2434:G2497" si="116">IF(F2434&gt;0,"RECETTE",IF(F2434&lt;0,"DÉPENSE",""))</f>
        <v/>
      </c>
      <c r="H2434" t="str">
        <f t="shared" ref="H2434:H2497" si="117">+IF(ISNUMBER(D2434),D2434,"")</f>
        <v/>
      </c>
      <c r="M2434" s="34">
        <f t="shared" si="115"/>
        <v>0</v>
      </c>
    </row>
    <row r="2435" spans="7:13" x14ac:dyDescent="0.25">
      <c r="G2435" s="10" t="str">
        <f t="shared" si="116"/>
        <v/>
      </c>
      <c r="H2435" t="str">
        <f t="shared" si="117"/>
        <v/>
      </c>
      <c r="M2435" s="34">
        <f t="shared" ref="M2435:M2498" si="118">IF(AND(E2435="Chèque",G2435="RECETTE"),F2435,0)</f>
        <v>0</v>
      </c>
    </row>
    <row r="2436" spans="7:13" x14ac:dyDescent="0.25">
      <c r="G2436" s="10" t="str">
        <f t="shared" si="116"/>
        <v/>
      </c>
      <c r="H2436" t="str">
        <f t="shared" si="117"/>
        <v/>
      </c>
      <c r="M2436" s="34">
        <f t="shared" si="118"/>
        <v>0</v>
      </c>
    </row>
    <row r="2437" spans="7:13" x14ac:dyDescent="0.25">
      <c r="G2437" s="10" t="str">
        <f t="shared" si="116"/>
        <v/>
      </c>
      <c r="H2437" t="str">
        <f t="shared" si="117"/>
        <v/>
      </c>
      <c r="M2437" s="34">
        <f t="shared" si="118"/>
        <v>0</v>
      </c>
    </row>
    <row r="2438" spans="7:13" x14ac:dyDescent="0.25">
      <c r="G2438" s="10" t="str">
        <f t="shared" si="116"/>
        <v/>
      </c>
      <c r="H2438" t="str">
        <f t="shared" si="117"/>
        <v/>
      </c>
      <c r="M2438" s="34">
        <f t="shared" si="118"/>
        <v>0</v>
      </c>
    </row>
    <row r="2439" spans="7:13" x14ac:dyDescent="0.25">
      <c r="G2439" s="10" t="str">
        <f t="shared" si="116"/>
        <v/>
      </c>
      <c r="H2439" t="str">
        <f t="shared" si="117"/>
        <v/>
      </c>
      <c r="M2439" s="34">
        <f t="shared" si="118"/>
        <v>0</v>
      </c>
    </row>
    <row r="2440" spans="7:13" x14ac:dyDescent="0.25">
      <c r="G2440" s="10" t="str">
        <f t="shared" si="116"/>
        <v/>
      </c>
      <c r="H2440" t="str">
        <f t="shared" si="117"/>
        <v/>
      </c>
      <c r="M2440" s="34">
        <f t="shared" si="118"/>
        <v>0</v>
      </c>
    </row>
    <row r="2441" spans="7:13" x14ac:dyDescent="0.25">
      <c r="G2441" s="10" t="str">
        <f t="shared" si="116"/>
        <v/>
      </c>
      <c r="H2441" t="str">
        <f t="shared" si="117"/>
        <v/>
      </c>
      <c r="M2441" s="34">
        <f t="shared" si="118"/>
        <v>0</v>
      </c>
    </row>
    <row r="2442" spans="7:13" x14ac:dyDescent="0.25">
      <c r="G2442" s="10" t="str">
        <f t="shared" si="116"/>
        <v/>
      </c>
      <c r="H2442" t="str">
        <f t="shared" si="117"/>
        <v/>
      </c>
      <c r="M2442" s="34">
        <f t="shared" si="118"/>
        <v>0</v>
      </c>
    </row>
    <row r="2443" spans="7:13" x14ac:dyDescent="0.25">
      <c r="G2443" s="10" t="str">
        <f t="shared" si="116"/>
        <v/>
      </c>
      <c r="H2443" t="str">
        <f t="shared" si="117"/>
        <v/>
      </c>
      <c r="M2443" s="34">
        <f t="shared" si="118"/>
        <v>0</v>
      </c>
    </row>
    <row r="2444" spans="7:13" x14ac:dyDescent="0.25">
      <c r="G2444" s="10" t="str">
        <f t="shared" si="116"/>
        <v/>
      </c>
      <c r="H2444" t="str">
        <f t="shared" si="117"/>
        <v/>
      </c>
      <c r="M2444" s="34">
        <f t="shared" si="118"/>
        <v>0</v>
      </c>
    </row>
    <row r="2445" spans="7:13" x14ac:dyDescent="0.25">
      <c r="G2445" s="10" t="str">
        <f t="shared" si="116"/>
        <v/>
      </c>
      <c r="H2445" t="str">
        <f t="shared" si="117"/>
        <v/>
      </c>
      <c r="M2445" s="34">
        <f t="shared" si="118"/>
        <v>0</v>
      </c>
    </row>
    <row r="2446" spans="7:13" x14ac:dyDescent="0.25">
      <c r="G2446" s="10" t="str">
        <f t="shared" si="116"/>
        <v/>
      </c>
      <c r="H2446" t="str">
        <f t="shared" si="117"/>
        <v/>
      </c>
      <c r="M2446" s="34">
        <f t="shared" si="118"/>
        <v>0</v>
      </c>
    </row>
    <row r="2447" spans="7:13" x14ac:dyDescent="0.25">
      <c r="G2447" s="10" t="str">
        <f t="shared" si="116"/>
        <v/>
      </c>
      <c r="H2447" t="str">
        <f t="shared" si="117"/>
        <v/>
      </c>
      <c r="M2447" s="34">
        <f t="shared" si="118"/>
        <v>0</v>
      </c>
    </row>
    <row r="2448" spans="7:13" x14ac:dyDescent="0.25">
      <c r="G2448" s="10" t="str">
        <f t="shared" si="116"/>
        <v/>
      </c>
      <c r="H2448" t="str">
        <f t="shared" si="117"/>
        <v/>
      </c>
      <c r="M2448" s="34">
        <f t="shared" si="118"/>
        <v>0</v>
      </c>
    </row>
    <row r="2449" spans="7:13" x14ac:dyDescent="0.25">
      <c r="G2449" s="10" t="str">
        <f t="shared" si="116"/>
        <v/>
      </c>
      <c r="H2449" t="str">
        <f t="shared" si="117"/>
        <v/>
      </c>
      <c r="M2449" s="34">
        <f t="shared" si="118"/>
        <v>0</v>
      </c>
    </row>
    <row r="2450" spans="7:13" x14ac:dyDescent="0.25">
      <c r="G2450" s="10" t="str">
        <f t="shared" si="116"/>
        <v/>
      </c>
      <c r="H2450" t="str">
        <f t="shared" si="117"/>
        <v/>
      </c>
      <c r="M2450" s="34">
        <f t="shared" si="118"/>
        <v>0</v>
      </c>
    </row>
    <row r="2451" spans="7:13" x14ac:dyDescent="0.25">
      <c r="G2451" s="10" t="str">
        <f t="shared" si="116"/>
        <v/>
      </c>
      <c r="H2451" t="str">
        <f t="shared" si="117"/>
        <v/>
      </c>
      <c r="M2451" s="34">
        <f t="shared" si="118"/>
        <v>0</v>
      </c>
    </row>
    <row r="2452" spans="7:13" x14ac:dyDescent="0.25">
      <c r="G2452" s="10" t="str">
        <f t="shared" si="116"/>
        <v/>
      </c>
      <c r="H2452" t="str">
        <f t="shared" si="117"/>
        <v/>
      </c>
      <c r="M2452" s="34">
        <f t="shared" si="118"/>
        <v>0</v>
      </c>
    </row>
    <row r="2453" spans="7:13" x14ac:dyDescent="0.25">
      <c r="G2453" s="10" t="str">
        <f t="shared" si="116"/>
        <v/>
      </c>
      <c r="H2453" t="str">
        <f t="shared" si="117"/>
        <v/>
      </c>
      <c r="M2453" s="34">
        <f t="shared" si="118"/>
        <v>0</v>
      </c>
    </row>
    <row r="2454" spans="7:13" x14ac:dyDescent="0.25">
      <c r="G2454" s="10" t="str">
        <f t="shared" si="116"/>
        <v/>
      </c>
      <c r="H2454" t="str">
        <f t="shared" si="117"/>
        <v/>
      </c>
      <c r="M2454" s="34">
        <f t="shared" si="118"/>
        <v>0</v>
      </c>
    </row>
    <row r="2455" spans="7:13" x14ac:dyDescent="0.25">
      <c r="G2455" s="10" t="str">
        <f t="shared" si="116"/>
        <v/>
      </c>
      <c r="H2455" t="str">
        <f t="shared" si="117"/>
        <v/>
      </c>
      <c r="M2455" s="34">
        <f t="shared" si="118"/>
        <v>0</v>
      </c>
    </row>
    <row r="2456" spans="7:13" x14ac:dyDescent="0.25">
      <c r="G2456" s="10" t="str">
        <f t="shared" si="116"/>
        <v/>
      </c>
      <c r="H2456" t="str">
        <f t="shared" si="117"/>
        <v/>
      </c>
      <c r="M2456" s="34">
        <f t="shared" si="118"/>
        <v>0</v>
      </c>
    </row>
    <row r="2457" spans="7:13" x14ac:dyDescent="0.25">
      <c r="G2457" s="10" t="str">
        <f t="shared" si="116"/>
        <v/>
      </c>
      <c r="H2457" t="str">
        <f t="shared" si="117"/>
        <v/>
      </c>
      <c r="M2457" s="34">
        <f t="shared" si="118"/>
        <v>0</v>
      </c>
    </row>
    <row r="2458" spans="7:13" x14ac:dyDescent="0.25">
      <c r="G2458" s="10" t="str">
        <f t="shared" si="116"/>
        <v/>
      </c>
      <c r="H2458" t="str">
        <f t="shared" si="117"/>
        <v/>
      </c>
      <c r="M2458" s="34">
        <f t="shared" si="118"/>
        <v>0</v>
      </c>
    </row>
    <row r="2459" spans="7:13" x14ac:dyDescent="0.25">
      <c r="G2459" s="10" t="str">
        <f t="shared" si="116"/>
        <v/>
      </c>
      <c r="H2459" t="str">
        <f t="shared" si="117"/>
        <v/>
      </c>
      <c r="M2459" s="34">
        <f t="shared" si="118"/>
        <v>0</v>
      </c>
    </row>
    <row r="2460" spans="7:13" x14ac:dyDescent="0.25">
      <c r="G2460" s="10" t="str">
        <f t="shared" si="116"/>
        <v/>
      </c>
      <c r="H2460" t="str">
        <f t="shared" si="117"/>
        <v/>
      </c>
      <c r="M2460" s="34">
        <f t="shared" si="118"/>
        <v>0</v>
      </c>
    </row>
    <row r="2461" spans="7:13" x14ac:dyDescent="0.25">
      <c r="G2461" s="10" t="str">
        <f t="shared" si="116"/>
        <v/>
      </c>
      <c r="H2461" t="str">
        <f t="shared" si="117"/>
        <v/>
      </c>
      <c r="M2461" s="34">
        <f t="shared" si="118"/>
        <v>0</v>
      </c>
    </row>
    <row r="2462" spans="7:13" x14ac:dyDescent="0.25">
      <c r="G2462" s="10" t="str">
        <f t="shared" si="116"/>
        <v/>
      </c>
      <c r="H2462" t="str">
        <f t="shared" si="117"/>
        <v/>
      </c>
      <c r="M2462" s="34">
        <f t="shared" si="118"/>
        <v>0</v>
      </c>
    </row>
    <row r="2463" spans="7:13" x14ac:dyDescent="0.25">
      <c r="G2463" s="10" t="str">
        <f t="shared" si="116"/>
        <v/>
      </c>
      <c r="H2463" t="str">
        <f t="shared" si="117"/>
        <v/>
      </c>
      <c r="M2463" s="34">
        <f t="shared" si="118"/>
        <v>0</v>
      </c>
    </row>
    <row r="2464" spans="7:13" x14ac:dyDescent="0.25">
      <c r="G2464" s="10" t="str">
        <f t="shared" si="116"/>
        <v/>
      </c>
      <c r="H2464" t="str">
        <f t="shared" si="117"/>
        <v/>
      </c>
      <c r="M2464" s="34">
        <f t="shared" si="118"/>
        <v>0</v>
      </c>
    </row>
    <row r="2465" spans="7:13" x14ac:dyDescent="0.25">
      <c r="G2465" s="10" t="str">
        <f t="shared" si="116"/>
        <v/>
      </c>
      <c r="H2465" t="str">
        <f t="shared" si="117"/>
        <v/>
      </c>
      <c r="M2465" s="34">
        <f t="shared" si="118"/>
        <v>0</v>
      </c>
    </row>
    <row r="2466" spans="7:13" x14ac:dyDescent="0.25">
      <c r="G2466" s="10" t="str">
        <f t="shared" si="116"/>
        <v/>
      </c>
      <c r="H2466" t="str">
        <f t="shared" si="117"/>
        <v/>
      </c>
      <c r="M2466" s="34">
        <f t="shared" si="118"/>
        <v>0</v>
      </c>
    </row>
    <row r="2467" spans="7:13" x14ac:dyDescent="0.25">
      <c r="G2467" s="10" t="str">
        <f t="shared" si="116"/>
        <v/>
      </c>
      <c r="H2467" t="str">
        <f t="shared" si="117"/>
        <v/>
      </c>
      <c r="M2467" s="34">
        <f t="shared" si="118"/>
        <v>0</v>
      </c>
    </row>
    <row r="2468" spans="7:13" x14ac:dyDescent="0.25">
      <c r="G2468" s="10" t="str">
        <f t="shared" si="116"/>
        <v/>
      </c>
      <c r="H2468" t="str">
        <f t="shared" si="117"/>
        <v/>
      </c>
      <c r="M2468" s="34">
        <f t="shared" si="118"/>
        <v>0</v>
      </c>
    </row>
    <row r="2469" spans="7:13" x14ac:dyDescent="0.25">
      <c r="G2469" s="10" t="str">
        <f t="shared" si="116"/>
        <v/>
      </c>
      <c r="H2469" t="str">
        <f t="shared" si="117"/>
        <v/>
      </c>
      <c r="M2469" s="34">
        <f t="shared" si="118"/>
        <v>0</v>
      </c>
    </row>
    <row r="2470" spans="7:13" x14ac:dyDescent="0.25">
      <c r="G2470" s="10" t="str">
        <f t="shared" si="116"/>
        <v/>
      </c>
      <c r="H2470" t="str">
        <f t="shared" si="117"/>
        <v/>
      </c>
      <c r="M2470" s="34">
        <f t="shared" si="118"/>
        <v>0</v>
      </c>
    </row>
    <row r="2471" spans="7:13" x14ac:dyDescent="0.25">
      <c r="G2471" s="10" t="str">
        <f t="shared" si="116"/>
        <v/>
      </c>
      <c r="H2471" t="str">
        <f t="shared" si="117"/>
        <v/>
      </c>
      <c r="M2471" s="34">
        <f t="shared" si="118"/>
        <v>0</v>
      </c>
    </row>
    <row r="2472" spans="7:13" x14ac:dyDescent="0.25">
      <c r="G2472" s="10" t="str">
        <f t="shared" si="116"/>
        <v/>
      </c>
      <c r="H2472" t="str">
        <f t="shared" si="117"/>
        <v/>
      </c>
      <c r="M2472" s="34">
        <f t="shared" si="118"/>
        <v>0</v>
      </c>
    </row>
    <row r="2473" spans="7:13" x14ac:dyDescent="0.25">
      <c r="G2473" s="10" t="str">
        <f t="shared" si="116"/>
        <v/>
      </c>
      <c r="H2473" t="str">
        <f t="shared" si="117"/>
        <v/>
      </c>
      <c r="M2473" s="34">
        <f t="shared" si="118"/>
        <v>0</v>
      </c>
    </row>
    <row r="2474" spans="7:13" x14ac:dyDescent="0.25">
      <c r="G2474" s="10" t="str">
        <f t="shared" si="116"/>
        <v/>
      </c>
      <c r="H2474" t="str">
        <f t="shared" si="117"/>
        <v/>
      </c>
      <c r="M2474" s="34">
        <f t="shared" si="118"/>
        <v>0</v>
      </c>
    </row>
    <row r="2475" spans="7:13" x14ac:dyDescent="0.25">
      <c r="G2475" s="10" t="str">
        <f t="shared" si="116"/>
        <v/>
      </c>
      <c r="H2475" t="str">
        <f t="shared" si="117"/>
        <v/>
      </c>
      <c r="M2475" s="34">
        <f t="shared" si="118"/>
        <v>0</v>
      </c>
    </row>
    <row r="2476" spans="7:13" x14ac:dyDescent="0.25">
      <c r="G2476" s="10" t="str">
        <f t="shared" si="116"/>
        <v/>
      </c>
      <c r="H2476" t="str">
        <f t="shared" si="117"/>
        <v/>
      </c>
      <c r="M2476" s="34">
        <f t="shared" si="118"/>
        <v>0</v>
      </c>
    </row>
    <row r="2477" spans="7:13" x14ac:dyDescent="0.25">
      <c r="G2477" s="10" t="str">
        <f t="shared" si="116"/>
        <v/>
      </c>
      <c r="H2477" t="str">
        <f t="shared" si="117"/>
        <v/>
      </c>
      <c r="M2477" s="34">
        <f t="shared" si="118"/>
        <v>0</v>
      </c>
    </row>
    <row r="2478" spans="7:13" x14ac:dyDescent="0.25">
      <c r="G2478" s="10" t="str">
        <f t="shared" si="116"/>
        <v/>
      </c>
      <c r="H2478" t="str">
        <f t="shared" si="117"/>
        <v/>
      </c>
      <c r="M2478" s="34">
        <f t="shared" si="118"/>
        <v>0</v>
      </c>
    </row>
    <row r="2479" spans="7:13" x14ac:dyDescent="0.25">
      <c r="G2479" s="10" t="str">
        <f t="shared" si="116"/>
        <v/>
      </c>
      <c r="H2479" t="str">
        <f t="shared" si="117"/>
        <v/>
      </c>
      <c r="M2479" s="34">
        <f t="shared" si="118"/>
        <v>0</v>
      </c>
    </row>
    <row r="2480" spans="7:13" x14ac:dyDescent="0.25">
      <c r="G2480" s="10" t="str">
        <f t="shared" si="116"/>
        <v/>
      </c>
      <c r="H2480" t="str">
        <f t="shared" si="117"/>
        <v/>
      </c>
      <c r="M2480" s="34">
        <f t="shared" si="118"/>
        <v>0</v>
      </c>
    </row>
    <row r="2481" spans="7:13" x14ac:dyDescent="0.25">
      <c r="G2481" s="10" t="str">
        <f t="shared" si="116"/>
        <v/>
      </c>
      <c r="H2481" t="str">
        <f t="shared" si="117"/>
        <v/>
      </c>
      <c r="M2481" s="34">
        <f t="shared" si="118"/>
        <v>0</v>
      </c>
    </row>
    <row r="2482" spans="7:13" x14ac:dyDescent="0.25">
      <c r="G2482" s="10" t="str">
        <f t="shared" si="116"/>
        <v/>
      </c>
      <c r="H2482" t="str">
        <f t="shared" si="117"/>
        <v/>
      </c>
      <c r="M2482" s="34">
        <f t="shared" si="118"/>
        <v>0</v>
      </c>
    </row>
    <row r="2483" spans="7:13" x14ac:dyDescent="0.25">
      <c r="G2483" s="10" t="str">
        <f t="shared" si="116"/>
        <v/>
      </c>
      <c r="H2483" t="str">
        <f t="shared" si="117"/>
        <v/>
      </c>
      <c r="M2483" s="34">
        <f t="shared" si="118"/>
        <v>0</v>
      </c>
    </row>
    <row r="2484" spans="7:13" x14ac:dyDescent="0.25">
      <c r="G2484" s="10" t="str">
        <f t="shared" si="116"/>
        <v/>
      </c>
      <c r="H2484" t="str">
        <f t="shared" si="117"/>
        <v/>
      </c>
      <c r="M2484" s="34">
        <f t="shared" si="118"/>
        <v>0</v>
      </c>
    </row>
    <row r="2485" spans="7:13" x14ac:dyDescent="0.25">
      <c r="G2485" s="10" t="str">
        <f t="shared" si="116"/>
        <v/>
      </c>
      <c r="H2485" t="str">
        <f t="shared" si="117"/>
        <v/>
      </c>
      <c r="M2485" s="34">
        <f t="shared" si="118"/>
        <v>0</v>
      </c>
    </row>
    <row r="2486" spans="7:13" x14ac:dyDescent="0.25">
      <c r="G2486" s="10" t="str">
        <f t="shared" si="116"/>
        <v/>
      </c>
      <c r="H2486" t="str">
        <f t="shared" si="117"/>
        <v/>
      </c>
      <c r="M2486" s="34">
        <f t="shared" si="118"/>
        <v>0</v>
      </c>
    </row>
    <row r="2487" spans="7:13" x14ac:dyDescent="0.25">
      <c r="G2487" s="10" t="str">
        <f t="shared" si="116"/>
        <v/>
      </c>
      <c r="H2487" t="str">
        <f t="shared" si="117"/>
        <v/>
      </c>
      <c r="M2487" s="34">
        <f t="shared" si="118"/>
        <v>0</v>
      </c>
    </row>
    <row r="2488" spans="7:13" x14ac:dyDescent="0.25">
      <c r="G2488" s="10" t="str">
        <f t="shared" si="116"/>
        <v/>
      </c>
      <c r="H2488" t="str">
        <f t="shared" si="117"/>
        <v/>
      </c>
      <c r="M2488" s="34">
        <f t="shared" si="118"/>
        <v>0</v>
      </c>
    </row>
    <row r="2489" spans="7:13" x14ac:dyDescent="0.25">
      <c r="G2489" s="10" t="str">
        <f t="shared" si="116"/>
        <v/>
      </c>
      <c r="H2489" t="str">
        <f t="shared" si="117"/>
        <v/>
      </c>
      <c r="M2489" s="34">
        <f t="shared" si="118"/>
        <v>0</v>
      </c>
    </row>
    <row r="2490" spans="7:13" x14ac:dyDescent="0.25">
      <c r="G2490" s="10" t="str">
        <f t="shared" si="116"/>
        <v/>
      </c>
      <c r="H2490" t="str">
        <f t="shared" si="117"/>
        <v/>
      </c>
      <c r="M2490" s="34">
        <f t="shared" si="118"/>
        <v>0</v>
      </c>
    </row>
    <row r="2491" spans="7:13" x14ac:dyDescent="0.25">
      <c r="G2491" s="10" t="str">
        <f t="shared" si="116"/>
        <v/>
      </c>
      <c r="H2491" t="str">
        <f t="shared" si="117"/>
        <v/>
      </c>
      <c r="M2491" s="34">
        <f t="shared" si="118"/>
        <v>0</v>
      </c>
    </row>
    <row r="2492" spans="7:13" x14ac:dyDescent="0.25">
      <c r="G2492" s="10" t="str">
        <f t="shared" si="116"/>
        <v/>
      </c>
      <c r="H2492" t="str">
        <f t="shared" si="117"/>
        <v/>
      </c>
      <c r="M2492" s="34">
        <f t="shared" si="118"/>
        <v>0</v>
      </c>
    </row>
    <row r="2493" spans="7:13" x14ac:dyDescent="0.25">
      <c r="G2493" s="10" t="str">
        <f t="shared" si="116"/>
        <v/>
      </c>
      <c r="H2493" t="str">
        <f t="shared" si="117"/>
        <v/>
      </c>
      <c r="M2493" s="34">
        <f t="shared" si="118"/>
        <v>0</v>
      </c>
    </row>
    <row r="2494" spans="7:13" x14ac:dyDescent="0.25">
      <c r="G2494" s="10" t="str">
        <f t="shared" si="116"/>
        <v/>
      </c>
      <c r="H2494" t="str">
        <f t="shared" si="117"/>
        <v/>
      </c>
      <c r="M2494" s="34">
        <f t="shared" si="118"/>
        <v>0</v>
      </c>
    </row>
    <row r="2495" spans="7:13" x14ac:dyDescent="0.25">
      <c r="G2495" s="10" t="str">
        <f t="shared" si="116"/>
        <v/>
      </c>
      <c r="H2495" t="str">
        <f t="shared" si="117"/>
        <v/>
      </c>
      <c r="M2495" s="34">
        <f t="shared" si="118"/>
        <v>0</v>
      </c>
    </row>
    <row r="2496" spans="7:13" x14ac:dyDescent="0.25">
      <c r="G2496" s="10" t="str">
        <f t="shared" si="116"/>
        <v/>
      </c>
      <c r="H2496" t="str">
        <f t="shared" si="117"/>
        <v/>
      </c>
      <c r="M2496" s="34">
        <f t="shared" si="118"/>
        <v>0</v>
      </c>
    </row>
    <row r="2497" spans="7:13" x14ac:dyDescent="0.25">
      <c r="G2497" s="10" t="str">
        <f t="shared" si="116"/>
        <v/>
      </c>
      <c r="H2497" t="str">
        <f t="shared" si="117"/>
        <v/>
      </c>
      <c r="M2497" s="34">
        <f t="shared" si="118"/>
        <v>0</v>
      </c>
    </row>
    <row r="2498" spans="7:13" x14ac:dyDescent="0.25">
      <c r="G2498" s="10" t="str">
        <f t="shared" ref="G2498:G2561" si="119">IF(F2498&gt;0,"RECETTE",IF(F2498&lt;0,"DÉPENSE",""))</f>
        <v/>
      </c>
      <c r="H2498" t="str">
        <f t="shared" ref="H2498:H2561" si="120">+IF(ISNUMBER(D2498),D2498,"")</f>
        <v/>
      </c>
      <c r="M2498" s="34">
        <f t="shared" si="118"/>
        <v>0</v>
      </c>
    </row>
    <row r="2499" spans="7:13" x14ac:dyDescent="0.25">
      <c r="G2499" s="10" t="str">
        <f t="shared" si="119"/>
        <v/>
      </c>
      <c r="H2499" t="str">
        <f t="shared" si="120"/>
        <v/>
      </c>
      <c r="M2499" s="34">
        <f t="shared" ref="M2499:M2562" si="121">IF(AND(E2499="Chèque",G2499="RECETTE"),F2499,0)</f>
        <v>0</v>
      </c>
    </row>
    <row r="2500" spans="7:13" x14ac:dyDescent="0.25">
      <c r="G2500" s="10" t="str">
        <f t="shared" si="119"/>
        <v/>
      </c>
      <c r="H2500" t="str">
        <f t="shared" si="120"/>
        <v/>
      </c>
      <c r="M2500" s="34">
        <f t="shared" si="121"/>
        <v>0</v>
      </c>
    </row>
    <row r="2501" spans="7:13" x14ac:dyDescent="0.25">
      <c r="G2501" s="10" t="str">
        <f t="shared" si="119"/>
        <v/>
      </c>
      <c r="H2501" t="str">
        <f t="shared" si="120"/>
        <v/>
      </c>
      <c r="M2501" s="34">
        <f t="shared" si="121"/>
        <v>0</v>
      </c>
    </row>
    <row r="2502" spans="7:13" x14ac:dyDescent="0.25">
      <c r="G2502" s="10" t="str">
        <f t="shared" si="119"/>
        <v/>
      </c>
      <c r="H2502" t="str">
        <f t="shared" si="120"/>
        <v/>
      </c>
      <c r="M2502" s="34">
        <f t="shared" si="121"/>
        <v>0</v>
      </c>
    </row>
    <row r="2503" spans="7:13" x14ac:dyDescent="0.25">
      <c r="G2503" s="10" t="str">
        <f t="shared" si="119"/>
        <v/>
      </c>
      <c r="H2503" t="str">
        <f t="shared" si="120"/>
        <v/>
      </c>
      <c r="M2503" s="34">
        <f t="shared" si="121"/>
        <v>0</v>
      </c>
    </row>
    <row r="2504" spans="7:13" x14ac:dyDescent="0.25">
      <c r="G2504" s="10" t="str">
        <f t="shared" si="119"/>
        <v/>
      </c>
      <c r="H2504" t="str">
        <f t="shared" si="120"/>
        <v/>
      </c>
      <c r="M2504" s="34">
        <f t="shared" si="121"/>
        <v>0</v>
      </c>
    </row>
    <row r="2505" spans="7:13" x14ac:dyDescent="0.25">
      <c r="G2505" s="10" t="str">
        <f t="shared" si="119"/>
        <v/>
      </c>
      <c r="H2505" t="str">
        <f t="shared" si="120"/>
        <v/>
      </c>
      <c r="M2505" s="34">
        <f t="shared" si="121"/>
        <v>0</v>
      </c>
    </row>
    <row r="2506" spans="7:13" x14ac:dyDescent="0.25">
      <c r="G2506" s="10" t="str">
        <f t="shared" si="119"/>
        <v/>
      </c>
      <c r="H2506" t="str">
        <f t="shared" si="120"/>
        <v/>
      </c>
      <c r="M2506" s="34">
        <f t="shared" si="121"/>
        <v>0</v>
      </c>
    </row>
    <row r="2507" spans="7:13" x14ac:dyDescent="0.25">
      <c r="G2507" s="10" t="str">
        <f t="shared" si="119"/>
        <v/>
      </c>
      <c r="H2507" t="str">
        <f t="shared" si="120"/>
        <v/>
      </c>
      <c r="M2507" s="34">
        <f t="shared" si="121"/>
        <v>0</v>
      </c>
    </row>
    <row r="2508" spans="7:13" x14ac:dyDescent="0.25">
      <c r="G2508" s="10" t="str">
        <f t="shared" si="119"/>
        <v/>
      </c>
      <c r="H2508" t="str">
        <f t="shared" si="120"/>
        <v/>
      </c>
      <c r="M2508" s="34">
        <f t="shared" si="121"/>
        <v>0</v>
      </c>
    </row>
    <row r="2509" spans="7:13" x14ac:dyDescent="0.25">
      <c r="G2509" s="10" t="str">
        <f t="shared" si="119"/>
        <v/>
      </c>
      <c r="H2509" t="str">
        <f t="shared" si="120"/>
        <v/>
      </c>
      <c r="M2509" s="34">
        <f t="shared" si="121"/>
        <v>0</v>
      </c>
    </row>
    <row r="2510" spans="7:13" x14ac:dyDescent="0.25">
      <c r="G2510" s="10" t="str">
        <f t="shared" si="119"/>
        <v/>
      </c>
      <c r="H2510" t="str">
        <f t="shared" si="120"/>
        <v/>
      </c>
      <c r="M2510" s="34">
        <f t="shared" si="121"/>
        <v>0</v>
      </c>
    </row>
    <row r="2511" spans="7:13" x14ac:dyDescent="0.25">
      <c r="G2511" s="10" t="str">
        <f t="shared" si="119"/>
        <v/>
      </c>
      <c r="H2511" t="str">
        <f t="shared" si="120"/>
        <v/>
      </c>
      <c r="M2511" s="34">
        <f t="shared" si="121"/>
        <v>0</v>
      </c>
    </row>
    <row r="2512" spans="7:13" x14ac:dyDescent="0.25">
      <c r="G2512" s="10" t="str">
        <f t="shared" si="119"/>
        <v/>
      </c>
      <c r="H2512" t="str">
        <f t="shared" si="120"/>
        <v/>
      </c>
      <c r="M2512" s="34">
        <f t="shared" si="121"/>
        <v>0</v>
      </c>
    </row>
    <row r="2513" spans="7:13" x14ac:dyDescent="0.25">
      <c r="G2513" s="10" t="str">
        <f t="shared" si="119"/>
        <v/>
      </c>
      <c r="H2513" t="str">
        <f t="shared" si="120"/>
        <v/>
      </c>
      <c r="M2513" s="34">
        <f t="shared" si="121"/>
        <v>0</v>
      </c>
    </row>
    <row r="2514" spans="7:13" x14ac:dyDescent="0.25">
      <c r="G2514" s="10" t="str">
        <f t="shared" si="119"/>
        <v/>
      </c>
      <c r="H2514" t="str">
        <f t="shared" si="120"/>
        <v/>
      </c>
      <c r="M2514" s="34">
        <f t="shared" si="121"/>
        <v>0</v>
      </c>
    </row>
    <row r="2515" spans="7:13" x14ac:dyDescent="0.25">
      <c r="G2515" s="10" t="str">
        <f t="shared" si="119"/>
        <v/>
      </c>
      <c r="H2515" t="str">
        <f t="shared" si="120"/>
        <v/>
      </c>
      <c r="M2515" s="34">
        <f t="shared" si="121"/>
        <v>0</v>
      </c>
    </row>
    <row r="2516" spans="7:13" x14ac:dyDescent="0.25">
      <c r="G2516" s="10" t="str">
        <f t="shared" si="119"/>
        <v/>
      </c>
      <c r="H2516" t="str">
        <f t="shared" si="120"/>
        <v/>
      </c>
      <c r="M2516" s="34">
        <f t="shared" si="121"/>
        <v>0</v>
      </c>
    </row>
    <row r="2517" spans="7:13" x14ac:dyDescent="0.25">
      <c r="G2517" s="10" t="str">
        <f t="shared" si="119"/>
        <v/>
      </c>
      <c r="H2517" t="str">
        <f t="shared" si="120"/>
        <v/>
      </c>
      <c r="M2517" s="34">
        <f t="shared" si="121"/>
        <v>0</v>
      </c>
    </row>
    <row r="2518" spans="7:13" x14ac:dyDescent="0.25">
      <c r="G2518" s="10" t="str">
        <f t="shared" si="119"/>
        <v/>
      </c>
      <c r="H2518" t="str">
        <f t="shared" si="120"/>
        <v/>
      </c>
      <c r="M2518" s="34">
        <f t="shared" si="121"/>
        <v>0</v>
      </c>
    </row>
    <row r="2519" spans="7:13" x14ac:dyDescent="0.25">
      <c r="G2519" s="10" t="str">
        <f t="shared" si="119"/>
        <v/>
      </c>
      <c r="H2519" t="str">
        <f t="shared" si="120"/>
        <v/>
      </c>
      <c r="M2519" s="34">
        <f t="shared" si="121"/>
        <v>0</v>
      </c>
    </row>
    <row r="2520" spans="7:13" x14ac:dyDescent="0.25">
      <c r="G2520" s="10" t="str">
        <f t="shared" si="119"/>
        <v/>
      </c>
      <c r="H2520" t="str">
        <f t="shared" si="120"/>
        <v/>
      </c>
      <c r="M2520" s="34">
        <f t="shared" si="121"/>
        <v>0</v>
      </c>
    </row>
    <row r="2521" spans="7:13" x14ac:dyDescent="0.25">
      <c r="G2521" s="10" t="str">
        <f t="shared" si="119"/>
        <v/>
      </c>
      <c r="H2521" t="str">
        <f t="shared" si="120"/>
        <v/>
      </c>
      <c r="M2521" s="34">
        <f t="shared" si="121"/>
        <v>0</v>
      </c>
    </row>
    <row r="2522" spans="7:13" x14ac:dyDescent="0.25">
      <c r="G2522" s="10" t="str">
        <f t="shared" si="119"/>
        <v/>
      </c>
      <c r="H2522" t="str">
        <f t="shared" si="120"/>
        <v/>
      </c>
      <c r="M2522" s="34">
        <f t="shared" si="121"/>
        <v>0</v>
      </c>
    </row>
    <row r="2523" spans="7:13" x14ac:dyDescent="0.25">
      <c r="G2523" s="10" t="str">
        <f t="shared" si="119"/>
        <v/>
      </c>
      <c r="H2523" t="str">
        <f t="shared" si="120"/>
        <v/>
      </c>
      <c r="M2523" s="34">
        <f t="shared" si="121"/>
        <v>0</v>
      </c>
    </row>
    <row r="2524" spans="7:13" x14ac:dyDescent="0.25">
      <c r="G2524" s="10" t="str">
        <f t="shared" si="119"/>
        <v/>
      </c>
      <c r="H2524" t="str">
        <f t="shared" si="120"/>
        <v/>
      </c>
      <c r="M2524" s="34">
        <f t="shared" si="121"/>
        <v>0</v>
      </c>
    </row>
    <row r="2525" spans="7:13" x14ac:dyDescent="0.25">
      <c r="G2525" s="10" t="str">
        <f t="shared" si="119"/>
        <v/>
      </c>
      <c r="H2525" t="str">
        <f t="shared" si="120"/>
        <v/>
      </c>
      <c r="M2525" s="34">
        <f t="shared" si="121"/>
        <v>0</v>
      </c>
    </row>
    <row r="2526" spans="7:13" x14ac:dyDescent="0.25">
      <c r="G2526" s="10" t="str">
        <f t="shared" si="119"/>
        <v/>
      </c>
      <c r="H2526" t="str">
        <f t="shared" si="120"/>
        <v/>
      </c>
      <c r="M2526" s="34">
        <f t="shared" si="121"/>
        <v>0</v>
      </c>
    </row>
    <row r="2527" spans="7:13" x14ac:dyDescent="0.25">
      <c r="G2527" s="10" t="str">
        <f t="shared" si="119"/>
        <v/>
      </c>
      <c r="H2527" t="str">
        <f t="shared" si="120"/>
        <v/>
      </c>
      <c r="M2527" s="34">
        <f t="shared" si="121"/>
        <v>0</v>
      </c>
    </row>
    <row r="2528" spans="7:13" x14ac:dyDescent="0.25">
      <c r="G2528" s="10" t="str">
        <f t="shared" si="119"/>
        <v/>
      </c>
      <c r="H2528" t="str">
        <f t="shared" si="120"/>
        <v/>
      </c>
      <c r="M2528" s="34">
        <f t="shared" si="121"/>
        <v>0</v>
      </c>
    </row>
    <row r="2529" spans="7:13" x14ac:dyDescent="0.25">
      <c r="G2529" s="10" t="str">
        <f t="shared" si="119"/>
        <v/>
      </c>
      <c r="H2529" t="str">
        <f t="shared" si="120"/>
        <v/>
      </c>
      <c r="M2529" s="34">
        <f t="shared" si="121"/>
        <v>0</v>
      </c>
    </row>
    <row r="2530" spans="7:13" x14ac:dyDescent="0.25">
      <c r="G2530" s="10" t="str">
        <f t="shared" si="119"/>
        <v/>
      </c>
      <c r="H2530" t="str">
        <f t="shared" si="120"/>
        <v/>
      </c>
      <c r="M2530" s="34">
        <f t="shared" si="121"/>
        <v>0</v>
      </c>
    </row>
    <row r="2531" spans="7:13" x14ac:dyDescent="0.25">
      <c r="G2531" s="10" t="str">
        <f t="shared" si="119"/>
        <v/>
      </c>
      <c r="H2531" t="str">
        <f t="shared" si="120"/>
        <v/>
      </c>
      <c r="M2531" s="34">
        <f t="shared" si="121"/>
        <v>0</v>
      </c>
    </row>
    <row r="2532" spans="7:13" x14ac:dyDescent="0.25">
      <c r="G2532" s="10" t="str">
        <f t="shared" si="119"/>
        <v/>
      </c>
      <c r="H2532" t="str">
        <f t="shared" si="120"/>
        <v/>
      </c>
      <c r="M2532" s="34">
        <f t="shared" si="121"/>
        <v>0</v>
      </c>
    </row>
    <row r="2533" spans="7:13" x14ac:dyDescent="0.25">
      <c r="G2533" s="10" t="str">
        <f t="shared" si="119"/>
        <v/>
      </c>
      <c r="H2533" t="str">
        <f t="shared" si="120"/>
        <v/>
      </c>
      <c r="M2533" s="34">
        <f t="shared" si="121"/>
        <v>0</v>
      </c>
    </row>
    <row r="2534" spans="7:13" x14ac:dyDescent="0.25">
      <c r="G2534" s="10" t="str">
        <f t="shared" si="119"/>
        <v/>
      </c>
      <c r="H2534" t="str">
        <f t="shared" si="120"/>
        <v/>
      </c>
      <c r="M2534" s="34">
        <f t="shared" si="121"/>
        <v>0</v>
      </c>
    </row>
    <row r="2535" spans="7:13" x14ac:dyDescent="0.25">
      <c r="G2535" s="10" t="str">
        <f t="shared" si="119"/>
        <v/>
      </c>
      <c r="H2535" t="str">
        <f t="shared" si="120"/>
        <v/>
      </c>
      <c r="M2535" s="34">
        <f t="shared" si="121"/>
        <v>0</v>
      </c>
    </row>
    <row r="2536" spans="7:13" x14ac:dyDescent="0.25">
      <c r="G2536" s="10" t="str">
        <f t="shared" si="119"/>
        <v/>
      </c>
      <c r="H2536" t="str">
        <f t="shared" si="120"/>
        <v/>
      </c>
      <c r="M2536" s="34">
        <f t="shared" si="121"/>
        <v>0</v>
      </c>
    </row>
    <row r="2537" spans="7:13" x14ac:dyDescent="0.25">
      <c r="G2537" s="10" t="str">
        <f t="shared" si="119"/>
        <v/>
      </c>
      <c r="H2537" t="str">
        <f t="shared" si="120"/>
        <v/>
      </c>
      <c r="M2537" s="34">
        <f t="shared" si="121"/>
        <v>0</v>
      </c>
    </row>
    <row r="2538" spans="7:13" x14ac:dyDescent="0.25">
      <c r="G2538" s="10" t="str">
        <f t="shared" si="119"/>
        <v/>
      </c>
      <c r="H2538" t="str">
        <f t="shared" si="120"/>
        <v/>
      </c>
      <c r="M2538" s="34">
        <f t="shared" si="121"/>
        <v>0</v>
      </c>
    </row>
    <row r="2539" spans="7:13" x14ac:dyDescent="0.25">
      <c r="G2539" s="10" t="str">
        <f t="shared" si="119"/>
        <v/>
      </c>
      <c r="H2539" t="str">
        <f t="shared" si="120"/>
        <v/>
      </c>
      <c r="M2539" s="34">
        <f t="shared" si="121"/>
        <v>0</v>
      </c>
    </row>
    <row r="2540" spans="7:13" x14ac:dyDescent="0.25">
      <c r="G2540" s="10" t="str">
        <f t="shared" si="119"/>
        <v/>
      </c>
      <c r="H2540" t="str">
        <f t="shared" si="120"/>
        <v/>
      </c>
      <c r="M2540" s="34">
        <f t="shared" si="121"/>
        <v>0</v>
      </c>
    </row>
    <row r="2541" spans="7:13" x14ac:dyDescent="0.25">
      <c r="G2541" s="10" t="str">
        <f t="shared" si="119"/>
        <v/>
      </c>
      <c r="H2541" t="str">
        <f t="shared" si="120"/>
        <v/>
      </c>
      <c r="M2541" s="34">
        <f t="shared" si="121"/>
        <v>0</v>
      </c>
    </row>
    <row r="2542" spans="7:13" x14ac:dyDescent="0.25">
      <c r="G2542" s="10" t="str">
        <f t="shared" si="119"/>
        <v/>
      </c>
      <c r="H2542" t="str">
        <f t="shared" si="120"/>
        <v/>
      </c>
      <c r="M2542" s="34">
        <f t="shared" si="121"/>
        <v>0</v>
      </c>
    </row>
    <row r="2543" spans="7:13" x14ac:dyDescent="0.25">
      <c r="G2543" s="10" t="str">
        <f t="shared" si="119"/>
        <v/>
      </c>
      <c r="H2543" t="str">
        <f t="shared" si="120"/>
        <v/>
      </c>
      <c r="M2543" s="34">
        <f t="shared" si="121"/>
        <v>0</v>
      </c>
    </row>
    <row r="2544" spans="7:13" x14ac:dyDescent="0.25">
      <c r="G2544" s="10" t="str">
        <f t="shared" si="119"/>
        <v/>
      </c>
      <c r="H2544" t="str">
        <f t="shared" si="120"/>
        <v/>
      </c>
      <c r="M2544" s="34">
        <f t="shared" si="121"/>
        <v>0</v>
      </c>
    </row>
    <row r="2545" spans="7:13" x14ac:dyDescent="0.25">
      <c r="G2545" s="10" t="str">
        <f t="shared" si="119"/>
        <v/>
      </c>
      <c r="H2545" t="str">
        <f t="shared" si="120"/>
        <v/>
      </c>
      <c r="M2545" s="34">
        <f t="shared" si="121"/>
        <v>0</v>
      </c>
    </row>
    <row r="2546" spans="7:13" x14ac:dyDescent="0.25">
      <c r="G2546" s="10" t="str">
        <f t="shared" si="119"/>
        <v/>
      </c>
      <c r="H2546" t="str">
        <f t="shared" si="120"/>
        <v/>
      </c>
      <c r="M2546" s="34">
        <f t="shared" si="121"/>
        <v>0</v>
      </c>
    </row>
    <row r="2547" spans="7:13" x14ac:dyDescent="0.25">
      <c r="G2547" s="10" t="str">
        <f t="shared" si="119"/>
        <v/>
      </c>
      <c r="H2547" t="str">
        <f t="shared" si="120"/>
        <v/>
      </c>
      <c r="M2547" s="34">
        <f t="shared" si="121"/>
        <v>0</v>
      </c>
    </row>
    <row r="2548" spans="7:13" x14ac:dyDescent="0.25">
      <c r="G2548" s="10" t="str">
        <f t="shared" si="119"/>
        <v/>
      </c>
      <c r="H2548" t="str">
        <f t="shared" si="120"/>
        <v/>
      </c>
      <c r="M2548" s="34">
        <f t="shared" si="121"/>
        <v>0</v>
      </c>
    </row>
    <row r="2549" spans="7:13" x14ac:dyDescent="0.25">
      <c r="G2549" s="10" t="str">
        <f t="shared" si="119"/>
        <v/>
      </c>
      <c r="H2549" t="str">
        <f t="shared" si="120"/>
        <v/>
      </c>
      <c r="M2549" s="34">
        <f t="shared" si="121"/>
        <v>0</v>
      </c>
    </row>
    <row r="2550" spans="7:13" x14ac:dyDescent="0.25">
      <c r="G2550" s="10" t="str">
        <f t="shared" si="119"/>
        <v/>
      </c>
      <c r="H2550" t="str">
        <f t="shared" si="120"/>
        <v/>
      </c>
      <c r="M2550" s="34">
        <f t="shared" si="121"/>
        <v>0</v>
      </c>
    </row>
    <row r="2551" spans="7:13" x14ac:dyDescent="0.25">
      <c r="G2551" s="10" t="str">
        <f t="shared" si="119"/>
        <v/>
      </c>
      <c r="H2551" t="str">
        <f t="shared" si="120"/>
        <v/>
      </c>
      <c r="M2551" s="34">
        <f t="shared" si="121"/>
        <v>0</v>
      </c>
    </row>
    <row r="2552" spans="7:13" x14ac:dyDescent="0.25">
      <c r="G2552" s="10" t="str">
        <f t="shared" si="119"/>
        <v/>
      </c>
      <c r="H2552" t="str">
        <f t="shared" si="120"/>
        <v/>
      </c>
      <c r="M2552" s="34">
        <f t="shared" si="121"/>
        <v>0</v>
      </c>
    </row>
    <row r="2553" spans="7:13" x14ac:dyDescent="0.25">
      <c r="G2553" s="10" t="str">
        <f t="shared" si="119"/>
        <v/>
      </c>
      <c r="H2553" t="str">
        <f t="shared" si="120"/>
        <v/>
      </c>
      <c r="M2553" s="34">
        <f t="shared" si="121"/>
        <v>0</v>
      </c>
    </row>
    <row r="2554" spans="7:13" x14ac:dyDescent="0.25">
      <c r="G2554" s="10" t="str">
        <f t="shared" si="119"/>
        <v/>
      </c>
      <c r="H2554" t="str">
        <f t="shared" si="120"/>
        <v/>
      </c>
      <c r="M2554" s="34">
        <f t="shared" si="121"/>
        <v>0</v>
      </c>
    </row>
    <row r="2555" spans="7:13" x14ac:dyDescent="0.25">
      <c r="G2555" s="10" t="str">
        <f t="shared" si="119"/>
        <v/>
      </c>
      <c r="H2555" t="str">
        <f t="shared" si="120"/>
        <v/>
      </c>
      <c r="M2555" s="34">
        <f t="shared" si="121"/>
        <v>0</v>
      </c>
    </row>
    <row r="2556" spans="7:13" x14ac:dyDescent="0.25">
      <c r="G2556" s="10" t="str">
        <f t="shared" si="119"/>
        <v/>
      </c>
      <c r="H2556" t="str">
        <f t="shared" si="120"/>
        <v/>
      </c>
      <c r="M2556" s="34">
        <f t="shared" si="121"/>
        <v>0</v>
      </c>
    </row>
    <row r="2557" spans="7:13" x14ac:dyDescent="0.25">
      <c r="G2557" s="10" t="str">
        <f t="shared" si="119"/>
        <v/>
      </c>
      <c r="H2557" t="str">
        <f t="shared" si="120"/>
        <v/>
      </c>
      <c r="M2557" s="34">
        <f t="shared" si="121"/>
        <v>0</v>
      </c>
    </row>
    <row r="2558" spans="7:13" x14ac:dyDescent="0.25">
      <c r="G2558" s="10" t="str">
        <f t="shared" si="119"/>
        <v/>
      </c>
      <c r="H2558" t="str">
        <f t="shared" si="120"/>
        <v/>
      </c>
      <c r="M2558" s="34">
        <f t="shared" si="121"/>
        <v>0</v>
      </c>
    </row>
    <row r="2559" spans="7:13" x14ac:dyDescent="0.25">
      <c r="G2559" s="10" t="str">
        <f t="shared" si="119"/>
        <v/>
      </c>
      <c r="H2559" t="str">
        <f t="shared" si="120"/>
        <v/>
      </c>
      <c r="M2559" s="34">
        <f t="shared" si="121"/>
        <v>0</v>
      </c>
    </row>
    <row r="2560" spans="7:13" x14ac:dyDescent="0.25">
      <c r="G2560" s="10" t="str">
        <f t="shared" si="119"/>
        <v/>
      </c>
      <c r="H2560" t="str">
        <f t="shared" si="120"/>
        <v/>
      </c>
      <c r="M2560" s="34">
        <f t="shared" si="121"/>
        <v>0</v>
      </c>
    </row>
    <row r="2561" spans="7:13" x14ac:dyDescent="0.25">
      <c r="G2561" s="10" t="str">
        <f t="shared" si="119"/>
        <v/>
      </c>
      <c r="H2561" t="str">
        <f t="shared" si="120"/>
        <v/>
      </c>
      <c r="M2561" s="34">
        <f t="shared" si="121"/>
        <v>0</v>
      </c>
    </row>
    <row r="2562" spans="7:13" x14ac:dyDescent="0.25">
      <c r="G2562" s="10" t="str">
        <f t="shared" ref="G2562:G2625" si="122">IF(F2562&gt;0,"RECETTE",IF(F2562&lt;0,"DÉPENSE",""))</f>
        <v/>
      </c>
      <c r="H2562" t="str">
        <f t="shared" ref="H2562:H2625" si="123">+IF(ISNUMBER(D2562),D2562,"")</f>
        <v/>
      </c>
      <c r="M2562" s="34">
        <f t="shared" si="121"/>
        <v>0</v>
      </c>
    </row>
    <row r="2563" spans="7:13" x14ac:dyDescent="0.25">
      <c r="G2563" s="10" t="str">
        <f t="shared" si="122"/>
        <v/>
      </c>
      <c r="H2563" t="str">
        <f t="shared" si="123"/>
        <v/>
      </c>
      <c r="M2563" s="34">
        <f t="shared" ref="M2563:M2626" si="124">IF(AND(E2563="Chèque",G2563="RECETTE"),F2563,0)</f>
        <v>0</v>
      </c>
    </row>
    <row r="2564" spans="7:13" x14ac:dyDescent="0.25">
      <c r="G2564" s="10" t="str">
        <f t="shared" si="122"/>
        <v/>
      </c>
      <c r="H2564" t="str">
        <f t="shared" si="123"/>
        <v/>
      </c>
      <c r="M2564" s="34">
        <f t="shared" si="124"/>
        <v>0</v>
      </c>
    </row>
    <row r="2565" spans="7:13" x14ac:dyDescent="0.25">
      <c r="G2565" s="10" t="str">
        <f t="shared" si="122"/>
        <v/>
      </c>
      <c r="H2565" t="str">
        <f t="shared" si="123"/>
        <v/>
      </c>
      <c r="M2565" s="34">
        <f t="shared" si="124"/>
        <v>0</v>
      </c>
    </row>
    <row r="2566" spans="7:13" x14ac:dyDescent="0.25">
      <c r="G2566" s="10" t="str">
        <f t="shared" si="122"/>
        <v/>
      </c>
      <c r="H2566" t="str">
        <f t="shared" si="123"/>
        <v/>
      </c>
      <c r="M2566" s="34">
        <f t="shared" si="124"/>
        <v>0</v>
      </c>
    </row>
    <row r="2567" spans="7:13" x14ac:dyDescent="0.25">
      <c r="G2567" s="10" t="str">
        <f t="shared" si="122"/>
        <v/>
      </c>
      <c r="H2567" t="str">
        <f t="shared" si="123"/>
        <v/>
      </c>
      <c r="M2567" s="34">
        <f t="shared" si="124"/>
        <v>0</v>
      </c>
    </row>
    <row r="2568" spans="7:13" x14ac:dyDescent="0.25">
      <c r="G2568" s="10" t="str">
        <f t="shared" si="122"/>
        <v/>
      </c>
      <c r="H2568" t="str">
        <f t="shared" si="123"/>
        <v/>
      </c>
      <c r="M2568" s="34">
        <f t="shared" si="124"/>
        <v>0</v>
      </c>
    </row>
    <row r="2569" spans="7:13" x14ac:dyDescent="0.25">
      <c r="G2569" s="10" t="str">
        <f t="shared" si="122"/>
        <v/>
      </c>
      <c r="H2569" t="str">
        <f t="shared" si="123"/>
        <v/>
      </c>
      <c r="M2569" s="34">
        <f t="shared" si="124"/>
        <v>0</v>
      </c>
    </row>
    <row r="2570" spans="7:13" x14ac:dyDescent="0.25">
      <c r="G2570" s="10" t="str">
        <f t="shared" si="122"/>
        <v/>
      </c>
      <c r="H2570" t="str">
        <f t="shared" si="123"/>
        <v/>
      </c>
      <c r="M2570" s="34">
        <f t="shared" si="124"/>
        <v>0</v>
      </c>
    </row>
    <row r="2571" spans="7:13" x14ac:dyDescent="0.25">
      <c r="G2571" s="10" t="str">
        <f t="shared" si="122"/>
        <v/>
      </c>
      <c r="H2571" t="str">
        <f t="shared" si="123"/>
        <v/>
      </c>
      <c r="M2571" s="34">
        <f t="shared" si="124"/>
        <v>0</v>
      </c>
    </row>
    <row r="2572" spans="7:13" x14ac:dyDescent="0.25">
      <c r="G2572" s="10" t="str">
        <f t="shared" si="122"/>
        <v/>
      </c>
      <c r="H2572" t="str">
        <f t="shared" si="123"/>
        <v/>
      </c>
      <c r="M2572" s="34">
        <f t="shared" si="124"/>
        <v>0</v>
      </c>
    </row>
    <row r="2573" spans="7:13" x14ac:dyDescent="0.25">
      <c r="G2573" s="10" t="str">
        <f t="shared" si="122"/>
        <v/>
      </c>
      <c r="H2573" t="str">
        <f t="shared" si="123"/>
        <v/>
      </c>
      <c r="M2573" s="34">
        <f t="shared" si="124"/>
        <v>0</v>
      </c>
    </row>
    <row r="2574" spans="7:13" x14ac:dyDescent="0.25">
      <c r="G2574" s="10" t="str">
        <f t="shared" si="122"/>
        <v/>
      </c>
      <c r="H2574" t="str">
        <f t="shared" si="123"/>
        <v/>
      </c>
      <c r="M2574" s="34">
        <f t="shared" si="124"/>
        <v>0</v>
      </c>
    </row>
    <row r="2575" spans="7:13" x14ac:dyDescent="0.25">
      <c r="G2575" s="10" t="str">
        <f t="shared" si="122"/>
        <v/>
      </c>
      <c r="H2575" t="str">
        <f t="shared" si="123"/>
        <v/>
      </c>
      <c r="M2575" s="34">
        <f t="shared" si="124"/>
        <v>0</v>
      </c>
    </row>
    <row r="2576" spans="7:13" x14ac:dyDescent="0.25">
      <c r="G2576" s="10" t="str">
        <f t="shared" si="122"/>
        <v/>
      </c>
      <c r="H2576" t="str">
        <f t="shared" si="123"/>
        <v/>
      </c>
      <c r="M2576" s="34">
        <f t="shared" si="124"/>
        <v>0</v>
      </c>
    </row>
    <row r="2577" spans="7:13" x14ac:dyDescent="0.25">
      <c r="G2577" s="10" t="str">
        <f t="shared" si="122"/>
        <v/>
      </c>
      <c r="H2577" t="str">
        <f t="shared" si="123"/>
        <v/>
      </c>
      <c r="M2577" s="34">
        <f t="shared" si="124"/>
        <v>0</v>
      </c>
    </row>
    <row r="2578" spans="7:13" x14ac:dyDescent="0.25">
      <c r="G2578" s="10" t="str">
        <f t="shared" si="122"/>
        <v/>
      </c>
      <c r="H2578" t="str">
        <f t="shared" si="123"/>
        <v/>
      </c>
      <c r="M2578" s="34">
        <f t="shared" si="124"/>
        <v>0</v>
      </c>
    </row>
    <row r="2579" spans="7:13" x14ac:dyDescent="0.25">
      <c r="G2579" s="10" t="str">
        <f t="shared" si="122"/>
        <v/>
      </c>
      <c r="H2579" t="str">
        <f t="shared" si="123"/>
        <v/>
      </c>
      <c r="M2579" s="34">
        <f t="shared" si="124"/>
        <v>0</v>
      </c>
    </row>
    <row r="2580" spans="7:13" x14ac:dyDescent="0.25">
      <c r="G2580" s="10" t="str">
        <f t="shared" si="122"/>
        <v/>
      </c>
      <c r="H2580" t="str">
        <f t="shared" si="123"/>
        <v/>
      </c>
      <c r="M2580" s="34">
        <f t="shared" si="124"/>
        <v>0</v>
      </c>
    </row>
    <row r="2581" spans="7:13" x14ac:dyDescent="0.25">
      <c r="G2581" s="10" t="str">
        <f t="shared" si="122"/>
        <v/>
      </c>
      <c r="H2581" t="str">
        <f t="shared" si="123"/>
        <v/>
      </c>
      <c r="M2581" s="34">
        <f t="shared" si="124"/>
        <v>0</v>
      </c>
    </row>
    <row r="2582" spans="7:13" x14ac:dyDescent="0.25">
      <c r="G2582" s="10" t="str">
        <f t="shared" si="122"/>
        <v/>
      </c>
      <c r="H2582" t="str">
        <f t="shared" si="123"/>
        <v/>
      </c>
      <c r="M2582" s="34">
        <f t="shared" si="124"/>
        <v>0</v>
      </c>
    </row>
    <row r="2583" spans="7:13" x14ac:dyDescent="0.25">
      <c r="G2583" s="10" t="str">
        <f t="shared" si="122"/>
        <v/>
      </c>
      <c r="H2583" t="str">
        <f t="shared" si="123"/>
        <v/>
      </c>
      <c r="M2583" s="34">
        <f t="shared" si="124"/>
        <v>0</v>
      </c>
    </row>
    <row r="2584" spans="7:13" x14ac:dyDescent="0.25">
      <c r="G2584" s="10" t="str">
        <f t="shared" si="122"/>
        <v/>
      </c>
      <c r="H2584" t="str">
        <f t="shared" si="123"/>
        <v/>
      </c>
      <c r="M2584" s="34">
        <f t="shared" si="124"/>
        <v>0</v>
      </c>
    </row>
    <row r="2585" spans="7:13" x14ac:dyDescent="0.25">
      <c r="G2585" s="10" t="str">
        <f t="shared" si="122"/>
        <v/>
      </c>
      <c r="H2585" t="str">
        <f t="shared" si="123"/>
        <v/>
      </c>
      <c r="M2585" s="34">
        <f t="shared" si="124"/>
        <v>0</v>
      </c>
    </row>
    <row r="2586" spans="7:13" x14ac:dyDescent="0.25">
      <c r="G2586" s="10" t="str">
        <f t="shared" si="122"/>
        <v/>
      </c>
      <c r="H2586" t="str">
        <f t="shared" si="123"/>
        <v/>
      </c>
      <c r="M2586" s="34">
        <f t="shared" si="124"/>
        <v>0</v>
      </c>
    </row>
    <row r="2587" spans="7:13" x14ac:dyDescent="0.25">
      <c r="G2587" s="10" t="str">
        <f t="shared" si="122"/>
        <v/>
      </c>
      <c r="H2587" t="str">
        <f t="shared" si="123"/>
        <v/>
      </c>
      <c r="M2587" s="34">
        <f t="shared" si="124"/>
        <v>0</v>
      </c>
    </row>
    <row r="2588" spans="7:13" x14ac:dyDescent="0.25">
      <c r="G2588" s="10" t="str">
        <f t="shared" si="122"/>
        <v/>
      </c>
      <c r="H2588" t="str">
        <f t="shared" si="123"/>
        <v/>
      </c>
      <c r="M2588" s="34">
        <f t="shared" si="124"/>
        <v>0</v>
      </c>
    </row>
    <row r="2589" spans="7:13" x14ac:dyDescent="0.25">
      <c r="G2589" s="10" t="str">
        <f t="shared" si="122"/>
        <v/>
      </c>
      <c r="H2589" t="str">
        <f t="shared" si="123"/>
        <v/>
      </c>
      <c r="M2589" s="34">
        <f t="shared" si="124"/>
        <v>0</v>
      </c>
    </row>
    <row r="2590" spans="7:13" x14ac:dyDescent="0.25">
      <c r="G2590" s="10" t="str">
        <f t="shared" si="122"/>
        <v/>
      </c>
      <c r="H2590" t="str">
        <f t="shared" si="123"/>
        <v/>
      </c>
      <c r="M2590" s="34">
        <f t="shared" si="124"/>
        <v>0</v>
      </c>
    </row>
    <row r="2591" spans="7:13" x14ac:dyDescent="0.25">
      <c r="G2591" s="10" t="str">
        <f t="shared" si="122"/>
        <v/>
      </c>
      <c r="H2591" t="str">
        <f t="shared" si="123"/>
        <v/>
      </c>
      <c r="M2591" s="34">
        <f t="shared" si="124"/>
        <v>0</v>
      </c>
    </row>
    <row r="2592" spans="7:13" x14ac:dyDescent="0.25">
      <c r="G2592" s="10" t="str">
        <f t="shared" si="122"/>
        <v/>
      </c>
      <c r="H2592" t="str">
        <f t="shared" si="123"/>
        <v/>
      </c>
      <c r="M2592" s="34">
        <f t="shared" si="124"/>
        <v>0</v>
      </c>
    </row>
    <row r="2593" spans="7:13" x14ac:dyDescent="0.25">
      <c r="G2593" s="10" t="str">
        <f t="shared" si="122"/>
        <v/>
      </c>
      <c r="H2593" t="str">
        <f t="shared" si="123"/>
        <v/>
      </c>
      <c r="M2593" s="34">
        <f t="shared" si="124"/>
        <v>0</v>
      </c>
    </row>
    <row r="2594" spans="7:13" x14ac:dyDescent="0.25">
      <c r="G2594" s="10" t="str">
        <f t="shared" si="122"/>
        <v/>
      </c>
      <c r="H2594" t="str">
        <f t="shared" si="123"/>
        <v/>
      </c>
      <c r="M2594" s="34">
        <f t="shared" si="124"/>
        <v>0</v>
      </c>
    </row>
    <row r="2595" spans="7:13" x14ac:dyDescent="0.25">
      <c r="G2595" s="10" t="str">
        <f t="shared" si="122"/>
        <v/>
      </c>
      <c r="H2595" t="str">
        <f t="shared" si="123"/>
        <v/>
      </c>
      <c r="M2595" s="34">
        <f t="shared" si="124"/>
        <v>0</v>
      </c>
    </row>
    <row r="2596" spans="7:13" x14ac:dyDescent="0.25">
      <c r="G2596" s="10" t="str">
        <f t="shared" si="122"/>
        <v/>
      </c>
      <c r="H2596" t="str">
        <f t="shared" si="123"/>
        <v/>
      </c>
      <c r="M2596" s="34">
        <f t="shared" si="124"/>
        <v>0</v>
      </c>
    </row>
    <row r="2597" spans="7:13" x14ac:dyDescent="0.25">
      <c r="G2597" s="10" t="str">
        <f t="shared" si="122"/>
        <v/>
      </c>
      <c r="H2597" t="str">
        <f t="shared" si="123"/>
        <v/>
      </c>
      <c r="M2597" s="34">
        <f t="shared" si="124"/>
        <v>0</v>
      </c>
    </row>
    <row r="2598" spans="7:13" x14ac:dyDescent="0.25">
      <c r="G2598" s="10" t="str">
        <f t="shared" si="122"/>
        <v/>
      </c>
      <c r="H2598" t="str">
        <f t="shared" si="123"/>
        <v/>
      </c>
      <c r="M2598" s="34">
        <f t="shared" si="124"/>
        <v>0</v>
      </c>
    </row>
    <row r="2599" spans="7:13" x14ac:dyDescent="0.25">
      <c r="G2599" s="10" t="str">
        <f t="shared" si="122"/>
        <v/>
      </c>
      <c r="H2599" t="str">
        <f t="shared" si="123"/>
        <v/>
      </c>
      <c r="M2599" s="34">
        <f t="shared" si="124"/>
        <v>0</v>
      </c>
    </row>
    <row r="2600" spans="7:13" x14ac:dyDescent="0.25">
      <c r="G2600" s="10" t="str">
        <f t="shared" si="122"/>
        <v/>
      </c>
      <c r="H2600" t="str">
        <f t="shared" si="123"/>
        <v/>
      </c>
      <c r="M2600" s="34">
        <f t="shared" si="124"/>
        <v>0</v>
      </c>
    </row>
    <row r="2601" spans="7:13" x14ac:dyDescent="0.25">
      <c r="G2601" s="10" t="str">
        <f t="shared" si="122"/>
        <v/>
      </c>
      <c r="H2601" t="str">
        <f t="shared" si="123"/>
        <v/>
      </c>
      <c r="M2601" s="34">
        <f t="shared" si="124"/>
        <v>0</v>
      </c>
    </row>
    <row r="2602" spans="7:13" x14ac:dyDescent="0.25">
      <c r="G2602" s="10" t="str">
        <f t="shared" si="122"/>
        <v/>
      </c>
      <c r="H2602" t="str">
        <f t="shared" si="123"/>
        <v/>
      </c>
      <c r="M2602" s="34">
        <f t="shared" si="124"/>
        <v>0</v>
      </c>
    </row>
    <row r="2603" spans="7:13" x14ac:dyDescent="0.25">
      <c r="G2603" s="10" t="str">
        <f t="shared" si="122"/>
        <v/>
      </c>
      <c r="H2603" t="str">
        <f t="shared" si="123"/>
        <v/>
      </c>
      <c r="M2603" s="34">
        <f t="shared" si="124"/>
        <v>0</v>
      </c>
    </row>
    <row r="2604" spans="7:13" x14ac:dyDescent="0.25">
      <c r="G2604" s="10" t="str">
        <f t="shared" si="122"/>
        <v/>
      </c>
      <c r="H2604" t="str">
        <f t="shared" si="123"/>
        <v/>
      </c>
      <c r="M2604" s="34">
        <f t="shared" si="124"/>
        <v>0</v>
      </c>
    </row>
    <row r="2605" spans="7:13" x14ac:dyDescent="0.25">
      <c r="G2605" s="10" t="str">
        <f t="shared" si="122"/>
        <v/>
      </c>
      <c r="H2605" t="str">
        <f t="shared" si="123"/>
        <v/>
      </c>
      <c r="M2605" s="34">
        <f t="shared" si="124"/>
        <v>0</v>
      </c>
    </row>
    <row r="2606" spans="7:13" x14ac:dyDescent="0.25">
      <c r="G2606" s="10" t="str">
        <f t="shared" si="122"/>
        <v/>
      </c>
      <c r="H2606" t="str">
        <f t="shared" si="123"/>
        <v/>
      </c>
      <c r="M2606" s="34">
        <f t="shared" si="124"/>
        <v>0</v>
      </c>
    </row>
    <row r="2607" spans="7:13" x14ac:dyDescent="0.25">
      <c r="G2607" s="10" t="str">
        <f t="shared" si="122"/>
        <v/>
      </c>
      <c r="H2607" t="str">
        <f t="shared" si="123"/>
        <v/>
      </c>
      <c r="M2607" s="34">
        <f t="shared" si="124"/>
        <v>0</v>
      </c>
    </row>
    <row r="2608" spans="7:13" x14ac:dyDescent="0.25">
      <c r="G2608" s="10" t="str">
        <f t="shared" si="122"/>
        <v/>
      </c>
      <c r="H2608" t="str">
        <f t="shared" si="123"/>
        <v/>
      </c>
      <c r="M2608" s="34">
        <f t="shared" si="124"/>
        <v>0</v>
      </c>
    </row>
    <row r="2609" spans="7:13" x14ac:dyDescent="0.25">
      <c r="G2609" s="10" t="str">
        <f t="shared" si="122"/>
        <v/>
      </c>
      <c r="H2609" t="str">
        <f t="shared" si="123"/>
        <v/>
      </c>
      <c r="M2609" s="34">
        <f t="shared" si="124"/>
        <v>0</v>
      </c>
    </row>
    <row r="2610" spans="7:13" x14ac:dyDescent="0.25">
      <c r="G2610" s="10" t="str">
        <f t="shared" si="122"/>
        <v/>
      </c>
      <c r="H2610" t="str">
        <f t="shared" si="123"/>
        <v/>
      </c>
      <c r="M2610" s="34">
        <f t="shared" si="124"/>
        <v>0</v>
      </c>
    </row>
    <row r="2611" spans="7:13" x14ac:dyDescent="0.25">
      <c r="G2611" s="10" t="str">
        <f t="shared" si="122"/>
        <v/>
      </c>
      <c r="H2611" t="str">
        <f t="shared" si="123"/>
        <v/>
      </c>
      <c r="M2611" s="34">
        <f t="shared" si="124"/>
        <v>0</v>
      </c>
    </row>
    <row r="2612" spans="7:13" x14ac:dyDescent="0.25">
      <c r="G2612" s="10" t="str">
        <f t="shared" si="122"/>
        <v/>
      </c>
      <c r="H2612" t="str">
        <f t="shared" si="123"/>
        <v/>
      </c>
      <c r="M2612" s="34">
        <f t="shared" si="124"/>
        <v>0</v>
      </c>
    </row>
    <row r="2613" spans="7:13" x14ac:dyDescent="0.25">
      <c r="G2613" s="10" t="str">
        <f t="shared" si="122"/>
        <v/>
      </c>
      <c r="H2613" t="str">
        <f t="shared" si="123"/>
        <v/>
      </c>
      <c r="M2613" s="34">
        <f t="shared" si="124"/>
        <v>0</v>
      </c>
    </row>
    <row r="2614" spans="7:13" x14ac:dyDescent="0.25">
      <c r="G2614" s="10" t="str">
        <f t="shared" si="122"/>
        <v/>
      </c>
      <c r="H2614" t="str">
        <f t="shared" si="123"/>
        <v/>
      </c>
      <c r="M2614" s="34">
        <f t="shared" si="124"/>
        <v>0</v>
      </c>
    </row>
    <row r="2615" spans="7:13" x14ac:dyDescent="0.25">
      <c r="G2615" s="10" t="str">
        <f t="shared" si="122"/>
        <v/>
      </c>
      <c r="H2615" t="str">
        <f t="shared" si="123"/>
        <v/>
      </c>
      <c r="M2615" s="34">
        <f t="shared" si="124"/>
        <v>0</v>
      </c>
    </row>
    <row r="2616" spans="7:13" x14ac:dyDescent="0.25">
      <c r="G2616" s="10" t="str">
        <f t="shared" si="122"/>
        <v/>
      </c>
      <c r="H2616" t="str">
        <f t="shared" si="123"/>
        <v/>
      </c>
      <c r="M2616" s="34">
        <f t="shared" si="124"/>
        <v>0</v>
      </c>
    </row>
    <row r="2617" spans="7:13" x14ac:dyDescent="0.25">
      <c r="G2617" s="10" t="str">
        <f t="shared" si="122"/>
        <v/>
      </c>
      <c r="H2617" t="str">
        <f t="shared" si="123"/>
        <v/>
      </c>
      <c r="M2617" s="34">
        <f t="shared" si="124"/>
        <v>0</v>
      </c>
    </row>
    <row r="2618" spans="7:13" x14ac:dyDescent="0.25">
      <c r="G2618" s="10" t="str">
        <f t="shared" si="122"/>
        <v/>
      </c>
      <c r="H2618" t="str">
        <f t="shared" si="123"/>
        <v/>
      </c>
      <c r="M2618" s="34">
        <f t="shared" si="124"/>
        <v>0</v>
      </c>
    </row>
    <row r="2619" spans="7:13" x14ac:dyDescent="0.25">
      <c r="G2619" s="10" t="str">
        <f t="shared" si="122"/>
        <v/>
      </c>
      <c r="H2619" t="str">
        <f t="shared" si="123"/>
        <v/>
      </c>
      <c r="M2619" s="34">
        <f t="shared" si="124"/>
        <v>0</v>
      </c>
    </row>
    <row r="2620" spans="7:13" x14ac:dyDescent="0.25">
      <c r="G2620" s="10" t="str">
        <f t="shared" si="122"/>
        <v/>
      </c>
      <c r="H2620" t="str">
        <f t="shared" si="123"/>
        <v/>
      </c>
      <c r="M2620" s="34">
        <f t="shared" si="124"/>
        <v>0</v>
      </c>
    </row>
    <row r="2621" spans="7:13" x14ac:dyDescent="0.25">
      <c r="G2621" s="10" t="str">
        <f t="shared" si="122"/>
        <v/>
      </c>
      <c r="H2621" t="str">
        <f t="shared" si="123"/>
        <v/>
      </c>
      <c r="M2621" s="34">
        <f t="shared" si="124"/>
        <v>0</v>
      </c>
    </row>
    <row r="2622" spans="7:13" x14ac:dyDescent="0.25">
      <c r="G2622" s="10" t="str">
        <f t="shared" si="122"/>
        <v/>
      </c>
      <c r="H2622" t="str">
        <f t="shared" si="123"/>
        <v/>
      </c>
      <c r="M2622" s="34">
        <f t="shared" si="124"/>
        <v>0</v>
      </c>
    </row>
    <row r="2623" spans="7:13" x14ac:dyDescent="0.25">
      <c r="G2623" s="10" t="str">
        <f t="shared" si="122"/>
        <v/>
      </c>
      <c r="H2623" t="str">
        <f t="shared" si="123"/>
        <v/>
      </c>
      <c r="M2623" s="34">
        <f t="shared" si="124"/>
        <v>0</v>
      </c>
    </row>
    <row r="2624" spans="7:13" x14ac:dyDescent="0.25">
      <c r="G2624" s="10" t="str">
        <f t="shared" si="122"/>
        <v/>
      </c>
      <c r="H2624" t="str">
        <f t="shared" si="123"/>
        <v/>
      </c>
      <c r="M2624" s="34">
        <f t="shared" si="124"/>
        <v>0</v>
      </c>
    </row>
    <row r="2625" spans="7:13" x14ac:dyDescent="0.25">
      <c r="G2625" s="10" t="str">
        <f t="shared" si="122"/>
        <v/>
      </c>
      <c r="H2625" t="str">
        <f t="shared" si="123"/>
        <v/>
      </c>
      <c r="M2625" s="34">
        <f t="shared" si="124"/>
        <v>0</v>
      </c>
    </row>
    <row r="2626" spans="7:13" x14ac:dyDescent="0.25">
      <c r="G2626" s="10" t="str">
        <f t="shared" ref="G2626:G2689" si="125">IF(F2626&gt;0,"RECETTE",IF(F2626&lt;0,"DÉPENSE",""))</f>
        <v/>
      </c>
      <c r="H2626" t="str">
        <f t="shared" ref="H2626:H2689" si="126">+IF(ISNUMBER(D2626),D2626,"")</f>
        <v/>
      </c>
      <c r="M2626" s="34">
        <f t="shared" si="124"/>
        <v>0</v>
      </c>
    </row>
    <row r="2627" spans="7:13" x14ac:dyDescent="0.25">
      <c r="G2627" s="10" t="str">
        <f t="shared" si="125"/>
        <v/>
      </c>
      <c r="H2627" t="str">
        <f t="shared" si="126"/>
        <v/>
      </c>
      <c r="M2627" s="34">
        <f t="shared" ref="M2627:M2690" si="127">IF(AND(E2627="Chèque",G2627="RECETTE"),F2627,0)</f>
        <v>0</v>
      </c>
    </row>
    <row r="2628" spans="7:13" x14ac:dyDescent="0.25">
      <c r="G2628" s="10" t="str">
        <f t="shared" si="125"/>
        <v/>
      </c>
      <c r="H2628" t="str">
        <f t="shared" si="126"/>
        <v/>
      </c>
      <c r="M2628" s="34">
        <f t="shared" si="127"/>
        <v>0</v>
      </c>
    </row>
    <row r="2629" spans="7:13" x14ac:dyDescent="0.25">
      <c r="G2629" s="10" t="str">
        <f t="shared" si="125"/>
        <v/>
      </c>
      <c r="H2629" t="str">
        <f t="shared" si="126"/>
        <v/>
      </c>
      <c r="M2629" s="34">
        <f t="shared" si="127"/>
        <v>0</v>
      </c>
    </row>
    <row r="2630" spans="7:13" x14ac:dyDescent="0.25">
      <c r="G2630" s="10" t="str">
        <f t="shared" si="125"/>
        <v/>
      </c>
      <c r="H2630" t="str">
        <f t="shared" si="126"/>
        <v/>
      </c>
      <c r="M2630" s="34">
        <f t="shared" si="127"/>
        <v>0</v>
      </c>
    </row>
    <row r="2631" spans="7:13" x14ac:dyDescent="0.25">
      <c r="G2631" s="10" t="str">
        <f t="shared" si="125"/>
        <v/>
      </c>
      <c r="H2631" t="str">
        <f t="shared" si="126"/>
        <v/>
      </c>
      <c r="M2631" s="34">
        <f t="shared" si="127"/>
        <v>0</v>
      </c>
    </row>
    <row r="2632" spans="7:13" x14ac:dyDescent="0.25">
      <c r="G2632" s="10" t="str">
        <f t="shared" si="125"/>
        <v/>
      </c>
      <c r="H2632" t="str">
        <f t="shared" si="126"/>
        <v/>
      </c>
      <c r="M2632" s="34">
        <f t="shared" si="127"/>
        <v>0</v>
      </c>
    </row>
    <row r="2633" spans="7:13" x14ac:dyDescent="0.25">
      <c r="G2633" s="10" t="str">
        <f t="shared" si="125"/>
        <v/>
      </c>
      <c r="H2633" t="str">
        <f t="shared" si="126"/>
        <v/>
      </c>
      <c r="M2633" s="34">
        <f t="shared" si="127"/>
        <v>0</v>
      </c>
    </row>
    <row r="2634" spans="7:13" x14ac:dyDescent="0.25">
      <c r="G2634" s="10" t="str">
        <f t="shared" si="125"/>
        <v/>
      </c>
      <c r="H2634" t="str">
        <f t="shared" si="126"/>
        <v/>
      </c>
      <c r="M2634" s="34">
        <f t="shared" si="127"/>
        <v>0</v>
      </c>
    </row>
    <row r="2635" spans="7:13" x14ac:dyDescent="0.25">
      <c r="G2635" s="10" t="str">
        <f t="shared" si="125"/>
        <v/>
      </c>
      <c r="H2635" t="str">
        <f t="shared" si="126"/>
        <v/>
      </c>
      <c r="M2635" s="34">
        <f t="shared" si="127"/>
        <v>0</v>
      </c>
    </row>
    <row r="2636" spans="7:13" x14ac:dyDescent="0.25">
      <c r="G2636" s="10" t="str">
        <f t="shared" si="125"/>
        <v/>
      </c>
      <c r="H2636" t="str">
        <f t="shared" si="126"/>
        <v/>
      </c>
      <c r="M2636" s="34">
        <f t="shared" si="127"/>
        <v>0</v>
      </c>
    </row>
    <row r="2637" spans="7:13" x14ac:dyDescent="0.25">
      <c r="G2637" s="10" t="str">
        <f t="shared" si="125"/>
        <v/>
      </c>
      <c r="H2637" t="str">
        <f t="shared" si="126"/>
        <v/>
      </c>
      <c r="M2637" s="34">
        <f t="shared" si="127"/>
        <v>0</v>
      </c>
    </row>
    <row r="2638" spans="7:13" x14ac:dyDescent="0.25">
      <c r="G2638" s="10" t="str">
        <f t="shared" si="125"/>
        <v/>
      </c>
      <c r="H2638" t="str">
        <f t="shared" si="126"/>
        <v/>
      </c>
      <c r="M2638" s="34">
        <f t="shared" si="127"/>
        <v>0</v>
      </c>
    </row>
    <row r="2639" spans="7:13" x14ac:dyDescent="0.25">
      <c r="G2639" s="10" t="str">
        <f t="shared" si="125"/>
        <v/>
      </c>
      <c r="H2639" t="str">
        <f t="shared" si="126"/>
        <v/>
      </c>
      <c r="M2639" s="34">
        <f t="shared" si="127"/>
        <v>0</v>
      </c>
    </row>
    <row r="2640" spans="7:13" x14ac:dyDescent="0.25">
      <c r="G2640" s="10" t="str">
        <f t="shared" si="125"/>
        <v/>
      </c>
      <c r="H2640" t="str">
        <f t="shared" si="126"/>
        <v/>
      </c>
      <c r="M2640" s="34">
        <f t="shared" si="127"/>
        <v>0</v>
      </c>
    </row>
    <row r="2641" spans="7:13" x14ac:dyDescent="0.25">
      <c r="G2641" s="10" t="str">
        <f t="shared" si="125"/>
        <v/>
      </c>
      <c r="H2641" t="str">
        <f t="shared" si="126"/>
        <v/>
      </c>
      <c r="M2641" s="34">
        <f t="shared" si="127"/>
        <v>0</v>
      </c>
    </row>
    <row r="2642" spans="7:13" x14ac:dyDescent="0.25">
      <c r="G2642" s="10" t="str">
        <f t="shared" si="125"/>
        <v/>
      </c>
      <c r="H2642" t="str">
        <f t="shared" si="126"/>
        <v/>
      </c>
      <c r="M2642" s="34">
        <f t="shared" si="127"/>
        <v>0</v>
      </c>
    </row>
    <row r="2643" spans="7:13" x14ac:dyDescent="0.25">
      <c r="G2643" s="10" t="str">
        <f t="shared" si="125"/>
        <v/>
      </c>
      <c r="H2643" t="str">
        <f t="shared" si="126"/>
        <v/>
      </c>
      <c r="M2643" s="34">
        <f t="shared" si="127"/>
        <v>0</v>
      </c>
    </row>
    <row r="2644" spans="7:13" x14ac:dyDescent="0.25">
      <c r="G2644" s="10" t="str">
        <f t="shared" si="125"/>
        <v/>
      </c>
      <c r="H2644" t="str">
        <f t="shared" si="126"/>
        <v/>
      </c>
      <c r="M2644" s="34">
        <f t="shared" si="127"/>
        <v>0</v>
      </c>
    </row>
    <row r="2645" spans="7:13" x14ac:dyDescent="0.25">
      <c r="G2645" s="10" t="str">
        <f t="shared" si="125"/>
        <v/>
      </c>
      <c r="H2645" t="str">
        <f t="shared" si="126"/>
        <v/>
      </c>
      <c r="M2645" s="34">
        <f t="shared" si="127"/>
        <v>0</v>
      </c>
    </row>
    <row r="2646" spans="7:13" x14ac:dyDescent="0.25">
      <c r="G2646" s="10" t="str">
        <f t="shared" si="125"/>
        <v/>
      </c>
      <c r="H2646" t="str">
        <f t="shared" si="126"/>
        <v/>
      </c>
      <c r="M2646" s="34">
        <f t="shared" si="127"/>
        <v>0</v>
      </c>
    </row>
    <row r="2647" spans="7:13" x14ac:dyDescent="0.25">
      <c r="G2647" s="10" t="str">
        <f t="shared" si="125"/>
        <v/>
      </c>
      <c r="H2647" t="str">
        <f t="shared" si="126"/>
        <v/>
      </c>
      <c r="M2647" s="34">
        <f t="shared" si="127"/>
        <v>0</v>
      </c>
    </row>
    <row r="2648" spans="7:13" x14ac:dyDescent="0.25">
      <c r="G2648" s="10" t="str">
        <f t="shared" si="125"/>
        <v/>
      </c>
      <c r="H2648" t="str">
        <f t="shared" si="126"/>
        <v/>
      </c>
      <c r="M2648" s="34">
        <f t="shared" si="127"/>
        <v>0</v>
      </c>
    </row>
    <row r="2649" spans="7:13" x14ac:dyDescent="0.25">
      <c r="G2649" s="10" t="str">
        <f t="shared" si="125"/>
        <v/>
      </c>
      <c r="H2649" t="str">
        <f t="shared" si="126"/>
        <v/>
      </c>
      <c r="M2649" s="34">
        <f t="shared" si="127"/>
        <v>0</v>
      </c>
    </row>
    <row r="2650" spans="7:13" x14ac:dyDescent="0.25">
      <c r="G2650" s="10" t="str">
        <f t="shared" si="125"/>
        <v/>
      </c>
      <c r="H2650" t="str">
        <f t="shared" si="126"/>
        <v/>
      </c>
      <c r="M2650" s="34">
        <f t="shared" si="127"/>
        <v>0</v>
      </c>
    </row>
    <row r="2651" spans="7:13" x14ac:dyDescent="0.25">
      <c r="G2651" s="10" t="str">
        <f t="shared" si="125"/>
        <v/>
      </c>
      <c r="H2651" t="str">
        <f t="shared" si="126"/>
        <v/>
      </c>
      <c r="M2651" s="34">
        <f t="shared" si="127"/>
        <v>0</v>
      </c>
    </row>
    <row r="2652" spans="7:13" x14ac:dyDescent="0.25">
      <c r="G2652" s="10" t="str">
        <f t="shared" si="125"/>
        <v/>
      </c>
      <c r="H2652" t="str">
        <f t="shared" si="126"/>
        <v/>
      </c>
      <c r="M2652" s="34">
        <f t="shared" si="127"/>
        <v>0</v>
      </c>
    </row>
    <row r="2653" spans="7:13" x14ac:dyDescent="0.25">
      <c r="G2653" s="10" t="str">
        <f t="shared" si="125"/>
        <v/>
      </c>
      <c r="H2653" t="str">
        <f t="shared" si="126"/>
        <v/>
      </c>
      <c r="M2653" s="34">
        <f t="shared" si="127"/>
        <v>0</v>
      </c>
    </row>
    <row r="2654" spans="7:13" x14ac:dyDescent="0.25">
      <c r="G2654" s="10" t="str">
        <f t="shared" si="125"/>
        <v/>
      </c>
      <c r="H2654" t="str">
        <f t="shared" si="126"/>
        <v/>
      </c>
      <c r="M2654" s="34">
        <f t="shared" si="127"/>
        <v>0</v>
      </c>
    </row>
    <row r="2655" spans="7:13" x14ac:dyDescent="0.25">
      <c r="G2655" s="10" t="str">
        <f t="shared" si="125"/>
        <v/>
      </c>
      <c r="H2655" t="str">
        <f t="shared" si="126"/>
        <v/>
      </c>
      <c r="M2655" s="34">
        <f t="shared" si="127"/>
        <v>0</v>
      </c>
    </row>
    <row r="2656" spans="7:13" x14ac:dyDescent="0.25">
      <c r="G2656" s="10" t="str">
        <f t="shared" si="125"/>
        <v/>
      </c>
      <c r="H2656" t="str">
        <f t="shared" si="126"/>
        <v/>
      </c>
      <c r="M2656" s="34">
        <f t="shared" si="127"/>
        <v>0</v>
      </c>
    </row>
    <row r="2657" spans="7:13" x14ac:dyDescent="0.25">
      <c r="G2657" s="10" t="str">
        <f t="shared" si="125"/>
        <v/>
      </c>
      <c r="H2657" t="str">
        <f t="shared" si="126"/>
        <v/>
      </c>
      <c r="M2657" s="34">
        <f t="shared" si="127"/>
        <v>0</v>
      </c>
    </row>
    <row r="2658" spans="7:13" x14ac:dyDescent="0.25">
      <c r="G2658" s="10" t="str">
        <f t="shared" si="125"/>
        <v/>
      </c>
      <c r="H2658" t="str">
        <f t="shared" si="126"/>
        <v/>
      </c>
      <c r="M2658" s="34">
        <f t="shared" si="127"/>
        <v>0</v>
      </c>
    </row>
    <row r="2659" spans="7:13" x14ac:dyDescent="0.25">
      <c r="G2659" s="10" t="str">
        <f t="shared" si="125"/>
        <v/>
      </c>
      <c r="H2659" t="str">
        <f t="shared" si="126"/>
        <v/>
      </c>
      <c r="M2659" s="34">
        <f t="shared" si="127"/>
        <v>0</v>
      </c>
    </row>
    <row r="2660" spans="7:13" x14ac:dyDescent="0.25">
      <c r="G2660" s="10" t="str">
        <f t="shared" si="125"/>
        <v/>
      </c>
      <c r="H2660" t="str">
        <f t="shared" si="126"/>
        <v/>
      </c>
      <c r="M2660" s="34">
        <f t="shared" si="127"/>
        <v>0</v>
      </c>
    </row>
    <row r="2661" spans="7:13" x14ac:dyDescent="0.25">
      <c r="G2661" s="10" t="str">
        <f t="shared" si="125"/>
        <v/>
      </c>
      <c r="H2661" t="str">
        <f t="shared" si="126"/>
        <v/>
      </c>
      <c r="M2661" s="34">
        <f t="shared" si="127"/>
        <v>0</v>
      </c>
    </row>
    <row r="2662" spans="7:13" x14ac:dyDescent="0.25">
      <c r="G2662" s="10" t="str">
        <f t="shared" si="125"/>
        <v/>
      </c>
      <c r="H2662" t="str">
        <f t="shared" si="126"/>
        <v/>
      </c>
      <c r="M2662" s="34">
        <f t="shared" si="127"/>
        <v>0</v>
      </c>
    </row>
    <row r="2663" spans="7:13" x14ac:dyDescent="0.25">
      <c r="G2663" s="10" t="str">
        <f t="shared" si="125"/>
        <v/>
      </c>
      <c r="H2663" t="str">
        <f t="shared" si="126"/>
        <v/>
      </c>
      <c r="M2663" s="34">
        <f t="shared" si="127"/>
        <v>0</v>
      </c>
    </row>
    <row r="2664" spans="7:13" x14ac:dyDescent="0.25">
      <c r="G2664" s="10" t="str">
        <f t="shared" si="125"/>
        <v/>
      </c>
      <c r="H2664" t="str">
        <f t="shared" si="126"/>
        <v/>
      </c>
      <c r="M2664" s="34">
        <f t="shared" si="127"/>
        <v>0</v>
      </c>
    </row>
    <row r="2665" spans="7:13" x14ac:dyDescent="0.25">
      <c r="G2665" s="10" t="str">
        <f t="shared" si="125"/>
        <v/>
      </c>
      <c r="H2665" t="str">
        <f t="shared" si="126"/>
        <v/>
      </c>
      <c r="M2665" s="34">
        <f t="shared" si="127"/>
        <v>0</v>
      </c>
    </row>
    <row r="2666" spans="7:13" x14ac:dyDescent="0.25">
      <c r="G2666" s="10" t="str">
        <f t="shared" si="125"/>
        <v/>
      </c>
      <c r="H2666" t="str">
        <f t="shared" si="126"/>
        <v/>
      </c>
      <c r="M2666" s="34">
        <f t="shared" si="127"/>
        <v>0</v>
      </c>
    </row>
    <row r="2667" spans="7:13" x14ac:dyDescent="0.25">
      <c r="G2667" s="10" t="str">
        <f t="shared" si="125"/>
        <v/>
      </c>
      <c r="H2667" t="str">
        <f t="shared" si="126"/>
        <v/>
      </c>
      <c r="M2667" s="34">
        <f t="shared" si="127"/>
        <v>0</v>
      </c>
    </row>
    <row r="2668" spans="7:13" x14ac:dyDescent="0.25">
      <c r="G2668" s="10" t="str">
        <f t="shared" si="125"/>
        <v/>
      </c>
      <c r="H2668" t="str">
        <f t="shared" si="126"/>
        <v/>
      </c>
      <c r="M2668" s="34">
        <f t="shared" si="127"/>
        <v>0</v>
      </c>
    </row>
    <row r="2669" spans="7:13" x14ac:dyDescent="0.25">
      <c r="G2669" s="10" t="str">
        <f t="shared" si="125"/>
        <v/>
      </c>
      <c r="H2669" t="str">
        <f t="shared" si="126"/>
        <v/>
      </c>
      <c r="M2669" s="34">
        <f t="shared" si="127"/>
        <v>0</v>
      </c>
    </row>
    <row r="2670" spans="7:13" x14ac:dyDescent="0.25">
      <c r="G2670" s="10" t="str">
        <f t="shared" si="125"/>
        <v/>
      </c>
      <c r="H2670" t="str">
        <f t="shared" si="126"/>
        <v/>
      </c>
      <c r="M2670" s="34">
        <f t="shared" si="127"/>
        <v>0</v>
      </c>
    </row>
    <row r="2671" spans="7:13" x14ac:dyDescent="0.25">
      <c r="G2671" s="10" t="str">
        <f t="shared" si="125"/>
        <v/>
      </c>
      <c r="H2671" t="str">
        <f t="shared" si="126"/>
        <v/>
      </c>
      <c r="M2671" s="34">
        <f t="shared" si="127"/>
        <v>0</v>
      </c>
    </row>
    <row r="2672" spans="7:13" x14ac:dyDescent="0.25">
      <c r="G2672" s="10" t="str">
        <f t="shared" si="125"/>
        <v/>
      </c>
      <c r="H2672" t="str">
        <f t="shared" si="126"/>
        <v/>
      </c>
      <c r="M2672" s="34">
        <f t="shared" si="127"/>
        <v>0</v>
      </c>
    </row>
    <row r="2673" spans="7:13" x14ac:dyDescent="0.25">
      <c r="G2673" s="10" t="str">
        <f t="shared" si="125"/>
        <v/>
      </c>
      <c r="H2673" t="str">
        <f t="shared" si="126"/>
        <v/>
      </c>
      <c r="M2673" s="34">
        <f t="shared" si="127"/>
        <v>0</v>
      </c>
    </row>
    <row r="2674" spans="7:13" x14ac:dyDescent="0.25">
      <c r="G2674" s="10" t="str">
        <f t="shared" si="125"/>
        <v/>
      </c>
      <c r="H2674" t="str">
        <f t="shared" si="126"/>
        <v/>
      </c>
      <c r="M2674" s="34">
        <f t="shared" si="127"/>
        <v>0</v>
      </c>
    </row>
    <row r="2675" spans="7:13" x14ac:dyDescent="0.25">
      <c r="G2675" s="10" t="str">
        <f t="shared" si="125"/>
        <v/>
      </c>
      <c r="H2675" t="str">
        <f t="shared" si="126"/>
        <v/>
      </c>
      <c r="M2675" s="34">
        <f t="shared" si="127"/>
        <v>0</v>
      </c>
    </row>
    <row r="2676" spans="7:13" x14ac:dyDescent="0.25">
      <c r="G2676" s="10" t="str">
        <f t="shared" si="125"/>
        <v/>
      </c>
      <c r="H2676" t="str">
        <f t="shared" si="126"/>
        <v/>
      </c>
      <c r="M2676" s="34">
        <f t="shared" si="127"/>
        <v>0</v>
      </c>
    </row>
    <row r="2677" spans="7:13" x14ac:dyDescent="0.25">
      <c r="G2677" s="10" t="str">
        <f t="shared" si="125"/>
        <v/>
      </c>
      <c r="H2677" t="str">
        <f t="shared" si="126"/>
        <v/>
      </c>
      <c r="M2677" s="34">
        <f t="shared" si="127"/>
        <v>0</v>
      </c>
    </row>
    <row r="2678" spans="7:13" x14ac:dyDescent="0.25">
      <c r="G2678" s="10" t="str">
        <f t="shared" si="125"/>
        <v/>
      </c>
      <c r="H2678" t="str">
        <f t="shared" si="126"/>
        <v/>
      </c>
      <c r="M2678" s="34">
        <f t="shared" si="127"/>
        <v>0</v>
      </c>
    </row>
    <row r="2679" spans="7:13" x14ac:dyDescent="0.25">
      <c r="G2679" s="10" t="str">
        <f t="shared" si="125"/>
        <v/>
      </c>
      <c r="H2679" t="str">
        <f t="shared" si="126"/>
        <v/>
      </c>
      <c r="M2679" s="34">
        <f t="shared" si="127"/>
        <v>0</v>
      </c>
    </row>
    <row r="2680" spans="7:13" x14ac:dyDescent="0.25">
      <c r="G2680" s="10" t="str">
        <f t="shared" si="125"/>
        <v/>
      </c>
      <c r="H2680" t="str">
        <f t="shared" si="126"/>
        <v/>
      </c>
      <c r="M2680" s="34">
        <f t="shared" si="127"/>
        <v>0</v>
      </c>
    </row>
    <row r="2681" spans="7:13" x14ac:dyDescent="0.25">
      <c r="G2681" s="10" t="str">
        <f t="shared" si="125"/>
        <v/>
      </c>
      <c r="H2681" t="str">
        <f t="shared" si="126"/>
        <v/>
      </c>
      <c r="M2681" s="34">
        <f t="shared" si="127"/>
        <v>0</v>
      </c>
    </row>
    <row r="2682" spans="7:13" x14ac:dyDescent="0.25">
      <c r="G2682" s="10" t="str">
        <f t="shared" si="125"/>
        <v/>
      </c>
      <c r="H2682" t="str">
        <f t="shared" si="126"/>
        <v/>
      </c>
      <c r="M2682" s="34">
        <f t="shared" si="127"/>
        <v>0</v>
      </c>
    </row>
    <row r="2683" spans="7:13" x14ac:dyDescent="0.25">
      <c r="G2683" s="10" t="str">
        <f t="shared" si="125"/>
        <v/>
      </c>
      <c r="H2683" t="str">
        <f t="shared" si="126"/>
        <v/>
      </c>
      <c r="M2683" s="34">
        <f t="shared" si="127"/>
        <v>0</v>
      </c>
    </row>
    <row r="2684" spans="7:13" x14ac:dyDescent="0.25">
      <c r="G2684" s="10" t="str">
        <f t="shared" si="125"/>
        <v/>
      </c>
      <c r="H2684" t="str">
        <f t="shared" si="126"/>
        <v/>
      </c>
      <c r="M2684" s="34">
        <f t="shared" si="127"/>
        <v>0</v>
      </c>
    </row>
    <row r="2685" spans="7:13" x14ac:dyDescent="0.25">
      <c r="G2685" s="10" t="str">
        <f t="shared" si="125"/>
        <v/>
      </c>
      <c r="H2685" t="str">
        <f t="shared" si="126"/>
        <v/>
      </c>
      <c r="M2685" s="34">
        <f t="shared" si="127"/>
        <v>0</v>
      </c>
    </row>
    <row r="2686" spans="7:13" x14ac:dyDescent="0.25">
      <c r="G2686" s="10" t="str">
        <f t="shared" si="125"/>
        <v/>
      </c>
      <c r="H2686" t="str">
        <f t="shared" si="126"/>
        <v/>
      </c>
      <c r="M2686" s="34">
        <f t="shared" si="127"/>
        <v>0</v>
      </c>
    </row>
    <row r="2687" spans="7:13" x14ac:dyDescent="0.25">
      <c r="G2687" s="10" t="str">
        <f t="shared" si="125"/>
        <v/>
      </c>
      <c r="H2687" t="str">
        <f t="shared" si="126"/>
        <v/>
      </c>
      <c r="M2687" s="34">
        <f t="shared" si="127"/>
        <v>0</v>
      </c>
    </row>
    <row r="2688" spans="7:13" x14ac:dyDescent="0.25">
      <c r="G2688" s="10" t="str">
        <f t="shared" si="125"/>
        <v/>
      </c>
      <c r="H2688" t="str">
        <f t="shared" si="126"/>
        <v/>
      </c>
      <c r="M2688" s="34">
        <f t="shared" si="127"/>
        <v>0</v>
      </c>
    </row>
    <row r="2689" spans="7:13" x14ac:dyDescent="0.25">
      <c r="G2689" s="10" t="str">
        <f t="shared" si="125"/>
        <v/>
      </c>
      <c r="H2689" t="str">
        <f t="shared" si="126"/>
        <v/>
      </c>
      <c r="M2689" s="34">
        <f t="shared" si="127"/>
        <v>0</v>
      </c>
    </row>
    <row r="2690" spans="7:13" x14ac:dyDescent="0.25">
      <c r="G2690" s="10" t="str">
        <f t="shared" ref="G2690:G2753" si="128">IF(F2690&gt;0,"RECETTE",IF(F2690&lt;0,"DÉPENSE",""))</f>
        <v/>
      </c>
      <c r="H2690" t="str">
        <f t="shared" ref="H2690:H2753" si="129">+IF(ISNUMBER(D2690),D2690,"")</f>
        <v/>
      </c>
      <c r="M2690" s="34">
        <f t="shared" si="127"/>
        <v>0</v>
      </c>
    </row>
    <row r="2691" spans="7:13" x14ac:dyDescent="0.25">
      <c r="G2691" s="10" t="str">
        <f t="shared" si="128"/>
        <v/>
      </c>
      <c r="H2691" t="str">
        <f t="shared" si="129"/>
        <v/>
      </c>
      <c r="M2691" s="34">
        <f t="shared" ref="M2691:M2754" si="130">IF(AND(E2691="Chèque",G2691="RECETTE"),F2691,0)</f>
        <v>0</v>
      </c>
    </row>
    <row r="2692" spans="7:13" x14ac:dyDescent="0.25">
      <c r="G2692" s="10" t="str">
        <f t="shared" si="128"/>
        <v/>
      </c>
      <c r="H2692" t="str">
        <f t="shared" si="129"/>
        <v/>
      </c>
      <c r="M2692" s="34">
        <f t="shared" si="130"/>
        <v>0</v>
      </c>
    </row>
    <row r="2693" spans="7:13" x14ac:dyDescent="0.25">
      <c r="G2693" s="10" t="str">
        <f t="shared" si="128"/>
        <v/>
      </c>
      <c r="H2693" t="str">
        <f t="shared" si="129"/>
        <v/>
      </c>
      <c r="M2693" s="34">
        <f t="shared" si="130"/>
        <v>0</v>
      </c>
    </row>
    <row r="2694" spans="7:13" x14ac:dyDescent="0.25">
      <c r="G2694" s="10" t="str">
        <f t="shared" si="128"/>
        <v/>
      </c>
      <c r="H2694" t="str">
        <f t="shared" si="129"/>
        <v/>
      </c>
      <c r="M2694" s="34">
        <f t="shared" si="130"/>
        <v>0</v>
      </c>
    </row>
    <row r="2695" spans="7:13" x14ac:dyDescent="0.25">
      <c r="G2695" s="10" t="str">
        <f t="shared" si="128"/>
        <v/>
      </c>
      <c r="H2695" t="str">
        <f t="shared" si="129"/>
        <v/>
      </c>
      <c r="M2695" s="34">
        <f t="shared" si="130"/>
        <v>0</v>
      </c>
    </row>
    <row r="2696" spans="7:13" x14ac:dyDescent="0.25">
      <c r="G2696" s="10" t="str">
        <f t="shared" si="128"/>
        <v/>
      </c>
      <c r="H2696" t="str">
        <f t="shared" si="129"/>
        <v/>
      </c>
      <c r="M2696" s="34">
        <f t="shared" si="130"/>
        <v>0</v>
      </c>
    </row>
    <row r="2697" spans="7:13" x14ac:dyDescent="0.25">
      <c r="G2697" s="10" t="str">
        <f t="shared" si="128"/>
        <v/>
      </c>
      <c r="H2697" t="str">
        <f t="shared" si="129"/>
        <v/>
      </c>
      <c r="M2697" s="34">
        <f t="shared" si="130"/>
        <v>0</v>
      </c>
    </row>
    <row r="2698" spans="7:13" x14ac:dyDescent="0.25">
      <c r="G2698" s="10" t="str">
        <f t="shared" si="128"/>
        <v/>
      </c>
      <c r="H2698" t="str">
        <f t="shared" si="129"/>
        <v/>
      </c>
      <c r="M2698" s="34">
        <f t="shared" si="130"/>
        <v>0</v>
      </c>
    </row>
    <row r="2699" spans="7:13" x14ac:dyDescent="0.25">
      <c r="G2699" s="10" t="str">
        <f t="shared" si="128"/>
        <v/>
      </c>
      <c r="H2699" t="str">
        <f t="shared" si="129"/>
        <v/>
      </c>
      <c r="M2699" s="34">
        <f t="shared" si="130"/>
        <v>0</v>
      </c>
    </row>
    <row r="2700" spans="7:13" x14ac:dyDescent="0.25">
      <c r="G2700" s="10" t="str">
        <f t="shared" si="128"/>
        <v/>
      </c>
      <c r="H2700" t="str">
        <f t="shared" si="129"/>
        <v/>
      </c>
      <c r="M2700" s="34">
        <f t="shared" si="130"/>
        <v>0</v>
      </c>
    </row>
    <row r="2701" spans="7:13" x14ac:dyDescent="0.25">
      <c r="G2701" s="10" t="str">
        <f t="shared" si="128"/>
        <v/>
      </c>
      <c r="H2701" t="str">
        <f t="shared" si="129"/>
        <v/>
      </c>
      <c r="M2701" s="34">
        <f t="shared" si="130"/>
        <v>0</v>
      </c>
    </row>
    <row r="2702" spans="7:13" x14ac:dyDescent="0.25">
      <c r="G2702" s="10" t="str">
        <f t="shared" si="128"/>
        <v/>
      </c>
      <c r="H2702" t="str">
        <f t="shared" si="129"/>
        <v/>
      </c>
      <c r="M2702" s="34">
        <f t="shared" si="130"/>
        <v>0</v>
      </c>
    </row>
    <row r="2703" spans="7:13" x14ac:dyDescent="0.25">
      <c r="G2703" s="10" t="str">
        <f t="shared" si="128"/>
        <v/>
      </c>
      <c r="H2703" t="str">
        <f t="shared" si="129"/>
        <v/>
      </c>
      <c r="M2703" s="34">
        <f t="shared" si="130"/>
        <v>0</v>
      </c>
    </row>
    <row r="2704" spans="7:13" x14ac:dyDescent="0.25">
      <c r="G2704" s="10" t="str">
        <f t="shared" si="128"/>
        <v/>
      </c>
      <c r="H2704" t="str">
        <f t="shared" si="129"/>
        <v/>
      </c>
      <c r="M2704" s="34">
        <f t="shared" si="130"/>
        <v>0</v>
      </c>
    </row>
    <row r="2705" spans="7:13" x14ac:dyDescent="0.25">
      <c r="G2705" s="10" t="str">
        <f t="shared" si="128"/>
        <v/>
      </c>
      <c r="H2705" t="str">
        <f t="shared" si="129"/>
        <v/>
      </c>
      <c r="M2705" s="34">
        <f t="shared" si="130"/>
        <v>0</v>
      </c>
    </row>
    <row r="2706" spans="7:13" x14ac:dyDescent="0.25">
      <c r="G2706" s="10" t="str">
        <f t="shared" si="128"/>
        <v/>
      </c>
      <c r="H2706" t="str">
        <f t="shared" si="129"/>
        <v/>
      </c>
      <c r="M2706" s="34">
        <f t="shared" si="130"/>
        <v>0</v>
      </c>
    </row>
    <row r="2707" spans="7:13" x14ac:dyDescent="0.25">
      <c r="G2707" s="10" t="str">
        <f t="shared" si="128"/>
        <v/>
      </c>
      <c r="H2707" t="str">
        <f t="shared" si="129"/>
        <v/>
      </c>
      <c r="M2707" s="34">
        <f t="shared" si="130"/>
        <v>0</v>
      </c>
    </row>
    <row r="2708" spans="7:13" x14ac:dyDescent="0.25">
      <c r="G2708" s="10" t="str">
        <f t="shared" si="128"/>
        <v/>
      </c>
      <c r="H2708" t="str">
        <f t="shared" si="129"/>
        <v/>
      </c>
      <c r="M2708" s="34">
        <f t="shared" si="130"/>
        <v>0</v>
      </c>
    </row>
    <row r="2709" spans="7:13" x14ac:dyDescent="0.25">
      <c r="G2709" s="10" t="str">
        <f t="shared" si="128"/>
        <v/>
      </c>
      <c r="H2709" t="str">
        <f t="shared" si="129"/>
        <v/>
      </c>
      <c r="M2709" s="34">
        <f t="shared" si="130"/>
        <v>0</v>
      </c>
    </row>
    <row r="2710" spans="7:13" x14ac:dyDescent="0.25">
      <c r="G2710" s="10" t="str">
        <f t="shared" si="128"/>
        <v/>
      </c>
      <c r="H2710" t="str">
        <f t="shared" si="129"/>
        <v/>
      </c>
      <c r="M2710" s="34">
        <f t="shared" si="130"/>
        <v>0</v>
      </c>
    </row>
    <row r="2711" spans="7:13" x14ac:dyDescent="0.25">
      <c r="G2711" s="10" t="str">
        <f t="shared" si="128"/>
        <v/>
      </c>
      <c r="H2711" t="str">
        <f t="shared" si="129"/>
        <v/>
      </c>
      <c r="M2711" s="34">
        <f t="shared" si="130"/>
        <v>0</v>
      </c>
    </row>
    <row r="2712" spans="7:13" x14ac:dyDescent="0.25">
      <c r="G2712" s="10" t="str">
        <f t="shared" si="128"/>
        <v/>
      </c>
      <c r="H2712" t="str">
        <f t="shared" si="129"/>
        <v/>
      </c>
      <c r="M2712" s="34">
        <f t="shared" si="130"/>
        <v>0</v>
      </c>
    </row>
    <row r="2713" spans="7:13" x14ac:dyDescent="0.25">
      <c r="G2713" s="10" t="str">
        <f t="shared" si="128"/>
        <v/>
      </c>
      <c r="H2713" t="str">
        <f t="shared" si="129"/>
        <v/>
      </c>
      <c r="M2713" s="34">
        <f t="shared" si="130"/>
        <v>0</v>
      </c>
    </row>
    <row r="2714" spans="7:13" x14ac:dyDescent="0.25">
      <c r="G2714" s="10" t="str">
        <f t="shared" si="128"/>
        <v/>
      </c>
      <c r="H2714" t="str">
        <f t="shared" si="129"/>
        <v/>
      </c>
      <c r="M2714" s="34">
        <f t="shared" si="130"/>
        <v>0</v>
      </c>
    </row>
    <row r="2715" spans="7:13" x14ac:dyDescent="0.25">
      <c r="G2715" s="10" t="str">
        <f t="shared" si="128"/>
        <v/>
      </c>
      <c r="H2715" t="str">
        <f t="shared" si="129"/>
        <v/>
      </c>
      <c r="M2715" s="34">
        <f t="shared" si="130"/>
        <v>0</v>
      </c>
    </row>
    <row r="2716" spans="7:13" x14ac:dyDescent="0.25">
      <c r="G2716" s="10" t="str">
        <f t="shared" si="128"/>
        <v/>
      </c>
      <c r="H2716" t="str">
        <f t="shared" si="129"/>
        <v/>
      </c>
      <c r="M2716" s="34">
        <f t="shared" si="130"/>
        <v>0</v>
      </c>
    </row>
    <row r="2717" spans="7:13" x14ac:dyDescent="0.25">
      <c r="G2717" s="10" t="str">
        <f t="shared" si="128"/>
        <v/>
      </c>
      <c r="H2717" t="str">
        <f t="shared" si="129"/>
        <v/>
      </c>
      <c r="M2717" s="34">
        <f t="shared" si="130"/>
        <v>0</v>
      </c>
    </row>
    <row r="2718" spans="7:13" x14ac:dyDescent="0.25">
      <c r="G2718" s="10" t="str">
        <f t="shared" si="128"/>
        <v/>
      </c>
      <c r="H2718" t="str">
        <f t="shared" si="129"/>
        <v/>
      </c>
      <c r="M2718" s="34">
        <f t="shared" si="130"/>
        <v>0</v>
      </c>
    </row>
    <row r="2719" spans="7:13" x14ac:dyDescent="0.25">
      <c r="G2719" s="10" t="str">
        <f t="shared" si="128"/>
        <v/>
      </c>
      <c r="H2719" t="str">
        <f t="shared" si="129"/>
        <v/>
      </c>
      <c r="M2719" s="34">
        <f t="shared" si="130"/>
        <v>0</v>
      </c>
    </row>
    <row r="2720" spans="7:13" x14ac:dyDescent="0.25">
      <c r="G2720" s="10" t="str">
        <f t="shared" si="128"/>
        <v/>
      </c>
      <c r="H2720" t="str">
        <f t="shared" si="129"/>
        <v/>
      </c>
      <c r="M2720" s="34">
        <f t="shared" si="130"/>
        <v>0</v>
      </c>
    </row>
    <row r="2721" spans="7:13" x14ac:dyDescent="0.25">
      <c r="G2721" s="10" t="str">
        <f t="shared" si="128"/>
        <v/>
      </c>
      <c r="H2721" t="str">
        <f t="shared" si="129"/>
        <v/>
      </c>
      <c r="M2721" s="34">
        <f t="shared" si="130"/>
        <v>0</v>
      </c>
    </row>
    <row r="2722" spans="7:13" x14ac:dyDescent="0.25">
      <c r="G2722" s="10" t="str">
        <f t="shared" si="128"/>
        <v/>
      </c>
      <c r="H2722" t="str">
        <f t="shared" si="129"/>
        <v/>
      </c>
      <c r="M2722" s="34">
        <f t="shared" si="130"/>
        <v>0</v>
      </c>
    </row>
    <row r="2723" spans="7:13" x14ac:dyDescent="0.25">
      <c r="G2723" s="10" t="str">
        <f t="shared" si="128"/>
        <v/>
      </c>
      <c r="H2723" t="str">
        <f t="shared" si="129"/>
        <v/>
      </c>
      <c r="M2723" s="34">
        <f t="shared" si="130"/>
        <v>0</v>
      </c>
    </row>
    <row r="2724" spans="7:13" x14ac:dyDescent="0.25">
      <c r="G2724" s="10" t="str">
        <f t="shared" si="128"/>
        <v/>
      </c>
      <c r="H2724" t="str">
        <f t="shared" si="129"/>
        <v/>
      </c>
      <c r="M2724" s="34">
        <f t="shared" si="130"/>
        <v>0</v>
      </c>
    </row>
    <row r="2725" spans="7:13" x14ac:dyDescent="0.25">
      <c r="G2725" s="10" t="str">
        <f t="shared" si="128"/>
        <v/>
      </c>
      <c r="H2725" t="str">
        <f t="shared" si="129"/>
        <v/>
      </c>
      <c r="M2725" s="34">
        <f t="shared" si="130"/>
        <v>0</v>
      </c>
    </row>
    <row r="2726" spans="7:13" x14ac:dyDescent="0.25">
      <c r="G2726" s="10" t="str">
        <f t="shared" si="128"/>
        <v/>
      </c>
      <c r="H2726" t="str">
        <f t="shared" si="129"/>
        <v/>
      </c>
      <c r="M2726" s="34">
        <f t="shared" si="130"/>
        <v>0</v>
      </c>
    </row>
    <row r="2727" spans="7:13" x14ac:dyDescent="0.25">
      <c r="G2727" s="10" t="str">
        <f t="shared" si="128"/>
        <v/>
      </c>
      <c r="H2727" t="str">
        <f t="shared" si="129"/>
        <v/>
      </c>
      <c r="M2727" s="34">
        <f t="shared" si="130"/>
        <v>0</v>
      </c>
    </row>
    <row r="2728" spans="7:13" x14ac:dyDescent="0.25">
      <c r="G2728" s="10" t="str">
        <f t="shared" si="128"/>
        <v/>
      </c>
      <c r="H2728" t="str">
        <f t="shared" si="129"/>
        <v/>
      </c>
      <c r="M2728" s="34">
        <f t="shared" si="130"/>
        <v>0</v>
      </c>
    </row>
    <row r="2729" spans="7:13" x14ac:dyDescent="0.25">
      <c r="G2729" s="10" t="str">
        <f t="shared" si="128"/>
        <v/>
      </c>
      <c r="H2729" t="str">
        <f t="shared" si="129"/>
        <v/>
      </c>
      <c r="M2729" s="34">
        <f t="shared" si="130"/>
        <v>0</v>
      </c>
    </row>
    <row r="2730" spans="7:13" x14ac:dyDescent="0.25">
      <c r="G2730" s="10" t="str">
        <f t="shared" si="128"/>
        <v/>
      </c>
      <c r="H2730" t="str">
        <f t="shared" si="129"/>
        <v/>
      </c>
      <c r="M2730" s="34">
        <f t="shared" si="130"/>
        <v>0</v>
      </c>
    </row>
    <row r="2731" spans="7:13" x14ac:dyDescent="0.25">
      <c r="G2731" s="10" t="str">
        <f t="shared" si="128"/>
        <v/>
      </c>
      <c r="H2731" t="str">
        <f t="shared" si="129"/>
        <v/>
      </c>
      <c r="M2731" s="34">
        <f t="shared" si="130"/>
        <v>0</v>
      </c>
    </row>
    <row r="2732" spans="7:13" x14ac:dyDescent="0.25">
      <c r="G2732" s="10" t="str">
        <f t="shared" si="128"/>
        <v/>
      </c>
      <c r="H2732" t="str">
        <f t="shared" si="129"/>
        <v/>
      </c>
      <c r="M2732" s="34">
        <f t="shared" si="130"/>
        <v>0</v>
      </c>
    </row>
    <row r="2733" spans="7:13" x14ac:dyDescent="0.25">
      <c r="G2733" s="10" t="str">
        <f t="shared" si="128"/>
        <v/>
      </c>
      <c r="H2733" t="str">
        <f t="shared" si="129"/>
        <v/>
      </c>
      <c r="M2733" s="34">
        <f t="shared" si="130"/>
        <v>0</v>
      </c>
    </row>
    <row r="2734" spans="7:13" x14ac:dyDescent="0.25">
      <c r="G2734" s="10" t="str">
        <f t="shared" si="128"/>
        <v/>
      </c>
      <c r="H2734" t="str">
        <f t="shared" si="129"/>
        <v/>
      </c>
      <c r="M2734" s="34">
        <f t="shared" si="130"/>
        <v>0</v>
      </c>
    </row>
    <row r="2735" spans="7:13" x14ac:dyDescent="0.25">
      <c r="G2735" s="10" t="str">
        <f t="shared" si="128"/>
        <v/>
      </c>
      <c r="H2735" t="str">
        <f t="shared" si="129"/>
        <v/>
      </c>
      <c r="M2735" s="34">
        <f t="shared" si="130"/>
        <v>0</v>
      </c>
    </row>
    <row r="2736" spans="7:13" x14ac:dyDescent="0.25">
      <c r="G2736" s="10" t="str">
        <f t="shared" si="128"/>
        <v/>
      </c>
      <c r="H2736" t="str">
        <f t="shared" si="129"/>
        <v/>
      </c>
      <c r="M2736" s="34">
        <f t="shared" si="130"/>
        <v>0</v>
      </c>
    </row>
    <row r="2737" spans="7:13" x14ac:dyDescent="0.25">
      <c r="G2737" s="10" t="str">
        <f t="shared" si="128"/>
        <v/>
      </c>
      <c r="H2737" t="str">
        <f t="shared" si="129"/>
        <v/>
      </c>
      <c r="M2737" s="34">
        <f t="shared" si="130"/>
        <v>0</v>
      </c>
    </row>
    <row r="2738" spans="7:13" x14ac:dyDescent="0.25">
      <c r="G2738" s="10" t="str">
        <f t="shared" si="128"/>
        <v/>
      </c>
      <c r="H2738" t="str">
        <f t="shared" si="129"/>
        <v/>
      </c>
      <c r="M2738" s="34">
        <f t="shared" si="130"/>
        <v>0</v>
      </c>
    </row>
    <row r="2739" spans="7:13" x14ac:dyDescent="0.25">
      <c r="G2739" s="10" t="str">
        <f t="shared" si="128"/>
        <v/>
      </c>
      <c r="H2739" t="str">
        <f t="shared" si="129"/>
        <v/>
      </c>
      <c r="M2739" s="34">
        <f t="shared" si="130"/>
        <v>0</v>
      </c>
    </row>
    <row r="2740" spans="7:13" x14ac:dyDescent="0.25">
      <c r="G2740" s="10" t="str">
        <f t="shared" si="128"/>
        <v/>
      </c>
      <c r="H2740" t="str">
        <f t="shared" si="129"/>
        <v/>
      </c>
      <c r="M2740" s="34">
        <f t="shared" si="130"/>
        <v>0</v>
      </c>
    </row>
    <row r="2741" spans="7:13" x14ac:dyDescent="0.25">
      <c r="G2741" s="10" t="str">
        <f t="shared" si="128"/>
        <v/>
      </c>
      <c r="H2741" t="str">
        <f t="shared" si="129"/>
        <v/>
      </c>
      <c r="M2741" s="34">
        <f t="shared" si="130"/>
        <v>0</v>
      </c>
    </row>
    <row r="2742" spans="7:13" x14ac:dyDescent="0.25">
      <c r="G2742" s="10" t="str">
        <f t="shared" si="128"/>
        <v/>
      </c>
      <c r="H2742" t="str">
        <f t="shared" si="129"/>
        <v/>
      </c>
      <c r="M2742" s="34">
        <f t="shared" si="130"/>
        <v>0</v>
      </c>
    </row>
    <row r="2743" spans="7:13" x14ac:dyDescent="0.25">
      <c r="G2743" s="10" t="str">
        <f t="shared" si="128"/>
        <v/>
      </c>
      <c r="H2743" t="str">
        <f t="shared" si="129"/>
        <v/>
      </c>
      <c r="M2743" s="34">
        <f t="shared" si="130"/>
        <v>0</v>
      </c>
    </row>
    <row r="2744" spans="7:13" x14ac:dyDescent="0.25">
      <c r="G2744" s="10" t="str">
        <f t="shared" si="128"/>
        <v/>
      </c>
      <c r="H2744" t="str">
        <f t="shared" si="129"/>
        <v/>
      </c>
      <c r="M2744" s="34">
        <f t="shared" si="130"/>
        <v>0</v>
      </c>
    </row>
    <row r="2745" spans="7:13" x14ac:dyDescent="0.25">
      <c r="G2745" s="10" t="str">
        <f t="shared" si="128"/>
        <v/>
      </c>
      <c r="H2745" t="str">
        <f t="shared" si="129"/>
        <v/>
      </c>
      <c r="M2745" s="34">
        <f t="shared" si="130"/>
        <v>0</v>
      </c>
    </row>
    <row r="2746" spans="7:13" x14ac:dyDescent="0.25">
      <c r="G2746" s="10" t="str">
        <f t="shared" si="128"/>
        <v/>
      </c>
      <c r="H2746" t="str">
        <f t="shared" si="129"/>
        <v/>
      </c>
      <c r="M2746" s="34">
        <f t="shared" si="130"/>
        <v>0</v>
      </c>
    </row>
    <row r="2747" spans="7:13" x14ac:dyDescent="0.25">
      <c r="G2747" s="10" t="str">
        <f t="shared" si="128"/>
        <v/>
      </c>
      <c r="H2747" t="str">
        <f t="shared" si="129"/>
        <v/>
      </c>
      <c r="M2747" s="34">
        <f t="shared" si="130"/>
        <v>0</v>
      </c>
    </row>
    <row r="2748" spans="7:13" x14ac:dyDescent="0.25">
      <c r="G2748" s="10" t="str">
        <f t="shared" si="128"/>
        <v/>
      </c>
      <c r="H2748" t="str">
        <f t="shared" si="129"/>
        <v/>
      </c>
      <c r="M2748" s="34">
        <f t="shared" si="130"/>
        <v>0</v>
      </c>
    </row>
    <row r="2749" spans="7:13" x14ac:dyDescent="0.25">
      <c r="G2749" s="10" t="str">
        <f t="shared" si="128"/>
        <v/>
      </c>
      <c r="H2749" t="str">
        <f t="shared" si="129"/>
        <v/>
      </c>
      <c r="M2749" s="34">
        <f t="shared" si="130"/>
        <v>0</v>
      </c>
    </row>
    <row r="2750" spans="7:13" x14ac:dyDescent="0.25">
      <c r="G2750" s="10" t="str">
        <f t="shared" si="128"/>
        <v/>
      </c>
      <c r="H2750" t="str">
        <f t="shared" si="129"/>
        <v/>
      </c>
      <c r="M2750" s="34">
        <f t="shared" si="130"/>
        <v>0</v>
      </c>
    </row>
    <row r="2751" spans="7:13" x14ac:dyDescent="0.25">
      <c r="G2751" s="10" t="str">
        <f t="shared" si="128"/>
        <v/>
      </c>
      <c r="H2751" t="str">
        <f t="shared" si="129"/>
        <v/>
      </c>
      <c r="M2751" s="34">
        <f t="shared" si="130"/>
        <v>0</v>
      </c>
    </row>
    <row r="2752" spans="7:13" x14ac:dyDescent="0.25">
      <c r="G2752" s="10" t="str">
        <f t="shared" si="128"/>
        <v/>
      </c>
      <c r="H2752" t="str">
        <f t="shared" si="129"/>
        <v/>
      </c>
      <c r="M2752" s="34">
        <f t="shared" si="130"/>
        <v>0</v>
      </c>
    </row>
    <row r="2753" spans="7:13" x14ac:dyDescent="0.25">
      <c r="G2753" s="10" t="str">
        <f t="shared" si="128"/>
        <v/>
      </c>
      <c r="H2753" t="str">
        <f t="shared" si="129"/>
        <v/>
      </c>
      <c r="M2753" s="34">
        <f t="shared" si="130"/>
        <v>0</v>
      </c>
    </row>
    <row r="2754" spans="7:13" x14ac:dyDescent="0.25">
      <c r="G2754" s="10" t="str">
        <f t="shared" ref="G2754:G2817" si="131">IF(F2754&gt;0,"RECETTE",IF(F2754&lt;0,"DÉPENSE",""))</f>
        <v/>
      </c>
      <c r="H2754" t="str">
        <f t="shared" ref="H2754:H2817" si="132">+IF(ISNUMBER(D2754),D2754,"")</f>
        <v/>
      </c>
      <c r="M2754" s="34">
        <f t="shared" si="130"/>
        <v>0</v>
      </c>
    </row>
    <row r="2755" spans="7:13" x14ac:dyDescent="0.25">
      <c r="G2755" s="10" t="str">
        <f t="shared" si="131"/>
        <v/>
      </c>
      <c r="H2755" t="str">
        <f t="shared" si="132"/>
        <v/>
      </c>
      <c r="M2755" s="34">
        <f t="shared" ref="M2755:M2818" si="133">IF(AND(E2755="Chèque",G2755="RECETTE"),F2755,0)</f>
        <v>0</v>
      </c>
    </row>
    <row r="2756" spans="7:13" x14ac:dyDescent="0.25">
      <c r="G2756" s="10" t="str">
        <f t="shared" si="131"/>
        <v/>
      </c>
      <c r="H2756" t="str">
        <f t="shared" si="132"/>
        <v/>
      </c>
      <c r="M2756" s="34">
        <f t="shared" si="133"/>
        <v>0</v>
      </c>
    </row>
    <row r="2757" spans="7:13" x14ac:dyDescent="0.25">
      <c r="G2757" s="10" t="str">
        <f t="shared" si="131"/>
        <v/>
      </c>
      <c r="H2757" t="str">
        <f t="shared" si="132"/>
        <v/>
      </c>
      <c r="M2757" s="34">
        <f t="shared" si="133"/>
        <v>0</v>
      </c>
    </row>
    <row r="2758" spans="7:13" x14ac:dyDescent="0.25">
      <c r="G2758" s="10" t="str">
        <f t="shared" si="131"/>
        <v/>
      </c>
      <c r="H2758" t="str">
        <f t="shared" si="132"/>
        <v/>
      </c>
      <c r="M2758" s="34">
        <f t="shared" si="133"/>
        <v>0</v>
      </c>
    </row>
    <row r="2759" spans="7:13" x14ac:dyDescent="0.25">
      <c r="G2759" s="10" t="str">
        <f t="shared" si="131"/>
        <v/>
      </c>
      <c r="H2759" t="str">
        <f t="shared" si="132"/>
        <v/>
      </c>
      <c r="M2759" s="34">
        <f t="shared" si="133"/>
        <v>0</v>
      </c>
    </row>
    <row r="2760" spans="7:13" x14ac:dyDescent="0.25">
      <c r="G2760" s="10" t="str">
        <f t="shared" si="131"/>
        <v/>
      </c>
      <c r="H2760" t="str">
        <f t="shared" si="132"/>
        <v/>
      </c>
      <c r="M2760" s="34">
        <f t="shared" si="133"/>
        <v>0</v>
      </c>
    </row>
    <row r="2761" spans="7:13" x14ac:dyDescent="0.25">
      <c r="G2761" s="10" t="str">
        <f t="shared" si="131"/>
        <v/>
      </c>
      <c r="H2761" t="str">
        <f t="shared" si="132"/>
        <v/>
      </c>
      <c r="M2761" s="34">
        <f t="shared" si="133"/>
        <v>0</v>
      </c>
    </row>
    <row r="2762" spans="7:13" x14ac:dyDescent="0.25">
      <c r="G2762" s="10" t="str">
        <f t="shared" si="131"/>
        <v/>
      </c>
      <c r="H2762" t="str">
        <f t="shared" si="132"/>
        <v/>
      </c>
      <c r="M2762" s="34">
        <f t="shared" si="133"/>
        <v>0</v>
      </c>
    </row>
    <row r="2763" spans="7:13" x14ac:dyDescent="0.25">
      <c r="G2763" s="10" t="str">
        <f t="shared" si="131"/>
        <v/>
      </c>
      <c r="H2763" t="str">
        <f t="shared" si="132"/>
        <v/>
      </c>
      <c r="M2763" s="34">
        <f t="shared" si="133"/>
        <v>0</v>
      </c>
    </row>
    <row r="2764" spans="7:13" x14ac:dyDescent="0.25">
      <c r="G2764" s="10" t="str">
        <f t="shared" si="131"/>
        <v/>
      </c>
      <c r="H2764" t="str">
        <f t="shared" si="132"/>
        <v/>
      </c>
      <c r="M2764" s="34">
        <f t="shared" si="133"/>
        <v>0</v>
      </c>
    </row>
    <row r="2765" spans="7:13" x14ac:dyDescent="0.25">
      <c r="G2765" s="10" t="str">
        <f t="shared" si="131"/>
        <v/>
      </c>
      <c r="H2765" t="str">
        <f t="shared" si="132"/>
        <v/>
      </c>
      <c r="M2765" s="34">
        <f t="shared" si="133"/>
        <v>0</v>
      </c>
    </row>
    <row r="2766" spans="7:13" x14ac:dyDescent="0.25">
      <c r="G2766" s="10" t="str">
        <f t="shared" si="131"/>
        <v/>
      </c>
      <c r="H2766" t="str">
        <f t="shared" si="132"/>
        <v/>
      </c>
      <c r="M2766" s="34">
        <f t="shared" si="133"/>
        <v>0</v>
      </c>
    </row>
    <row r="2767" spans="7:13" x14ac:dyDescent="0.25">
      <c r="G2767" s="10" t="str">
        <f t="shared" si="131"/>
        <v/>
      </c>
      <c r="H2767" t="str">
        <f t="shared" si="132"/>
        <v/>
      </c>
      <c r="M2767" s="34">
        <f t="shared" si="133"/>
        <v>0</v>
      </c>
    </row>
    <row r="2768" spans="7:13" x14ac:dyDescent="0.25">
      <c r="G2768" s="10" t="str">
        <f t="shared" si="131"/>
        <v/>
      </c>
      <c r="H2768" t="str">
        <f t="shared" si="132"/>
        <v/>
      </c>
      <c r="M2768" s="34">
        <f t="shared" si="133"/>
        <v>0</v>
      </c>
    </row>
    <row r="2769" spans="7:13" x14ac:dyDescent="0.25">
      <c r="G2769" s="10" t="str">
        <f t="shared" si="131"/>
        <v/>
      </c>
      <c r="H2769" t="str">
        <f t="shared" si="132"/>
        <v/>
      </c>
      <c r="M2769" s="34">
        <f t="shared" si="133"/>
        <v>0</v>
      </c>
    </row>
    <row r="2770" spans="7:13" x14ac:dyDescent="0.25">
      <c r="G2770" s="10" t="str">
        <f t="shared" si="131"/>
        <v/>
      </c>
      <c r="H2770" t="str">
        <f t="shared" si="132"/>
        <v/>
      </c>
      <c r="M2770" s="34">
        <f t="shared" si="133"/>
        <v>0</v>
      </c>
    </row>
    <row r="2771" spans="7:13" x14ac:dyDescent="0.25">
      <c r="G2771" s="10" t="str">
        <f t="shared" si="131"/>
        <v/>
      </c>
      <c r="H2771" t="str">
        <f t="shared" si="132"/>
        <v/>
      </c>
      <c r="M2771" s="34">
        <f t="shared" si="133"/>
        <v>0</v>
      </c>
    </row>
    <row r="2772" spans="7:13" x14ac:dyDescent="0.25">
      <c r="G2772" s="10" t="str">
        <f t="shared" si="131"/>
        <v/>
      </c>
      <c r="H2772" t="str">
        <f t="shared" si="132"/>
        <v/>
      </c>
      <c r="M2772" s="34">
        <f t="shared" si="133"/>
        <v>0</v>
      </c>
    </row>
    <row r="2773" spans="7:13" x14ac:dyDescent="0.25">
      <c r="G2773" s="10" t="str">
        <f t="shared" si="131"/>
        <v/>
      </c>
      <c r="H2773" t="str">
        <f t="shared" si="132"/>
        <v/>
      </c>
      <c r="M2773" s="34">
        <f t="shared" si="133"/>
        <v>0</v>
      </c>
    </row>
    <row r="2774" spans="7:13" x14ac:dyDescent="0.25">
      <c r="G2774" s="10" t="str">
        <f t="shared" si="131"/>
        <v/>
      </c>
      <c r="H2774" t="str">
        <f t="shared" si="132"/>
        <v/>
      </c>
      <c r="M2774" s="34">
        <f t="shared" si="133"/>
        <v>0</v>
      </c>
    </row>
    <row r="2775" spans="7:13" x14ac:dyDescent="0.25">
      <c r="G2775" s="10" t="str">
        <f t="shared" si="131"/>
        <v/>
      </c>
      <c r="H2775" t="str">
        <f t="shared" si="132"/>
        <v/>
      </c>
      <c r="M2775" s="34">
        <f t="shared" si="133"/>
        <v>0</v>
      </c>
    </row>
    <row r="2776" spans="7:13" x14ac:dyDescent="0.25">
      <c r="G2776" s="10" t="str">
        <f t="shared" si="131"/>
        <v/>
      </c>
      <c r="H2776" t="str">
        <f t="shared" si="132"/>
        <v/>
      </c>
      <c r="M2776" s="34">
        <f t="shared" si="133"/>
        <v>0</v>
      </c>
    </row>
    <row r="2777" spans="7:13" x14ac:dyDescent="0.25">
      <c r="G2777" s="10" t="str">
        <f t="shared" si="131"/>
        <v/>
      </c>
      <c r="H2777" t="str">
        <f t="shared" si="132"/>
        <v/>
      </c>
      <c r="M2777" s="34">
        <f t="shared" si="133"/>
        <v>0</v>
      </c>
    </row>
    <row r="2778" spans="7:13" x14ac:dyDescent="0.25">
      <c r="G2778" s="10" t="str">
        <f t="shared" si="131"/>
        <v/>
      </c>
      <c r="H2778" t="str">
        <f t="shared" si="132"/>
        <v/>
      </c>
      <c r="M2778" s="34">
        <f t="shared" si="133"/>
        <v>0</v>
      </c>
    </row>
    <row r="2779" spans="7:13" x14ac:dyDescent="0.25">
      <c r="G2779" s="10" t="str">
        <f t="shared" si="131"/>
        <v/>
      </c>
      <c r="H2779" t="str">
        <f t="shared" si="132"/>
        <v/>
      </c>
      <c r="M2779" s="34">
        <f t="shared" si="133"/>
        <v>0</v>
      </c>
    </row>
    <row r="2780" spans="7:13" x14ac:dyDescent="0.25">
      <c r="G2780" s="10" t="str">
        <f t="shared" si="131"/>
        <v/>
      </c>
      <c r="H2780" t="str">
        <f t="shared" si="132"/>
        <v/>
      </c>
      <c r="M2780" s="34">
        <f t="shared" si="133"/>
        <v>0</v>
      </c>
    </row>
    <row r="2781" spans="7:13" x14ac:dyDescent="0.25">
      <c r="G2781" s="10" t="str">
        <f t="shared" si="131"/>
        <v/>
      </c>
      <c r="H2781" t="str">
        <f t="shared" si="132"/>
        <v/>
      </c>
      <c r="M2781" s="34">
        <f t="shared" si="133"/>
        <v>0</v>
      </c>
    </row>
    <row r="2782" spans="7:13" x14ac:dyDescent="0.25">
      <c r="G2782" s="10" t="str">
        <f t="shared" si="131"/>
        <v/>
      </c>
      <c r="H2782" t="str">
        <f t="shared" si="132"/>
        <v/>
      </c>
      <c r="M2782" s="34">
        <f t="shared" si="133"/>
        <v>0</v>
      </c>
    </row>
    <row r="2783" spans="7:13" x14ac:dyDescent="0.25">
      <c r="G2783" s="10" t="str">
        <f t="shared" si="131"/>
        <v/>
      </c>
      <c r="H2783" t="str">
        <f t="shared" si="132"/>
        <v/>
      </c>
      <c r="M2783" s="34">
        <f t="shared" si="133"/>
        <v>0</v>
      </c>
    </row>
    <row r="2784" spans="7:13" x14ac:dyDescent="0.25">
      <c r="G2784" s="10" t="str">
        <f t="shared" si="131"/>
        <v/>
      </c>
      <c r="H2784" t="str">
        <f t="shared" si="132"/>
        <v/>
      </c>
      <c r="M2784" s="34">
        <f t="shared" si="133"/>
        <v>0</v>
      </c>
    </row>
    <row r="2785" spans="7:13" x14ac:dyDescent="0.25">
      <c r="G2785" s="10" t="str">
        <f t="shared" si="131"/>
        <v/>
      </c>
      <c r="H2785" t="str">
        <f t="shared" si="132"/>
        <v/>
      </c>
      <c r="M2785" s="34">
        <f t="shared" si="133"/>
        <v>0</v>
      </c>
    </row>
    <row r="2786" spans="7:13" x14ac:dyDescent="0.25">
      <c r="G2786" s="10" t="str">
        <f t="shared" si="131"/>
        <v/>
      </c>
      <c r="H2786" t="str">
        <f t="shared" si="132"/>
        <v/>
      </c>
      <c r="M2786" s="34">
        <f t="shared" si="133"/>
        <v>0</v>
      </c>
    </row>
    <row r="2787" spans="7:13" x14ac:dyDescent="0.25">
      <c r="G2787" s="10" t="str">
        <f t="shared" si="131"/>
        <v/>
      </c>
      <c r="H2787" t="str">
        <f t="shared" si="132"/>
        <v/>
      </c>
      <c r="M2787" s="34">
        <f t="shared" si="133"/>
        <v>0</v>
      </c>
    </row>
    <row r="2788" spans="7:13" x14ac:dyDescent="0.25">
      <c r="G2788" s="10" t="str">
        <f t="shared" si="131"/>
        <v/>
      </c>
      <c r="H2788" t="str">
        <f t="shared" si="132"/>
        <v/>
      </c>
      <c r="M2788" s="34">
        <f t="shared" si="133"/>
        <v>0</v>
      </c>
    </row>
    <row r="2789" spans="7:13" x14ac:dyDescent="0.25">
      <c r="G2789" s="10" t="str">
        <f t="shared" si="131"/>
        <v/>
      </c>
      <c r="H2789" t="str">
        <f t="shared" si="132"/>
        <v/>
      </c>
      <c r="M2789" s="34">
        <f t="shared" si="133"/>
        <v>0</v>
      </c>
    </row>
    <row r="2790" spans="7:13" x14ac:dyDescent="0.25">
      <c r="G2790" s="10" t="str">
        <f t="shared" si="131"/>
        <v/>
      </c>
      <c r="H2790" t="str">
        <f t="shared" si="132"/>
        <v/>
      </c>
      <c r="M2790" s="34">
        <f t="shared" si="133"/>
        <v>0</v>
      </c>
    </row>
    <row r="2791" spans="7:13" x14ac:dyDescent="0.25">
      <c r="G2791" s="10" t="str">
        <f t="shared" si="131"/>
        <v/>
      </c>
      <c r="H2791" t="str">
        <f t="shared" si="132"/>
        <v/>
      </c>
      <c r="M2791" s="34">
        <f t="shared" si="133"/>
        <v>0</v>
      </c>
    </row>
    <row r="2792" spans="7:13" x14ac:dyDescent="0.25">
      <c r="G2792" s="10" t="str">
        <f t="shared" si="131"/>
        <v/>
      </c>
      <c r="H2792" t="str">
        <f t="shared" si="132"/>
        <v/>
      </c>
      <c r="M2792" s="34">
        <f t="shared" si="133"/>
        <v>0</v>
      </c>
    </row>
    <row r="2793" spans="7:13" x14ac:dyDescent="0.25">
      <c r="G2793" s="10" t="str">
        <f t="shared" si="131"/>
        <v/>
      </c>
      <c r="H2793" t="str">
        <f t="shared" si="132"/>
        <v/>
      </c>
      <c r="M2793" s="34">
        <f t="shared" si="133"/>
        <v>0</v>
      </c>
    </row>
    <row r="2794" spans="7:13" x14ac:dyDescent="0.25">
      <c r="G2794" s="10" t="str">
        <f t="shared" si="131"/>
        <v/>
      </c>
      <c r="H2794" t="str">
        <f t="shared" si="132"/>
        <v/>
      </c>
      <c r="M2794" s="34">
        <f t="shared" si="133"/>
        <v>0</v>
      </c>
    </row>
    <row r="2795" spans="7:13" x14ac:dyDescent="0.25">
      <c r="G2795" s="10" t="str">
        <f t="shared" si="131"/>
        <v/>
      </c>
      <c r="H2795" t="str">
        <f t="shared" si="132"/>
        <v/>
      </c>
      <c r="M2795" s="34">
        <f t="shared" si="133"/>
        <v>0</v>
      </c>
    </row>
    <row r="2796" spans="7:13" x14ac:dyDescent="0.25">
      <c r="G2796" s="10" t="str">
        <f t="shared" si="131"/>
        <v/>
      </c>
      <c r="H2796" t="str">
        <f t="shared" si="132"/>
        <v/>
      </c>
      <c r="M2796" s="34">
        <f t="shared" si="133"/>
        <v>0</v>
      </c>
    </row>
    <row r="2797" spans="7:13" x14ac:dyDescent="0.25">
      <c r="G2797" s="10" t="str">
        <f t="shared" si="131"/>
        <v/>
      </c>
      <c r="H2797" t="str">
        <f t="shared" si="132"/>
        <v/>
      </c>
      <c r="M2797" s="34">
        <f t="shared" si="133"/>
        <v>0</v>
      </c>
    </row>
    <row r="2798" spans="7:13" x14ac:dyDescent="0.25">
      <c r="G2798" s="10" t="str">
        <f t="shared" si="131"/>
        <v/>
      </c>
      <c r="H2798" t="str">
        <f t="shared" si="132"/>
        <v/>
      </c>
      <c r="M2798" s="34">
        <f t="shared" si="133"/>
        <v>0</v>
      </c>
    </row>
    <row r="2799" spans="7:13" x14ac:dyDescent="0.25">
      <c r="G2799" s="10" t="str">
        <f t="shared" si="131"/>
        <v/>
      </c>
      <c r="H2799" t="str">
        <f t="shared" si="132"/>
        <v/>
      </c>
      <c r="M2799" s="34">
        <f t="shared" si="133"/>
        <v>0</v>
      </c>
    </row>
    <row r="2800" spans="7:13" x14ac:dyDescent="0.25">
      <c r="G2800" s="10" t="str">
        <f t="shared" si="131"/>
        <v/>
      </c>
      <c r="H2800" t="str">
        <f t="shared" si="132"/>
        <v/>
      </c>
      <c r="M2800" s="34">
        <f t="shared" si="133"/>
        <v>0</v>
      </c>
    </row>
    <row r="2801" spans="7:13" x14ac:dyDescent="0.25">
      <c r="G2801" s="10" t="str">
        <f t="shared" si="131"/>
        <v/>
      </c>
      <c r="H2801" t="str">
        <f t="shared" si="132"/>
        <v/>
      </c>
      <c r="M2801" s="34">
        <f t="shared" si="133"/>
        <v>0</v>
      </c>
    </row>
    <row r="2802" spans="7:13" x14ac:dyDescent="0.25">
      <c r="G2802" s="10" t="str">
        <f t="shared" si="131"/>
        <v/>
      </c>
      <c r="H2802" t="str">
        <f t="shared" si="132"/>
        <v/>
      </c>
      <c r="M2802" s="34">
        <f t="shared" si="133"/>
        <v>0</v>
      </c>
    </row>
    <row r="2803" spans="7:13" x14ac:dyDescent="0.25">
      <c r="G2803" s="10" t="str">
        <f t="shared" si="131"/>
        <v/>
      </c>
      <c r="H2803" t="str">
        <f t="shared" si="132"/>
        <v/>
      </c>
      <c r="M2803" s="34">
        <f t="shared" si="133"/>
        <v>0</v>
      </c>
    </row>
    <row r="2804" spans="7:13" x14ac:dyDescent="0.25">
      <c r="G2804" s="10" t="str">
        <f t="shared" si="131"/>
        <v/>
      </c>
      <c r="H2804" t="str">
        <f t="shared" si="132"/>
        <v/>
      </c>
      <c r="M2804" s="34">
        <f t="shared" si="133"/>
        <v>0</v>
      </c>
    </row>
    <row r="2805" spans="7:13" x14ac:dyDescent="0.25">
      <c r="G2805" s="10" t="str">
        <f t="shared" si="131"/>
        <v/>
      </c>
      <c r="H2805" t="str">
        <f t="shared" si="132"/>
        <v/>
      </c>
      <c r="M2805" s="34">
        <f t="shared" si="133"/>
        <v>0</v>
      </c>
    </row>
    <row r="2806" spans="7:13" x14ac:dyDescent="0.25">
      <c r="G2806" s="10" t="str">
        <f t="shared" si="131"/>
        <v/>
      </c>
      <c r="H2806" t="str">
        <f t="shared" si="132"/>
        <v/>
      </c>
      <c r="M2806" s="34">
        <f t="shared" si="133"/>
        <v>0</v>
      </c>
    </row>
    <row r="2807" spans="7:13" x14ac:dyDescent="0.25">
      <c r="G2807" s="10" t="str">
        <f t="shared" si="131"/>
        <v/>
      </c>
      <c r="H2807" t="str">
        <f t="shared" si="132"/>
        <v/>
      </c>
      <c r="M2807" s="34">
        <f t="shared" si="133"/>
        <v>0</v>
      </c>
    </row>
    <row r="2808" spans="7:13" x14ac:dyDescent="0.25">
      <c r="G2808" s="10" t="str">
        <f t="shared" si="131"/>
        <v/>
      </c>
      <c r="H2808" t="str">
        <f t="shared" si="132"/>
        <v/>
      </c>
      <c r="M2808" s="34">
        <f t="shared" si="133"/>
        <v>0</v>
      </c>
    </row>
    <row r="2809" spans="7:13" x14ac:dyDescent="0.25">
      <c r="G2809" s="10" t="str">
        <f t="shared" si="131"/>
        <v/>
      </c>
      <c r="H2809" t="str">
        <f t="shared" si="132"/>
        <v/>
      </c>
      <c r="M2809" s="34">
        <f t="shared" si="133"/>
        <v>0</v>
      </c>
    </row>
    <row r="2810" spans="7:13" x14ac:dyDescent="0.25">
      <c r="G2810" s="10" t="str">
        <f t="shared" si="131"/>
        <v/>
      </c>
      <c r="H2810" t="str">
        <f t="shared" si="132"/>
        <v/>
      </c>
      <c r="M2810" s="34">
        <f t="shared" si="133"/>
        <v>0</v>
      </c>
    </row>
    <row r="2811" spans="7:13" x14ac:dyDescent="0.25">
      <c r="G2811" s="10" t="str">
        <f t="shared" si="131"/>
        <v/>
      </c>
      <c r="H2811" t="str">
        <f t="shared" si="132"/>
        <v/>
      </c>
      <c r="M2811" s="34">
        <f t="shared" si="133"/>
        <v>0</v>
      </c>
    </row>
    <row r="2812" spans="7:13" x14ac:dyDescent="0.25">
      <c r="G2812" s="10" t="str">
        <f t="shared" si="131"/>
        <v/>
      </c>
      <c r="H2812" t="str">
        <f t="shared" si="132"/>
        <v/>
      </c>
      <c r="M2812" s="34">
        <f t="shared" si="133"/>
        <v>0</v>
      </c>
    </row>
    <row r="2813" spans="7:13" x14ac:dyDescent="0.25">
      <c r="G2813" s="10" t="str">
        <f t="shared" si="131"/>
        <v/>
      </c>
      <c r="H2813" t="str">
        <f t="shared" si="132"/>
        <v/>
      </c>
      <c r="M2813" s="34">
        <f t="shared" si="133"/>
        <v>0</v>
      </c>
    </row>
    <row r="2814" spans="7:13" x14ac:dyDescent="0.25">
      <c r="G2814" s="10" t="str">
        <f t="shared" si="131"/>
        <v/>
      </c>
      <c r="H2814" t="str">
        <f t="shared" si="132"/>
        <v/>
      </c>
      <c r="M2814" s="34">
        <f t="shared" si="133"/>
        <v>0</v>
      </c>
    </row>
    <row r="2815" spans="7:13" x14ac:dyDescent="0.25">
      <c r="G2815" s="10" t="str">
        <f t="shared" si="131"/>
        <v/>
      </c>
      <c r="H2815" t="str">
        <f t="shared" si="132"/>
        <v/>
      </c>
      <c r="M2815" s="34">
        <f t="shared" si="133"/>
        <v>0</v>
      </c>
    </row>
    <row r="2816" spans="7:13" x14ac:dyDescent="0.25">
      <c r="G2816" s="10" t="str">
        <f t="shared" si="131"/>
        <v/>
      </c>
      <c r="H2816" t="str">
        <f t="shared" si="132"/>
        <v/>
      </c>
      <c r="M2816" s="34">
        <f t="shared" si="133"/>
        <v>0</v>
      </c>
    </row>
    <row r="2817" spans="7:13" x14ac:dyDescent="0.25">
      <c r="G2817" s="10" t="str">
        <f t="shared" si="131"/>
        <v/>
      </c>
      <c r="H2817" t="str">
        <f t="shared" si="132"/>
        <v/>
      </c>
      <c r="M2817" s="34">
        <f t="shared" si="133"/>
        <v>0</v>
      </c>
    </row>
    <row r="2818" spans="7:13" x14ac:dyDescent="0.25">
      <c r="G2818" s="10" t="str">
        <f t="shared" ref="G2818:G2881" si="134">IF(F2818&gt;0,"RECETTE",IF(F2818&lt;0,"DÉPENSE",""))</f>
        <v/>
      </c>
      <c r="H2818" t="str">
        <f t="shared" ref="H2818:H2881" si="135">+IF(ISNUMBER(D2818),D2818,"")</f>
        <v/>
      </c>
      <c r="M2818" s="34">
        <f t="shared" si="133"/>
        <v>0</v>
      </c>
    </row>
    <row r="2819" spans="7:13" x14ac:dyDescent="0.25">
      <c r="G2819" s="10" t="str">
        <f t="shared" si="134"/>
        <v/>
      </c>
      <c r="H2819" t="str">
        <f t="shared" si="135"/>
        <v/>
      </c>
      <c r="M2819" s="34">
        <f t="shared" ref="M2819:M2882" si="136">IF(AND(E2819="Chèque",G2819="RECETTE"),F2819,0)</f>
        <v>0</v>
      </c>
    </row>
    <row r="2820" spans="7:13" x14ac:dyDescent="0.25">
      <c r="G2820" s="10" t="str">
        <f t="shared" si="134"/>
        <v/>
      </c>
      <c r="H2820" t="str">
        <f t="shared" si="135"/>
        <v/>
      </c>
      <c r="M2820" s="34">
        <f t="shared" si="136"/>
        <v>0</v>
      </c>
    </row>
    <row r="2821" spans="7:13" x14ac:dyDescent="0.25">
      <c r="G2821" s="10" t="str">
        <f t="shared" si="134"/>
        <v/>
      </c>
      <c r="H2821" t="str">
        <f t="shared" si="135"/>
        <v/>
      </c>
      <c r="M2821" s="34">
        <f t="shared" si="136"/>
        <v>0</v>
      </c>
    </row>
    <row r="2822" spans="7:13" x14ac:dyDescent="0.25">
      <c r="G2822" s="10" t="str">
        <f t="shared" si="134"/>
        <v/>
      </c>
      <c r="H2822" t="str">
        <f t="shared" si="135"/>
        <v/>
      </c>
      <c r="M2822" s="34">
        <f t="shared" si="136"/>
        <v>0</v>
      </c>
    </row>
    <row r="2823" spans="7:13" x14ac:dyDescent="0.25">
      <c r="G2823" s="10" t="str">
        <f t="shared" si="134"/>
        <v/>
      </c>
      <c r="H2823" t="str">
        <f t="shared" si="135"/>
        <v/>
      </c>
      <c r="M2823" s="34">
        <f t="shared" si="136"/>
        <v>0</v>
      </c>
    </row>
    <row r="2824" spans="7:13" x14ac:dyDescent="0.25">
      <c r="G2824" s="10" t="str">
        <f t="shared" si="134"/>
        <v/>
      </c>
      <c r="H2824" t="str">
        <f t="shared" si="135"/>
        <v/>
      </c>
      <c r="M2824" s="34">
        <f t="shared" si="136"/>
        <v>0</v>
      </c>
    </row>
    <row r="2825" spans="7:13" x14ac:dyDescent="0.25">
      <c r="G2825" s="10" t="str">
        <f t="shared" si="134"/>
        <v/>
      </c>
      <c r="H2825" t="str">
        <f t="shared" si="135"/>
        <v/>
      </c>
      <c r="M2825" s="34">
        <f t="shared" si="136"/>
        <v>0</v>
      </c>
    </row>
    <row r="2826" spans="7:13" x14ac:dyDescent="0.25">
      <c r="G2826" s="10" t="str">
        <f t="shared" si="134"/>
        <v/>
      </c>
      <c r="H2826" t="str">
        <f t="shared" si="135"/>
        <v/>
      </c>
      <c r="M2826" s="34">
        <f t="shared" si="136"/>
        <v>0</v>
      </c>
    </row>
    <row r="2827" spans="7:13" x14ac:dyDescent="0.25">
      <c r="G2827" s="10" t="str">
        <f t="shared" si="134"/>
        <v/>
      </c>
      <c r="H2827" t="str">
        <f t="shared" si="135"/>
        <v/>
      </c>
      <c r="M2827" s="34">
        <f t="shared" si="136"/>
        <v>0</v>
      </c>
    </row>
    <row r="2828" spans="7:13" x14ac:dyDescent="0.25">
      <c r="G2828" s="10" t="str">
        <f t="shared" si="134"/>
        <v/>
      </c>
      <c r="H2828" t="str">
        <f t="shared" si="135"/>
        <v/>
      </c>
      <c r="M2828" s="34">
        <f t="shared" si="136"/>
        <v>0</v>
      </c>
    </row>
    <row r="2829" spans="7:13" x14ac:dyDescent="0.25">
      <c r="G2829" s="10" t="str">
        <f t="shared" si="134"/>
        <v/>
      </c>
      <c r="H2829" t="str">
        <f t="shared" si="135"/>
        <v/>
      </c>
      <c r="M2829" s="34">
        <f t="shared" si="136"/>
        <v>0</v>
      </c>
    </row>
    <row r="2830" spans="7:13" x14ac:dyDescent="0.25">
      <c r="G2830" s="10" t="str">
        <f t="shared" si="134"/>
        <v/>
      </c>
      <c r="H2830" t="str">
        <f t="shared" si="135"/>
        <v/>
      </c>
      <c r="M2830" s="34">
        <f t="shared" si="136"/>
        <v>0</v>
      </c>
    </row>
    <row r="2831" spans="7:13" x14ac:dyDescent="0.25">
      <c r="G2831" s="10" t="str">
        <f t="shared" si="134"/>
        <v/>
      </c>
      <c r="H2831" t="str">
        <f t="shared" si="135"/>
        <v/>
      </c>
      <c r="M2831" s="34">
        <f t="shared" si="136"/>
        <v>0</v>
      </c>
    </row>
    <row r="2832" spans="7:13" x14ac:dyDescent="0.25">
      <c r="G2832" s="10" t="str">
        <f t="shared" si="134"/>
        <v/>
      </c>
      <c r="H2832" t="str">
        <f t="shared" si="135"/>
        <v/>
      </c>
      <c r="M2832" s="34">
        <f t="shared" si="136"/>
        <v>0</v>
      </c>
    </row>
    <row r="2833" spans="7:13" x14ac:dyDescent="0.25">
      <c r="G2833" s="10" t="str">
        <f t="shared" si="134"/>
        <v/>
      </c>
      <c r="H2833" t="str">
        <f t="shared" si="135"/>
        <v/>
      </c>
      <c r="M2833" s="34">
        <f t="shared" si="136"/>
        <v>0</v>
      </c>
    </row>
    <row r="2834" spans="7:13" x14ac:dyDescent="0.25">
      <c r="G2834" s="10" t="str">
        <f t="shared" si="134"/>
        <v/>
      </c>
      <c r="H2834" t="str">
        <f t="shared" si="135"/>
        <v/>
      </c>
      <c r="M2834" s="34">
        <f t="shared" si="136"/>
        <v>0</v>
      </c>
    </row>
    <row r="2835" spans="7:13" x14ac:dyDescent="0.25">
      <c r="G2835" s="10" t="str">
        <f t="shared" si="134"/>
        <v/>
      </c>
      <c r="H2835" t="str">
        <f t="shared" si="135"/>
        <v/>
      </c>
      <c r="M2835" s="34">
        <f t="shared" si="136"/>
        <v>0</v>
      </c>
    </row>
    <row r="2836" spans="7:13" x14ac:dyDescent="0.25">
      <c r="G2836" s="10" t="str">
        <f t="shared" si="134"/>
        <v/>
      </c>
      <c r="H2836" t="str">
        <f t="shared" si="135"/>
        <v/>
      </c>
      <c r="M2836" s="34">
        <f t="shared" si="136"/>
        <v>0</v>
      </c>
    </row>
    <row r="2837" spans="7:13" x14ac:dyDescent="0.25">
      <c r="G2837" s="10" t="str">
        <f t="shared" si="134"/>
        <v/>
      </c>
      <c r="H2837" t="str">
        <f t="shared" si="135"/>
        <v/>
      </c>
      <c r="M2837" s="34">
        <f t="shared" si="136"/>
        <v>0</v>
      </c>
    </row>
    <row r="2838" spans="7:13" x14ac:dyDescent="0.25">
      <c r="G2838" s="10" t="str">
        <f t="shared" si="134"/>
        <v/>
      </c>
      <c r="H2838" t="str">
        <f t="shared" si="135"/>
        <v/>
      </c>
      <c r="M2838" s="34">
        <f t="shared" si="136"/>
        <v>0</v>
      </c>
    </row>
    <row r="2839" spans="7:13" x14ac:dyDescent="0.25">
      <c r="G2839" s="10" t="str">
        <f t="shared" si="134"/>
        <v/>
      </c>
      <c r="H2839" t="str">
        <f t="shared" si="135"/>
        <v/>
      </c>
      <c r="M2839" s="34">
        <f t="shared" si="136"/>
        <v>0</v>
      </c>
    </row>
    <row r="2840" spans="7:13" x14ac:dyDescent="0.25">
      <c r="G2840" s="10" t="str">
        <f t="shared" si="134"/>
        <v/>
      </c>
      <c r="H2840" t="str">
        <f t="shared" si="135"/>
        <v/>
      </c>
      <c r="M2840" s="34">
        <f t="shared" si="136"/>
        <v>0</v>
      </c>
    </row>
    <row r="2841" spans="7:13" x14ac:dyDescent="0.25">
      <c r="G2841" s="10" t="str">
        <f t="shared" si="134"/>
        <v/>
      </c>
      <c r="H2841" t="str">
        <f t="shared" si="135"/>
        <v/>
      </c>
      <c r="M2841" s="34">
        <f t="shared" si="136"/>
        <v>0</v>
      </c>
    </row>
    <row r="2842" spans="7:13" x14ac:dyDescent="0.25">
      <c r="G2842" s="10" t="str">
        <f t="shared" si="134"/>
        <v/>
      </c>
      <c r="H2842" t="str">
        <f t="shared" si="135"/>
        <v/>
      </c>
      <c r="M2842" s="34">
        <f t="shared" si="136"/>
        <v>0</v>
      </c>
    </row>
    <row r="2843" spans="7:13" x14ac:dyDescent="0.25">
      <c r="G2843" s="10" t="str">
        <f t="shared" si="134"/>
        <v/>
      </c>
      <c r="H2843" t="str">
        <f t="shared" si="135"/>
        <v/>
      </c>
      <c r="M2843" s="34">
        <f t="shared" si="136"/>
        <v>0</v>
      </c>
    </row>
    <row r="2844" spans="7:13" x14ac:dyDescent="0.25">
      <c r="G2844" s="10" t="str">
        <f t="shared" si="134"/>
        <v/>
      </c>
      <c r="H2844" t="str">
        <f t="shared" si="135"/>
        <v/>
      </c>
      <c r="M2844" s="34">
        <f t="shared" si="136"/>
        <v>0</v>
      </c>
    </row>
    <row r="2845" spans="7:13" x14ac:dyDescent="0.25">
      <c r="G2845" s="10" t="str">
        <f t="shared" si="134"/>
        <v/>
      </c>
      <c r="H2845" t="str">
        <f t="shared" si="135"/>
        <v/>
      </c>
      <c r="M2845" s="34">
        <f t="shared" si="136"/>
        <v>0</v>
      </c>
    </row>
    <row r="2846" spans="7:13" x14ac:dyDescent="0.25">
      <c r="G2846" s="10" t="str">
        <f t="shared" si="134"/>
        <v/>
      </c>
      <c r="H2846" t="str">
        <f t="shared" si="135"/>
        <v/>
      </c>
      <c r="M2846" s="34">
        <f t="shared" si="136"/>
        <v>0</v>
      </c>
    </row>
    <row r="2847" spans="7:13" x14ac:dyDescent="0.25">
      <c r="G2847" s="10" t="str">
        <f t="shared" si="134"/>
        <v/>
      </c>
      <c r="H2847" t="str">
        <f t="shared" si="135"/>
        <v/>
      </c>
      <c r="M2847" s="34">
        <f t="shared" si="136"/>
        <v>0</v>
      </c>
    </row>
    <row r="2848" spans="7:13" x14ac:dyDescent="0.25">
      <c r="G2848" s="10" t="str">
        <f t="shared" si="134"/>
        <v/>
      </c>
      <c r="H2848" t="str">
        <f t="shared" si="135"/>
        <v/>
      </c>
      <c r="M2848" s="34">
        <f t="shared" si="136"/>
        <v>0</v>
      </c>
    </row>
    <row r="2849" spans="7:13" x14ac:dyDescent="0.25">
      <c r="G2849" s="10" t="str">
        <f t="shared" si="134"/>
        <v/>
      </c>
      <c r="H2849" t="str">
        <f t="shared" si="135"/>
        <v/>
      </c>
      <c r="M2849" s="34">
        <f t="shared" si="136"/>
        <v>0</v>
      </c>
    </row>
    <row r="2850" spans="7:13" x14ac:dyDescent="0.25">
      <c r="G2850" s="10" t="str">
        <f t="shared" si="134"/>
        <v/>
      </c>
      <c r="H2850" t="str">
        <f t="shared" si="135"/>
        <v/>
      </c>
      <c r="M2850" s="34">
        <f t="shared" si="136"/>
        <v>0</v>
      </c>
    </row>
    <row r="2851" spans="7:13" x14ac:dyDescent="0.25">
      <c r="G2851" s="10" t="str">
        <f t="shared" si="134"/>
        <v/>
      </c>
      <c r="H2851" t="str">
        <f t="shared" si="135"/>
        <v/>
      </c>
      <c r="M2851" s="34">
        <f t="shared" si="136"/>
        <v>0</v>
      </c>
    </row>
    <row r="2852" spans="7:13" x14ac:dyDescent="0.25">
      <c r="G2852" s="10" t="str">
        <f t="shared" si="134"/>
        <v/>
      </c>
      <c r="H2852" t="str">
        <f t="shared" si="135"/>
        <v/>
      </c>
      <c r="M2852" s="34">
        <f t="shared" si="136"/>
        <v>0</v>
      </c>
    </row>
    <row r="2853" spans="7:13" x14ac:dyDescent="0.25">
      <c r="G2853" s="10" t="str">
        <f t="shared" si="134"/>
        <v/>
      </c>
      <c r="H2853" t="str">
        <f t="shared" si="135"/>
        <v/>
      </c>
      <c r="M2853" s="34">
        <f t="shared" si="136"/>
        <v>0</v>
      </c>
    </row>
    <row r="2854" spans="7:13" x14ac:dyDescent="0.25">
      <c r="G2854" s="10" t="str">
        <f t="shared" si="134"/>
        <v/>
      </c>
      <c r="H2854" t="str">
        <f t="shared" si="135"/>
        <v/>
      </c>
      <c r="M2854" s="34">
        <f t="shared" si="136"/>
        <v>0</v>
      </c>
    </row>
    <row r="2855" spans="7:13" x14ac:dyDescent="0.25">
      <c r="G2855" s="10" t="str">
        <f t="shared" si="134"/>
        <v/>
      </c>
      <c r="H2855" t="str">
        <f t="shared" si="135"/>
        <v/>
      </c>
      <c r="M2855" s="34">
        <f t="shared" si="136"/>
        <v>0</v>
      </c>
    </row>
    <row r="2856" spans="7:13" x14ac:dyDescent="0.25">
      <c r="G2856" s="10" t="str">
        <f t="shared" si="134"/>
        <v/>
      </c>
      <c r="H2856" t="str">
        <f t="shared" si="135"/>
        <v/>
      </c>
      <c r="M2856" s="34">
        <f t="shared" si="136"/>
        <v>0</v>
      </c>
    </row>
    <row r="2857" spans="7:13" x14ac:dyDescent="0.25">
      <c r="G2857" s="10" t="str">
        <f t="shared" si="134"/>
        <v/>
      </c>
      <c r="H2857" t="str">
        <f t="shared" si="135"/>
        <v/>
      </c>
      <c r="M2857" s="34">
        <f t="shared" si="136"/>
        <v>0</v>
      </c>
    </row>
    <row r="2858" spans="7:13" x14ac:dyDescent="0.25">
      <c r="G2858" s="10" t="str">
        <f t="shared" si="134"/>
        <v/>
      </c>
      <c r="H2858" t="str">
        <f t="shared" si="135"/>
        <v/>
      </c>
      <c r="M2858" s="34">
        <f t="shared" si="136"/>
        <v>0</v>
      </c>
    </row>
    <row r="2859" spans="7:13" x14ac:dyDescent="0.25">
      <c r="G2859" s="10" t="str">
        <f t="shared" si="134"/>
        <v/>
      </c>
      <c r="H2859" t="str">
        <f t="shared" si="135"/>
        <v/>
      </c>
      <c r="M2859" s="34">
        <f t="shared" si="136"/>
        <v>0</v>
      </c>
    </row>
    <row r="2860" spans="7:13" x14ac:dyDescent="0.25">
      <c r="G2860" s="10" t="str">
        <f t="shared" si="134"/>
        <v/>
      </c>
      <c r="H2860" t="str">
        <f t="shared" si="135"/>
        <v/>
      </c>
      <c r="M2860" s="34">
        <f t="shared" si="136"/>
        <v>0</v>
      </c>
    </row>
    <row r="2861" spans="7:13" x14ac:dyDescent="0.25">
      <c r="G2861" s="10" t="str">
        <f t="shared" si="134"/>
        <v/>
      </c>
      <c r="H2861" t="str">
        <f t="shared" si="135"/>
        <v/>
      </c>
      <c r="M2861" s="34">
        <f t="shared" si="136"/>
        <v>0</v>
      </c>
    </row>
    <row r="2862" spans="7:13" x14ac:dyDescent="0.25">
      <c r="G2862" s="10" t="str">
        <f t="shared" si="134"/>
        <v/>
      </c>
      <c r="H2862" t="str">
        <f t="shared" si="135"/>
        <v/>
      </c>
      <c r="M2862" s="34">
        <f t="shared" si="136"/>
        <v>0</v>
      </c>
    </row>
    <row r="2863" spans="7:13" x14ac:dyDescent="0.25">
      <c r="G2863" s="10" t="str">
        <f t="shared" si="134"/>
        <v/>
      </c>
      <c r="H2863" t="str">
        <f t="shared" si="135"/>
        <v/>
      </c>
      <c r="M2863" s="34">
        <f t="shared" si="136"/>
        <v>0</v>
      </c>
    </row>
    <row r="2864" spans="7:13" x14ac:dyDescent="0.25">
      <c r="G2864" s="10" t="str">
        <f t="shared" si="134"/>
        <v/>
      </c>
      <c r="H2864" t="str">
        <f t="shared" si="135"/>
        <v/>
      </c>
      <c r="M2864" s="34">
        <f t="shared" si="136"/>
        <v>0</v>
      </c>
    </row>
    <row r="2865" spans="7:13" x14ac:dyDescent="0.25">
      <c r="G2865" s="10" t="str">
        <f t="shared" si="134"/>
        <v/>
      </c>
      <c r="H2865" t="str">
        <f t="shared" si="135"/>
        <v/>
      </c>
      <c r="M2865" s="34">
        <f t="shared" si="136"/>
        <v>0</v>
      </c>
    </row>
    <row r="2866" spans="7:13" x14ac:dyDescent="0.25">
      <c r="G2866" s="10" t="str">
        <f t="shared" si="134"/>
        <v/>
      </c>
      <c r="H2866" t="str">
        <f t="shared" si="135"/>
        <v/>
      </c>
      <c r="M2866" s="34">
        <f t="shared" si="136"/>
        <v>0</v>
      </c>
    </row>
    <row r="2867" spans="7:13" x14ac:dyDescent="0.25">
      <c r="G2867" s="10" t="str">
        <f t="shared" si="134"/>
        <v/>
      </c>
      <c r="H2867" t="str">
        <f t="shared" si="135"/>
        <v/>
      </c>
      <c r="M2867" s="34">
        <f t="shared" si="136"/>
        <v>0</v>
      </c>
    </row>
    <row r="2868" spans="7:13" x14ac:dyDescent="0.25">
      <c r="G2868" s="10" t="str">
        <f t="shared" si="134"/>
        <v/>
      </c>
      <c r="H2868" t="str">
        <f t="shared" si="135"/>
        <v/>
      </c>
      <c r="M2868" s="34">
        <f t="shared" si="136"/>
        <v>0</v>
      </c>
    </row>
    <row r="2869" spans="7:13" x14ac:dyDescent="0.25">
      <c r="G2869" s="10" t="str">
        <f t="shared" si="134"/>
        <v/>
      </c>
      <c r="H2869" t="str">
        <f t="shared" si="135"/>
        <v/>
      </c>
      <c r="M2869" s="34">
        <f t="shared" si="136"/>
        <v>0</v>
      </c>
    </row>
    <row r="2870" spans="7:13" x14ac:dyDescent="0.25">
      <c r="G2870" s="10" t="str">
        <f t="shared" si="134"/>
        <v/>
      </c>
      <c r="H2870" t="str">
        <f t="shared" si="135"/>
        <v/>
      </c>
      <c r="M2870" s="34">
        <f t="shared" si="136"/>
        <v>0</v>
      </c>
    </row>
    <row r="2871" spans="7:13" x14ac:dyDescent="0.25">
      <c r="G2871" s="10" t="str">
        <f t="shared" si="134"/>
        <v/>
      </c>
      <c r="H2871" t="str">
        <f t="shared" si="135"/>
        <v/>
      </c>
      <c r="M2871" s="34">
        <f t="shared" si="136"/>
        <v>0</v>
      </c>
    </row>
    <row r="2872" spans="7:13" x14ac:dyDescent="0.25">
      <c r="G2872" s="10" t="str">
        <f t="shared" si="134"/>
        <v/>
      </c>
      <c r="H2872" t="str">
        <f t="shared" si="135"/>
        <v/>
      </c>
      <c r="M2872" s="34">
        <f t="shared" si="136"/>
        <v>0</v>
      </c>
    </row>
    <row r="2873" spans="7:13" x14ac:dyDescent="0.25">
      <c r="G2873" s="10" t="str">
        <f t="shared" si="134"/>
        <v/>
      </c>
      <c r="H2873" t="str">
        <f t="shared" si="135"/>
        <v/>
      </c>
      <c r="M2873" s="34">
        <f t="shared" si="136"/>
        <v>0</v>
      </c>
    </row>
    <row r="2874" spans="7:13" x14ac:dyDescent="0.25">
      <c r="G2874" s="10" t="str">
        <f t="shared" si="134"/>
        <v/>
      </c>
      <c r="H2874" t="str">
        <f t="shared" si="135"/>
        <v/>
      </c>
      <c r="M2874" s="34">
        <f t="shared" si="136"/>
        <v>0</v>
      </c>
    </row>
    <row r="2875" spans="7:13" x14ac:dyDescent="0.25">
      <c r="G2875" s="10" t="str">
        <f t="shared" si="134"/>
        <v/>
      </c>
      <c r="H2875" t="str">
        <f t="shared" si="135"/>
        <v/>
      </c>
      <c r="M2875" s="34">
        <f t="shared" si="136"/>
        <v>0</v>
      </c>
    </row>
    <row r="2876" spans="7:13" x14ac:dyDescent="0.25">
      <c r="G2876" s="10" t="str">
        <f t="shared" si="134"/>
        <v/>
      </c>
      <c r="H2876" t="str">
        <f t="shared" si="135"/>
        <v/>
      </c>
      <c r="M2876" s="34">
        <f t="shared" si="136"/>
        <v>0</v>
      </c>
    </row>
    <row r="2877" spans="7:13" x14ac:dyDescent="0.25">
      <c r="G2877" s="10" t="str">
        <f t="shared" si="134"/>
        <v/>
      </c>
      <c r="H2877" t="str">
        <f t="shared" si="135"/>
        <v/>
      </c>
      <c r="M2877" s="34">
        <f t="shared" si="136"/>
        <v>0</v>
      </c>
    </row>
    <row r="2878" spans="7:13" x14ac:dyDescent="0.25">
      <c r="G2878" s="10" t="str">
        <f t="shared" si="134"/>
        <v/>
      </c>
      <c r="H2878" t="str">
        <f t="shared" si="135"/>
        <v/>
      </c>
      <c r="M2878" s="34">
        <f t="shared" si="136"/>
        <v>0</v>
      </c>
    </row>
    <row r="2879" spans="7:13" x14ac:dyDescent="0.25">
      <c r="G2879" s="10" t="str">
        <f t="shared" si="134"/>
        <v/>
      </c>
      <c r="H2879" t="str">
        <f t="shared" si="135"/>
        <v/>
      </c>
      <c r="M2879" s="34">
        <f t="shared" si="136"/>
        <v>0</v>
      </c>
    </row>
    <row r="2880" spans="7:13" x14ac:dyDescent="0.25">
      <c r="G2880" s="10" t="str">
        <f t="shared" si="134"/>
        <v/>
      </c>
      <c r="H2880" t="str">
        <f t="shared" si="135"/>
        <v/>
      </c>
      <c r="M2880" s="34">
        <f t="shared" si="136"/>
        <v>0</v>
      </c>
    </row>
    <row r="2881" spans="7:13" x14ac:dyDescent="0.25">
      <c r="G2881" s="10" t="str">
        <f t="shared" si="134"/>
        <v/>
      </c>
      <c r="H2881" t="str">
        <f t="shared" si="135"/>
        <v/>
      </c>
      <c r="M2881" s="34">
        <f t="shared" si="136"/>
        <v>0</v>
      </c>
    </row>
    <row r="2882" spans="7:13" x14ac:dyDescent="0.25">
      <c r="G2882" s="10" t="str">
        <f t="shared" ref="G2882:G2945" si="137">IF(F2882&gt;0,"RECETTE",IF(F2882&lt;0,"DÉPENSE",""))</f>
        <v/>
      </c>
      <c r="H2882" t="str">
        <f t="shared" ref="H2882:H2945" si="138">+IF(ISNUMBER(D2882),D2882,"")</f>
        <v/>
      </c>
      <c r="M2882" s="34">
        <f t="shared" si="136"/>
        <v>0</v>
      </c>
    </row>
    <row r="2883" spans="7:13" x14ac:dyDescent="0.25">
      <c r="G2883" s="10" t="str">
        <f t="shared" si="137"/>
        <v/>
      </c>
      <c r="H2883" t="str">
        <f t="shared" si="138"/>
        <v/>
      </c>
      <c r="M2883" s="34">
        <f t="shared" ref="M2883:M2946" si="139">IF(AND(E2883="Chèque",G2883="RECETTE"),F2883,0)</f>
        <v>0</v>
      </c>
    </row>
    <row r="2884" spans="7:13" x14ac:dyDescent="0.25">
      <c r="G2884" s="10" t="str">
        <f t="shared" si="137"/>
        <v/>
      </c>
      <c r="H2884" t="str">
        <f t="shared" si="138"/>
        <v/>
      </c>
      <c r="M2884" s="34">
        <f t="shared" si="139"/>
        <v>0</v>
      </c>
    </row>
    <row r="2885" spans="7:13" x14ac:dyDescent="0.25">
      <c r="G2885" s="10" t="str">
        <f t="shared" si="137"/>
        <v/>
      </c>
      <c r="H2885" t="str">
        <f t="shared" si="138"/>
        <v/>
      </c>
      <c r="M2885" s="34">
        <f t="shared" si="139"/>
        <v>0</v>
      </c>
    </row>
    <row r="2886" spans="7:13" x14ac:dyDescent="0.25">
      <c r="G2886" s="10" t="str">
        <f t="shared" si="137"/>
        <v/>
      </c>
      <c r="H2886" t="str">
        <f t="shared" si="138"/>
        <v/>
      </c>
      <c r="M2886" s="34">
        <f t="shared" si="139"/>
        <v>0</v>
      </c>
    </row>
    <row r="2887" spans="7:13" x14ac:dyDescent="0.25">
      <c r="G2887" s="10" t="str">
        <f t="shared" si="137"/>
        <v/>
      </c>
      <c r="H2887" t="str">
        <f t="shared" si="138"/>
        <v/>
      </c>
      <c r="M2887" s="34">
        <f t="shared" si="139"/>
        <v>0</v>
      </c>
    </row>
    <row r="2888" spans="7:13" x14ac:dyDescent="0.25">
      <c r="G2888" s="10" t="str">
        <f t="shared" si="137"/>
        <v/>
      </c>
      <c r="H2888" t="str">
        <f t="shared" si="138"/>
        <v/>
      </c>
      <c r="M2888" s="34">
        <f t="shared" si="139"/>
        <v>0</v>
      </c>
    </row>
    <row r="2889" spans="7:13" x14ac:dyDescent="0.25">
      <c r="G2889" s="10" t="str">
        <f t="shared" si="137"/>
        <v/>
      </c>
      <c r="H2889" t="str">
        <f t="shared" si="138"/>
        <v/>
      </c>
      <c r="M2889" s="34">
        <f t="shared" si="139"/>
        <v>0</v>
      </c>
    </row>
    <row r="2890" spans="7:13" x14ac:dyDescent="0.25">
      <c r="G2890" s="10" t="str">
        <f t="shared" si="137"/>
        <v/>
      </c>
      <c r="H2890" t="str">
        <f t="shared" si="138"/>
        <v/>
      </c>
      <c r="M2890" s="34">
        <f t="shared" si="139"/>
        <v>0</v>
      </c>
    </row>
    <row r="2891" spans="7:13" x14ac:dyDescent="0.25">
      <c r="G2891" s="10" t="str">
        <f t="shared" si="137"/>
        <v/>
      </c>
      <c r="H2891" t="str">
        <f t="shared" si="138"/>
        <v/>
      </c>
      <c r="M2891" s="34">
        <f t="shared" si="139"/>
        <v>0</v>
      </c>
    </row>
    <row r="2892" spans="7:13" x14ac:dyDescent="0.25">
      <c r="G2892" s="10" t="str">
        <f t="shared" si="137"/>
        <v/>
      </c>
      <c r="H2892" t="str">
        <f t="shared" si="138"/>
        <v/>
      </c>
      <c r="M2892" s="34">
        <f t="shared" si="139"/>
        <v>0</v>
      </c>
    </row>
    <row r="2893" spans="7:13" x14ac:dyDescent="0.25">
      <c r="G2893" s="10" t="str">
        <f t="shared" si="137"/>
        <v/>
      </c>
      <c r="H2893" t="str">
        <f t="shared" si="138"/>
        <v/>
      </c>
      <c r="M2893" s="34">
        <f t="shared" si="139"/>
        <v>0</v>
      </c>
    </row>
    <row r="2894" spans="7:13" x14ac:dyDescent="0.25">
      <c r="G2894" s="10" t="str">
        <f t="shared" si="137"/>
        <v/>
      </c>
      <c r="H2894" t="str">
        <f t="shared" si="138"/>
        <v/>
      </c>
      <c r="M2894" s="34">
        <f t="shared" si="139"/>
        <v>0</v>
      </c>
    </row>
    <row r="2895" spans="7:13" x14ac:dyDescent="0.25">
      <c r="G2895" s="10" t="str">
        <f t="shared" si="137"/>
        <v/>
      </c>
      <c r="H2895" t="str">
        <f t="shared" si="138"/>
        <v/>
      </c>
      <c r="M2895" s="34">
        <f t="shared" si="139"/>
        <v>0</v>
      </c>
    </row>
    <row r="2896" spans="7:13" x14ac:dyDescent="0.25">
      <c r="G2896" s="10" t="str">
        <f t="shared" si="137"/>
        <v/>
      </c>
      <c r="H2896" t="str">
        <f t="shared" si="138"/>
        <v/>
      </c>
      <c r="M2896" s="34">
        <f t="shared" si="139"/>
        <v>0</v>
      </c>
    </row>
    <row r="2897" spans="7:13" x14ac:dyDescent="0.25">
      <c r="G2897" s="10" t="str">
        <f t="shared" si="137"/>
        <v/>
      </c>
      <c r="H2897" t="str">
        <f t="shared" si="138"/>
        <v/>
      </c>
      <c r="M2897" s="34">
        <f t="shared" si="139"/>
        <v>0</v>
      </c>
    </row>
    <row r="2898" spans="7:13" x14ac:dyDescent="0.25">
      <c r="G2898" s="10" t="str">
        <f t="shared" si="137"/>
        <v/>
      </c>
      <c r="H2898" t="str">
        <f t="shared" si="138"/>
        <v/>
      </c>
      <c r="M2898" s="34">
        <f t="shared" si="139"/>
        <v>0</v>
      </c>
    </row>
    <row r="2899" spans="7:13" x14ac:dyDescent="0.25">
      <c r="G2899" s="10" t="str">
        <f t="shared" si="137"/>
        <v/>
      </c>
      <c r="H2899" t="str">
        <f t="shared" si="138"/>
        <v/>
      </c>
      <c r="M2899" s="34">
        <f t="shared" si="139"/>
        <v>0</v>
      </c>
    </row>
    <row r="2900" spans="7:13" x14ac:dyDescent="0.25">
      <c r="G2900" s="10" t="str">
        <f t="shared" si="137"/>
        <v/>
      </c>
      <c r="H2900" t="str">
        <f t="shared" si="138"/>
        <v/>
      </c>
      <c r="M2900" s="34">
        <f t="shared" si="139"/>
        <v>0</v>
      </c>
    </row>
    <row r="2901" spans="7:13" x14ac:dyDescent="0.25">
      <c r="G2901" s="10" t="str">
        <f t="shared" si="137"/>
        <v/>
      </c>
      <c r="H2901" t="str">
        <f t="shared" si="138"/>
        <v/>
      </c>
      <c r="M2901" s="34">
        <f t="shared" si="139"/>
        <v>0</v>
      </c>
    </row>
    <row r="2902" spans="7:13" x14ac:dyDescent="0.25">
      <c r="G2902" s="10" t="str">
        <f t="shared" si="137"/>
        <v/>
      </c>
      <c r="H2902" t="str">
        <f t="shared" si="138"/>
        <v/>
      </c>
      <c r="M2902" s="34">
        <f t="shared" si="139"/>
        <v>0</v>
      </c>
    </row>
    <row r="2903" spans="7:13" x14ac:dyDescent="0.25">
      <c r="G2903" s="10" t="str">
        <f t="shared" si="137"/>
        <v/>
      </c>
      <c r="H2903" t="str">
        <f t="shared" si="138"/>
        <v/>
      </c>
      <c r="M2903" s="34">
        <f t="shared" si="139"/>
        <v>0</v>
      </c>
    </row>
    <row r="2904" spans="7:13" x14ac:dyDescent="0.25">
      <c r="G2904" s="10" t="str">
        <f t="shared" si="137"/>
        <v/>
      </c>
      <c r="H2904" t="str">
        <f t="shared" si="138"/>
        <v/>
      </c>
      <c r="M2904" s="34">
        <f t="shared" si="139"/>
        <v>0</v>
      </c>
    </row>
    <row r="2905" spans="7:13" x14ac:dyDescent="0.25">
      <c r="G2905" s="10" t="str">
        <f t="shared" si="137"/>
        <v/>
      </c>
      <c r="H2905" t="str">
        <f t="shared" si="138"/>
        <v/>
      </c>
      <c r="M2905" s="34">
        <f t="shared" si="139"/>
        <v>0</v>
      </c>
    </row>
    <row r="2906" spans="7:13" x14ac:dyDescent="0.25">
      <c r="G2906" s="10" t="str">
        <f t="shared" si="137"/>
        <v/>
      </c>
      <c r="H2906" t="str">
        <f t="shared" si="138"/>
        <v/>
      </c>
      <c r="M2906" s="34">
        <f t="shared" si="139"/>
        <v>0</v>
      </c>
    </row>
    <row r="2907" spans="7:13" x14ac:dyDescent="0.25">
      <c r="G2907" s="10" t="str">
        <f t="shared" si="137"/>
        <v/>
      </c>
      <c r="H2907" t="str">
        <f t="shared" si="138"/>
        <v/>
      </c>
      <c r="M2907" s="34">
        <f t="shared" si="139"/>
        <v>0</v>
      </c>
    </row>
    <row r="2908" spans="7:13" x14ac:dyDescent="0.25">
      <c r="G2908" s="10" t="str">
        <f t="shared" si="137"/>
        <v/>
      </c>
      <c r="H2908" t="str">
        <f t="shared" si="138"/>
        <v/>
      </c>
      <c r="M2908" s="34">
        <f t="shared" si="139"/>
        <v>0</v>
      </c>
    </row>
    <row r="2909" spans="7:13" x14ac:dyDescent="0.25">
      <c r="G2909" s="10" t="str">
        <f t="shared" si="137"/>
        <v/>
      </c>
      <c r="H2909" t="str">
        <f t="shared" si="138"/>
        <v/>
      </c>
      <c r="M2909" s="34">
        <f t="shared" si="139"/>
        <v>0</v>
      </c>
    </row>
    <row r="2910" spans="7:13" x14ac:dyDescent="0.25">
      <c r="G2910" s="10" t="str">
        <f t="shared" si="137"/>
        <v/>
      </c>
      <c r="H2910" t="str">
        <f t="shared" si="138"/>
        <v/>
      </c>
      <c r="M2910" s="34">
        <f t="shared" si="139"/>
        <v>0</v>
      </c>
    </row>
    <row r="2911" spans="7:13" x14ac:dyDescent="0.25">
      <c r="G2911" s="10" t="str">
        <f t="shared" si="137"/>
        <v/>
      </c>
      <c r="H2911" t="str">
        <f t="shared" si="138"/>
        <v/>
      </c>
      <c r="M2911" s="34">
        <f t="shared" si="139"/>
        <v>0</v>
      </c>
    </row>
    <row r="2912" spans="7:13" x14ac:dyDescent="0.25">
      <c r="G2912" s="10" t="str">
        <f t="shared" si="137"/>
        <v/>
      </c>
      <c r="H2912" t="str">
        <f t="shared" si="138"/>
        <v/>
      </c>
      <c r="M2912" s="34">
        <f t="shared" si="139"/>
        <v>0</v>
      </c>
    </row>
    <row r="2913" spans="7:13" x14ac:dyDescent="0.25">
      <c r="G2913" s="10" t="str">
        <f t="shared" si="137"/>
        <v/>
      </c>
      <c r="H2913" t="str">
        <f t="shared" si="138"/>
        <v/>
      </c>
      <c r="M2913" s="34">
        <f t="shared" si="139"/>
        <v>0</v>
      </c>
    </row>
    <row r="2914" spans="7:13" x14ac:dyDescent="0.25">
      <c r="G2914" s="10" t="str">
        <f t="shared" si="137"/>
        <v/>
      </c>
      <c r="H2914" t="str">
        <f t="shared" si="138"/>
        <v/>
      </c>
      <c r="M2914" s="34">
        <f t="shared" si="139"/>
        <v>0</v>
      </c>
    </row>
    <row r="2915" spans="7:13" x14ac:dyDescent="0.25">
      <c r="G2915" s="10" t="str">
        <f t="shared" si="137"/>
        <v/>
      </c>
      <c r="H2915" t="str">
        <f t="shared" si="138"/>
        <v/>
      </c>
      <c r="M2915" s="34">
        <f t="shared" si="139"/>
        <v>0</v>
      </c>
    </row>
    <row r="2916" spans="7:13" x14ac:dyDescent="0.25">
      <c r="G2916" s="10" t="str">
        <f t="shared" si="137"/>
        <v/>
      </c>
      <c r="H2916" t="str">
        <f t="shared" si="138"/>
        <v/>
      </c>
      <c r="M2916" s="34">
        <f t="shared" si="139"/>
        <v>0</v>
      </c>
    </row>
    <row r="2917" spans="7:13" x14ac:dyDescent="0.25">
      <c r="G2917" s="10" t="str">
        <f t="shared" si="137"/>
        <v/>
      </c>
      <c r="H2917" t="str">
        <f t="shared" si="138"/>
        <v/>
      </c>
      <c r="M2917" s="34">
        <f t="shared" si="139"/>
        <v>0</v>
      </c>
    </row>
    <row r="2918" spans="7:13" x14ac:dyDescent="0.25">
      <c r="G2918" s="10" t="str">
        <f t="shared" si="137"/>
        <v/>
      </c>
      <c r="H2918" t="str">
        <f t="shared" si="138"/>
        <v/>
      </c>
      <c r="M2918" s="34">
        <f t="shared" si="139"/>
        <v>0</v>
      </c>
    </row>
    <row r="2919" spans="7:13" x14ac:dyDescent="0.25">
      <c r="G2919" s="10" t="str">
        <f t="shared" si="137"/>
        <v/>
      </c>
      <c r="H2919" t="str">
        <f t="shared" si="138"/>
        <v/>
      </c>
      <c r="M2919" s="34">
        <f t="shared" si="139"/>
        <v>0</v>
      </c>
    </row>
    <row r="2920" spans="7:13" x14ac:dyDescent="0.25">
      <c r="G2920" s="10" t="str">
        <f t="shared" si="137"/>
        <v/>
      </c>
      <c r="H2920" t="str">
        <f t="shared" si="138"/>
        <v/>
      </c>
      <c r="M2920" s="34">
        <f t="shared" si="139"/>
        <v>0</v>
      </c>
    </row>
    <row r="2921" spans="7:13" x14ac:dyDescent="0.25">
      <c r="G2921" s="10" t="str">
        <f t="shared" si="137"/>
        <v/>
      </c>
      <c r="H2921" t="str">
        <f t="shared" si="138"/>
        <v/>
      </c>
      <c r="M2921" s="34">
        <f t="shared" si="139"/>
        <v>0</v>
      </c>
    </row>
    <row r="2922" spans="7:13" x14ac:dyDescent="0.25">
      <c r="G2922" s="10" t="str">
        <f t="shared" si="137"/>
        <v/>
      </c>
      <c r="H2922" t="str">
        <f t="shared" si="138"/>
        <v/>
      </c>
      <c r="M2922" s="34">
        <f t="shared" si="139"/>
        <v>0</v>
      </c>
    </row>
    <row r="2923" spans="7:13" x14ac:dyDescent="0.25">
      <c r="G2923" s="10" t="str">
        <f t="shared" si="137"/>
        <v/>
      </c>
      <c r="H2923" t="str">
        <f t="shared" si="138"/>
        <v/>
      </c>
      <c r="M2923" s="34">
        <f t="shared" si="139"/>
        <v>0</v>
      </c>
    </row>
    <row r="2924" spans="7:13" x14ac:dyDescent="0.25">
      <c r="G2924" s="10" t="str">
        <f t="shared" si="137"/>
        <v/>
      </c>
      <c r="H2924" t="str">
        <f t="shared" si="138"/>
        <v/>
      </c>
      <c r="M2924" s="34">
        <f t="shared" si="139"/>
        <v>0</v>
      </c>
    </row>
    <row r="2925" spans="7:13" x14ac:dyDescent="0.25">
      <c r="G2925" s="10" t="str">
        <f t="shared" si="137"/>
        <v/>
      </c>
      <c r="H2925" t="str">
        <f t="shared" si="138"/>
        <v/>
      </c>
      <c r="M2925" s="34">
        <f t="shared" si="139"/>
        <v>0</v>
      </c>
    </row>
    <row r="2926" spans="7:13" x14ac:dyDescent="0.25">
      <c r="G2926" s="10" t="str">
        <f t="shared" si="137"/>
        <v/>
      </c>
      <c r="H2926" t="str">
        <f t="shared" si="138"/>
        <v/>
      </c>
      <c r="M2926" s="34">
        <f t="shared" si="139"/>
        <v>0</v>
      </c>
    </row>
    <row r="2927" spans="7:13" x14ac:dyDescent="0.25">
      <c r="G2927" s="10" t="str">
        <f t="shared" si="137"/>
        <v/>
      </c>
      <c r="H2927" t="str">
        <f t="shared" si="138"/>
        <v/>
      </c>
      <c r="M2927" s="34">
        <f t="shared" si="139"/>
        <v>0</v>
      </c>
    </row>
    <row r="2928" spans="7:13" x14ac:dyDescent="0.25">
      <c r="G2928" s="10" t="str">
        <f t="shared" si="137"/>
        <v/>
      </c>
      <c r="H2928" t="str">
        <f t="shared" si="138"/>
        <v/>
      </c>
      <c r="M2928" s="34">
        <f t="shared" si="139"/>
        <v>0</v>
      </c>
    </row>
    <row r="2929" spans="7:13" x14ac:dyDescent="0.25">
      <c r="G2929" s="10" t="str">
        <f t="shared" si="137"/>
        <v/>
      </c>
      <c r="H2929" t="str">
        <f t="shared" si="138"/>
        <v/>
      </c>
      <c r="M2929" s="34">
        <f t="shared" si="139"/>
        <v>0</v>
      </c>
    </row>
    <row r="2930" spans="7:13" x14ac:dyDescent="0.25">
      <c r="G2930" s="10" t="str">
        <f t="shared" si="137"/>
        <v/>
      </c>
      <c r="H2930" t="str">
        <f t="shared" si="138"/>
        <v/>
      </c>
      <c r="M2930" s="34">
        <f t="shared" si="139"/>
        <v>0</v>
      </c>
    </row>
    <row r="2931" spans="7:13" x14ac:dyDescent="0.25">
      <c r="G2931" s="10" t="str">
        <f t="shared" si="137"/>
        <v/>
      </c>
      <c r="H2931" t="str">
        <f t="shared" si="138"/>
        <v/>
      </c>
      <c r="M2931" s="34">
        <f t="shared" si="139"/>
        <v>0</v>
      </c>
    </row>
    <row r="2932" spans="7:13" x14ac:dyDescent="0.25">
      <c r="G2932" s="10" t="str">
        <f t="shared" si="137"/>
        <v/>
      </c>
      <c r="H2932" t="str">
        <f t="shared" si="138"/>
        <v/>
      </c>
      <c r="M2932" s="34">
        <f t="shared" si="139"/>
        <v>0</v>
      </c>
    </row>
    <row r="2933" spans="7:13" x14ac:dyDescent="0.25">
      <c r="G2933" s="10" t="str">
        <f t="shared" si="137"/>
        <v/>
      </c>
      <c r="H2933" t="str">
        <f t="shared" si="138"/>
        <v/>
      </c>
      <c r="M2933" s="34">
        <f t="shared" si="139"/>
        <v>0</v>
      </c>
    </row>
    <row r="2934" spans="7:13" x14ac:dyDescent="0.25">
      <c r="G2934" s="10" t="str">
        <f t="shared" si="137"/>
        <v/>
      </c>
      <c r="H2934" t="str">
        <f t="shared" si="138"/>
        <v/>
      </c>
      <c r="M2934" s="34">
        <f t="shared" si="139"/>
        <v>0</v>
      </c>
    </row>
    <row r="2935" spans="7:13" x14ac:dyDescent="0.25">
      <c r="G2935" s="10" t="str">
        <f t="shared" si="137"/>
        <v/>
      </c>
      <c r="H2935" t="str">
        <f t="shared" si="138"/>
        <v/>
      </c>
      <c r="M2935" s="34">
        <f t="shared" si="139"/>
        <v>0</v>
      </c>
    </row>
    <row r="2936" spans="7:13" x14ac:dyDescent="0.25">
      <c r="G2936" s="10" t="str">
        <f t="shared" si="137"/>
        <v/>
      </c>
      <c r="H2936" t="str">
        <f t="shared" si="138"/>
        <v/>
      </c>
      <c r="M2936" s="34">
        <f t="shared" si="139"/>
        <v>0</v>
      </c>
    </row>
    <row r="2937" spans="7:13" x14ac:dyDescent="0.25">
      <c r="G2937" s="10" t="str">
        <f t="shared" si="137"/>
        <v/>
      </c>
      <c r="H2937" t="str">
        <f t="shared" si="138"/>
        <v/>
      </c>
      <c r="M2937" s="34">
        <f t="shared" si="139"/>
        <v>0</v>
      </c>
    </row>
    <row r="2938" spans="7:13" x14ac:dyDescent="0.25">
      <c r="G2938" s="10" t="str">
        <f t="shared" si="137"/>
        <v/>
      </c>
      <c r="H2938" t="str">
        <f t="shared" si="138"/>
        <v/>
      </c>
      <c r="M2938" s="34">
        <f t="shared" si="139"/>
        <v>0</v>
      </c>
    </row>
    <row r="2939" spans="7:13" x14ac:dyDescent="0.25">
      <c r="G2939" s="10" t="str">
        <f t="shared" si="137"/>
        <v/>
      </c>
      <c r="H2939" t="str">
        <f t="shared" si="138"/>
        <v/>
      </c>
      <c r="M2939" s="34">
        <f t="shared" si="139"/>
        <v>0</v>
      </c>
    </row>
    <row r="2940" spans="7:13" x14ac:dyDescent="0.25">
      <c r="G2940" s="10" t="str">
        <f t="shared" si="137"/>
        <v/>
      </c>
      <c r="H2940" t="str">
        <f t="shared" si="138"/>
        <v/>
      </c>
      <c r="M2940" s="34">
        <f t="shared" si="139"/>
        <v>0</v>
      </c>
    </row>
    <row r="2941" spans="7:13" x14ac:dyDescent="0.25">
      <c r="G2941" s="10" t="str">
        <f t="shared" si="137"/>
        <v/>
      </c>
      <c r="H2941" t="str">
        <f t="shared" si="138"/>
        <v/>
      </c>
      <c r="M2941" s="34">
        <f t="shared" si="139"/>
        <v>0</v>
      </c>
    </row>
    <row r="2942" spans="7:13" x14ac:dyDescent="0.25">
      <c r="G2942" s="10" t="str">
        <f t="shared" si="137"/>
        <v/>
      </c>
      <c r="H2942" t="str">
        <f t="shared" si="138"/>
        <v/>
      </c>
      <c r="M2942" s="34">
        <f t="shared" si="139"/>
        <v>0</v>
      </c>
    </row>
    <row r="2943" spans="7:13" x14ac:dyDescent="0.25">
      <c r="G2943" s="10" t="str">
        <f t="shared" si="137"/>
        <v/>
      </c>
      <c r="H2943" t="str">
        <f t="shared" si="138"/>
        <v/>
      </c>
      <c r="M2943" s="34">
        <f t="shared" si="139"/>
        <v>0</v>
      </c>
    </row>
    <row r="2944" spans="7:13" x14ac:dyDescent="0.25">
      <c r="G2944" s="10" t="str">
        <f t="shared" si="137"/>
        <v/>
      </c>
      <c r="H2944" t="str">
        <f t="shared" si="138"/>
        <v/>
      </c>
      <c r="M2944" s="34">
        <f t="shared" si="139"/>
        <v>0</v>
      </c>
    </row>
    <row r="2945" spans="7:13" x14ac:dyDescent="0.25">
      <c r="G2945" s="10" t="str">
        <f t="shared" si="137"/>
        <v/>
      </c>
      <c r="H2945" t="str">
        <f t="shared" si="138"/>
        <v/>
      </c>
      <c r="M2945" s="34">
        <f t="shared" si="139"/>
        <v>0</v>
      </c>
    </row>
    <row r="2946" spans="7:13" x14ac:dyDescent="0.25">
      <c r="G2946" s="10" t="str">
        <f t="shared" ref="G2946:G3009" si="140">IF(F2946&gt;0,"RECETTE",IF(F2946&lt;0,"DÉPENSE",""))</f>
        <v/>
      </c>
      <c r="H2946" t="str">
        <f t="shared" ref="H2946:H3009" si="141">+IF(ISNUMBER(D2946),D2946,"")</f>
        <v/>
      </c>
      <c r="M2946" s="34">
        <f t="shared" si="139"/>
        <v>0</v>
      </c>
    </row>
    <row r="2947" spans="7:13" x14ac:dyDescent="0.25">
      <c r="G2947" s="10" t="str">
        <f t="shared" si="140"/>
        <v/>
      </c>
      <c r="H2947" t="str">
        <f t="shared" si="141"/>
        <v/>
      </c>
      <c r="M2947" s="34">
        <f t="shared" ref="M2947:M3010" si="142">IF(AND(E2947="Chèque",G2947="RECETTE"),F2947,0)</f>
        <v>0</v>
      </c>
    </row>
    <row r="2948" spans="7:13" x14ac:dyDescent="0.25">
      <c r="G2948" s="10" t="str">
        <f t="shared" si="140"/>
        <v/>
      </c>
      <c r="H2948" t="str">
        <f t="shared" si="141"/>
        <v/>
      </c>
      <c r="M2948" s="34">
        <f t="shared" si="142"/>
        <v>0</v>
      </c>
    </row>
    <row r="2949" spans="7:13" x14ac:dyDescent="0.25">
      <c r="G2949" s="10" t="str">
        <f t="shared" si="140"/>
        <v/>
      </c>
      <c r="H2949" t="str">
        <f t="shared" si="141"/>
        <v/>
      </c>
      <c r="M2949" s="34">
        <f t="shared" si="142"/>
        <v>0</v>
      </c>
    </row>
    <row r="2950" spans="7:13" x14ac:dyDescent="0.25">
      <c r="G2950" s="10" t="str">
        <f t="shared" si="140"/>
        <v/>
      </c>
      <c r="H2950" t="str">
        <f t="shared" si="141"/>
        <v/>
      </c>
      <c r="M2950" s="34">
        <f t="shared" si="142"/>
        <v>0</v>
      </c>
    </row>
    <row r="2951" spans="7:13" x14ac:dyDescent="0.25">
      <c r="G2951" s="10" t="str">
        <f t="shared" si="140"/>
        <v/>
      </c>
      <c r="H2951" t="str">
        <f t="shared" si="141"/>
        <v/>
      </c>
      <c r="M2951" s="34">
        <f t="shared" si="142"/>
        <v>0</v>
      </c>
    </row>
    <row r="2952" spans="7:13" x14ac:dyDescent="0.25">
      <c r="G2952" s="10" t="str">
        <f t="shared" si="140"/>
        <v/>
      </c>
      <c r="H2952" t="str">
        <f t="shared" si="141"/>
        <v/>
      </c>
      <c r="M2952" s="34">
        <f t="shared" si="142"/>
        <v>0</v>
      </c>
    </row>
    <row r="2953" spans="7:13" x14ac:dyDescent="0.25">
      <c r="G2953" s="10" t="str">
        <f t="shared" si="140"/>
        <v/>
      </c>
      <c r="H2953" t="str">
        <f t="shared" si="141"/>
        <v/>
      </c>
      <c r="M2953" s="34">
        <f t="shared" si="142"/>
        <v>0</v>
      </c>
    </row>
    <row r="2954" spans="7:13" x14ac:dyDescent="0.25">
      <c r="G2954" s="10" t="str">
        <f t="shared" si="140"/>
        <v/>
      </c>
      <c r="H2954" t="str">
        <f t="shared" si="141"/>
        <v/>
      </c>
      <c r="M2954" s="34">
        <f t="shared" si="142"/>
        <v>0</v>
      </c>
    </row>
    <row r="2955" spans="7:13" x14ac:dyDescent="0.25">
      <c r="G2955" s="10" t="str">
        <f t="shared" si="140"/>
        <v/>
      </c>
      <c r="H2955" t="str">
        <f t="shared" si="141"/>
        <v/>
      </c>
      <c r="M2955" s="34">
        <f t="shared" si="142"/>
        <v>0</v>
      </c>
    </row>
    <row r="2956" spans="7:13" x14ac:dyDescent="0.25">
      <c r="G2956" s="10" t="str">
        <f t="shared" si="140"/>
        <v/>
      </c>
      <c r="H2956" t="str">
        <f t="shared" si="141"/>
        <v/>
      </c>
      <c r="M2956" s="34">
        <f t="shared" si="142"/>
        <v>0</v>
      </c>
    </row>
    <row r="2957" spans="7:13" x14ac:dyDescent="0.25">
      <c r="G2957" s="10" t="str">
        <f t="shared" si="140"/>
        <v/>
      </c>
      <c r="H2957" t="str">
        <f t="shared" si="141"/>
        <v/>
      </c>
      <c r="M2957" s="34">
        <f t="shared" si="142"/>
        <v>0</v>
      </c>
    </row>
    <row r="2958" spans="7:13" x14ac:dyDescent="0.25">
      <c r="G2958" s="10" t="str">
        <f t="shared" si="140"/>
        <v/>
      </c>
      <c r="H2958" t="str">
        <f t="shared" si="141"/>
        <v/>
      </c>
      <c r="M2958" s="34">
        <f t="shared" si="142"/>
        <v>0</v>
      </c>
    </row>
    <row r="2959" spans="7:13" x14ac:dyDescent="0.25">
      <c r="G2959" s="10" t="str">
        <f t="shared" si="140"/>
        <v/>
      </c>
      <c r="H2959" t="str">
        <f t="shared" si="141"/>
        <v/>
      </c>
      <c r="M2959" s="34">
        <f t="shared" si="142"/>
        <v>0</v>
      </c>
    </row>
    <row r="2960" spans="7:13" x14ac:dyDescent="0.25">
      <c r="G2960" s="10" t="str">
        <f t="shared" si="140"/>
        <v/>
      </c>
      <c r="H2960" t="str">
        <f t="shared" si="141"/>
        <v/>
      </c>
      <c r="M2960" s="34">
        <f t="shared" si="142"/>
        <v>0</v>
      </c>
    </row>
    <row r="2961" spans="7:13" x14ac:dyDescent="0.25">
      <c r="G2961" s="10" t="str">
        <f t="shared" si="140"/>
        <v/>
      </c>
      <c r="H2961" t="str">
        <f t="shared" si="141"/>
        <v/>
      </c>
      <c r="M2961" s="34">
        <f t="shared" si="142"/>
        <v>0</v>
      </c>
    </row>
    <row r="2962" spans="7:13" x14ac:dyDescent="0.25">
      <c r="G2962" s="10" t="str">
        <f t="shared" si="140"/>
        <v/>
      </c>
      <c r="H2962" t="str">
        <f t="shared" si="141"/>
        <v/>
      </c>
      <c r="M2962" s="34">
        <f t="shared" si="142"/>
        <v>0</v>
      </c>
    </row>
    <row r="2963" spans="7:13" x14ac:dyDescent="0.25">
      <c r="G2963" s="10" t="str">
        <f t="shared" si="140"/>
        <v/>
      </c>
      <c r="H2963" t="str">
        <f t="shared" si="141"/>
        <v/>
      </c>
      <c r="M2963" s="34">
        <f t="shared" si="142"/>
        <v>0</v>
      </c>
    </row>
    <row r="2964" spans="7:13" x14ac:dyDescent="0.25">
      <c r="G2964" s="10" t="str">
        <f t="shared" si="140"/>
        <v/>
      </c>
      <c r="H2964" t="str">
        <f t="shared" si="141"/>
        <v/>
      </c>
      <c r="M2964" s="34">
        <f t="shared" si="142"/>
        <v>0</v>
      </c>
    </row>
    <row r="2965" spans="7:13" x14ac:dyDescent="0.25">
      <c r="G2965" s="10" t="str">
        <f t="shared" si="140"/>
        <v/>
      </c>
      <c r="H2965" t="str">
        <f t="shared" si="141"/>
        <v/>
      </c>
      <c r="M2965" s="34">
        <f t="shared" si="142"/>
        <v>0</v>
      </c>
    </row>
    <row r="2966" spans="7:13" x14ac:dyDescent="0.25">
      <c r="G2966" s="10" t="str">
        <f t="shared" si="140"/>
        <v/>
      </c>
      <c r="H2966" t="str">
        <f t="shared" si="141"/>
        <v/>
      </c>
      <c r="M2966" s="34">
        <f t="shared" si="142"/>
        <v>0</v>
      </c>
    </row>
    <row r="2967" spans="7:13" x14ac:dyDescent="0.25">
      <c r="G2967" s="10" t="str">
        <f t="shared" si="140"/>
        <v/>
      </c>
      <c r="H2967" t="str">
        <f t="shared" si="141"/>
        <v/>
      </c>
      <c r="M2967" s="34">
        <f t="shared" si="142"/>
        <v>0</v>
      </c>
    </row>
    <row r="2968" spans="7:13" x14ac:dyDescent="0.25">
      <c r="G2968" s="10" t="str">
        <f t="shared" si="140"/>
        <v/>
      </c>
      <c r="H2968" t="str">
        <f t="shared" si="141"/>
        <v/>
      </c>
      <c r="M2968" s="34">
        <f t="shared" si="142"/>
        <v>0</v>
      </c>
    </row>
    <row r="2969" spans="7:13" x14ac:dyDescent="0.25">
      <c r="G2969" s="10" t="str">
        <f t="shared" si="140"/>
        <v/>
      </c>
      <c r="H2969" t="str">
        <f t="shared" si="141"/>
        <v/>
      </c>
      <c r="M2969" s="34">
        <f t="shared" si="142"/>
        <v>0</v>
      </c>
    </row>
    <row r="2970" spans="7:13" x14ac:dyDescent="0.25">
      <c r="G2970" s="10" t="str">
        <f t="shared" si="140"/>
        <v/>
      </c>
      <c r="H2970" t="str">
        <f t="shared" si="141"/>
        <v/>
      </c>
      <c r="M2970" s="34">
        <f t="shared" si="142"/>
        <v>0</v>
      </c>
    </row>
    <row r="2971" spans="7:13" x14ac:dyDescent="0.25">
      <c r="G2971" s="10" t="str">
        <f t="shared" si="140"/>
        <v/>
      </c>
      <c r="H2971" t="str">
        <f t="shared" si="141"/>
        <v/>
      </c>
      <c r="M2971" s="34">
        <f t="shared" si="142"/>
        <v>0</v>
      </c>
    </row>
    <row r="2972" spans="7:13" x14ac:dyDescent="0.25">
      <c r="G2972" s="10" t="str">
        <f t="shared" si="140"/>
        <v/>
      </c>
      <c r="H2972" t="str">
        <f t="shared" si="141"/>
        <v/>
      </c>
      <c r="M2972" s="34">
        <f t="shared" si="142"/>
        <v>0</v>
      </c>
    </row>
    <row r="2973" spans="7:13" x14ac:dyDescent="0.25">
      <c r="G2973" s="10" t="str">
        <f t="shared" si="140"/>
        <v/>
      </c>
      <c r="H2973" t="str">
        <f t="shared" si="141"/>
        <v/>
      </c>
      <c r="M2973" s="34">
        <f t="shared" si="142"/>
        <v>0</v>
      </c>
    </row>
    <row r="2974" spans="7:13" x14ac:dyDescent="0.25">
      <c r="G2974" s="10" t="str">
        <f t="shared" si="140"/>
        <v/>
      </c>
      <c r="H2974" t="str">
        <f t="shared" si="141"/>
        <v/>
      </c>
      <c r="M2974" s="34">
        <f t="shared" si="142"/>
        <v>0</v>
      </c>
    </row>
    <row r="2975" spans="7:13" x14ac:dyDescent="0.25">
      <c r="G2975" s="10" t="str">
        <f t="shared" si="140"/>
        <v/>
      </c>
      <c r="H2975" t="str">
        <f t="shared" si="141"/>
        <v/>
      </c>
      <c r="M2975" s="34">
        <f t="shared" si="142"/>
        <v>0</v>
      </c>
    </row>
    <row r="2976" spans="7:13" x14ac:dyDescent="0.25">
      <c r="G2976" s="10" t="str">
        <f t="shared" si="140"/>
        <v/>
      </c>
      <c r="H2976" t="str">
        <f t="shared" si="141"/>
        <v/>
      </c>
      <c r="M2976" s="34">
        <f t="shared" si="142"/>
        <v>0</v>
      </c>
    </row>
    <row r="2977" spans="7:13" x14ac:dyDescent="0.25">
      <c r="G2977" s="10" t="str">
        <f t="shared" si="140"/>
        <v/>
      </c>
      <c r="H2977" t="str">
        <f t="shared" si="141"/>
        <v/>
      </c>
      <c r="M2977" s="34">
        <f t="shared" si="142"/>
        <v>0</v>
      </c>
    </row>
    <row r="2978" spans="7:13" x14ac:dyDescent="0.25">
      <c r="G2978" s="10" t="str">
        <f t="shared" si="140"/>
        <v/>
      </c>
      <c r="H2978" t="str">
        <f t="shared" si="141"/>
        <v/>
      </c>
      <c r="M2978" s="34">
        <f t="shared" si="142"/>
        <v>0</v>
      </c>
    </row>
    <row r="2979" spans="7:13" x14ac:dyDescent="0.25">
      <c r="G2979" s="10" t="str">
        <f t="shared" si="140"/>
        <v/>
      </c>
      <c r="H2979" t="str">
        <f t="shared" si="141"/>
        <v/>
      </c>
      <c r="M2979" s="34">
        <f t="shared" si="142"/>
        <v>0</v>
      </c>
    </row>
    <row r="2980" spans="7:13" x14ac:dyDescent="0.25">
      <c r="G2980" s="10" t="str">
        <f t="shared" si="140"/>
        <v/>
      </c>
      <c r="H2980" t="str">
        <f t="shared" si="141"/>
        <v/>
      </c>
      <c r="M2980" s="34">
        <f t="shared" si="142"/>
        <v>0</v>
      </c>
    </row>
    <row r="2981" spans="7:13" x14ac:dyDescent="0.25">
      <c r="G2981" s="10" t="str">
        <f t="shared" si="140"/>
        <v/>
      </c>
      <c r="H2981" t="str">
        <f t="shared" si="141"/>
        <v/>
      </c>
      <c r="M2981" s="34">
        <f t="shared" si="142"/>
        <v>0</v>
      </c>
    </row>
    <row r="2982" spans="7:13" x14ac:dyDescent="0.25">
      <c r="G2982" s="10" t="str">
        <f t="shared" si="140"/>
        <v/>
      </c>
      <c r="H2982" t="str">
        <f t="shared" si="141"/>
        <v/>
      </c>
      <c r="M2982" s="34">
        <f t="shared" si="142"/>
        <v>0</v>
      </c>
    </row>
    <row r="2983" spans="7:13" x14ac:dyDescent="0.25">
      <c r="G2983" s="10" t="str">
        <f t="shared" si="140"/>
        <v/>
      </c>
      <c r="H2983" t="str">
        <f t="shared" si="141"/>
        <v/>
      </c>
      <c r="M2983" s="34">
        <f t="shared" si="142"/>
        <v>0</v>
      </c>
    </row>
    <row r="2984" spans="7:13" x14ac:dyDescent="0.25">
      <c r="G2984" s="10" t="str">
        <f t="shared" si="140"/>
        <v/>
      </c>
      <c r="H2984" t="str">
        <f t="shared" si="141"/>
        <v/>
      </c>
      <c r="M2984" s="34">
        <f t="shared" si="142"/>
        <v>0</v>
      </c>
    </row>
    <row r="2985" spans="7:13" x14ac:dyDescent="0.25">
      <c r="G2985" s="10" t="str">
        <f t="shared" si="140"/>
        <v/>
      </c>
      <c r="H2985" t="str">
        <f t="shared" si="141"/>
        <v/>
      </c>
      <c r="M2985" s="34">
        <f t="shared" si="142"/>
        <v>0</v>
      </c>
    </row>
    <row r="2986" spans="7:13" x14ac:dyDescent="0.25">
      <c r="G2986" s="10" t="str">
        <f t="shared" si="140"/>
        <v/>
      </c>
      <c r="H2986" t="str">
        <f t="shared" si="141"/>
        <v/>
      </c>
      <c r="M2986" s="34">
        <f t="shared" si="142"/>
        <v>0</v>
      </c>
    </row>
    <row r="2987" spans="7:13" x14ac:dyDescent="0.25">
      <c r="G2987" s="10" t="str">
        <f t="shared" si="140"/>
        <v/>
      </c>
      <c r="H2987" t="str">
        <f t="shared" si="141"/>
        <v/>
      </c>
      <c r="M2987" s="34">
        <f t="shared" si="142"/>
        <v>0</v>
      </c>
    </row>
    <row r="2988" spans="7:13" x14ac:dyDescent="0.25">
      <c r="G2988" s="10" t="str">
        <f t="shared" si="140"/>
        <v/>
      </c>
      <c r="H2988" t="str">
        <f t="shared" si="141"/>
        <v/>
      </c>
      <c r="M2988" s="34">
        <f t="shared" si="142"/>
        <v>0</v>
      </c>
    </row>
    <row r="2989" spans="7:13" x14ac:dyDescent="0.25">
      <c r="G2989" s="10" t="str">
        <f t="shared" si="140"/>
        <v/>
      </c>
      <c r="H2989" t="str">
        <f t="shared" si="141"/>
        <v/>
      </c>
      <c r="M2989" s="34">
        <f t="shared" si="142"/>
        <v>0</v>
      </c>
    </row>
    <row r="2990" spans="7:13" x14ac:dyDescent="0.25">
      <c r="G2990" s="10" t="str">
        <f t="shared" si="140"/>
        <v/>
      </c>
      <c r="H2990" t="str">
        <f t="shared" si="141"/>
        <v/>
      </c>
      <c r="M2990" s="34">
        <f t="shared" si="142"/>
        <v>0</v>
      </c>
    </row>
    <row r="2991" spans="7:13" x14ac:dyDescent="0.25">
      <c r="G2991" s="10" t="str">
        <f t="shared" si="140"/>
        <v/>
      </c>
      <c r="H2991" t="str">
        <f t="shared" si="141"/>
        <v/>
      </c>
      <c r="M2991" s="34">
        <f t="shared" si="142"/>
        <v>0</v>
      </c>
    </row>
    <row r="2992" spans="7:13" x14ac:dyDescent="0.25">
      <c r="G2992" s="10" t="str">
        <f t="shared" si="140"/>
        <v/>
      </c>
      <c r="H2992" t="str">
        <f t="shared" si="141"/>
        <v/>
      </c>
      <c r="M2992" s="34">
        <f t="shared" si="142"/>
        <v>0</v>
      </c>
    </row>
    <row r="2993" spans="7:13" x14ac:dyDescent="0.25">
      <c r="G2993" s="10" t="str">
        <f t="shared" si="140"/>
        <v/>
      </c>
      <c r="H2993" t="str">
        <f t="shared" si="141"/>
        <v/>
      </c>
      <c r="M2993" s="34">
        <f t="shared" si="142"/>
        <v>0</v>
      </c>
    </row>
    <row r="2994" spans="7:13" x14ac:dyDescent="0.25">
      <c r="G2994" s="10" t="str">
        <f t="shared" si="140"/>
        <v/>
      </c>
      <c r="H2994" t="str">
        <f t="shared" si="141"/>
        <v/>
      </c>
      <c r="M2994" s="34">
        <f t="shared" si="142"/>
        <v>0</v>
      </c>
    </row>
    <row r="2995" spans="7:13" x14ac:dyDescent="0.25">
      <c r="G2995" s="10" t="str">
        <f t="shared" si="140"/>
        <v/>
      </c>
      <c r="H2995" t="str">
        <f t="shared" si="141"/>
        <v/>
      </c>
      <c r="M2995" s="34">
        <f t="shared" si="142"/>
        <v>0</v>
      </c>
    </row>
    <row r="2996" spans="7:13" x14ac:dyDescent="0.25">
      <c r="G2996" s="10" t="str">
        <f t="shared" si="140"/>
        <v/>
      </c>
      <c r="H2996" t="str">
        <f t="shared" si="141"/>
        <v/>
      </c>
      <c r="M2996" s="34">
        <f t="shared" si="142"/>
        <v>0</v>
      </c>
    </row>
    <row r="2997" spans="7:13" x14ac:dyDescent="0.25">
      <c r="G2997" s="10" t="str">
        <f t="shared" si="140"/>
        <v/>
      </c>
      <c r="H2997" t="str">
        <f t="shared" si="141"/>
        <v/>
      </c>
      <c r="M2997" s="34">
        <f t="shared" si="142"/>
        <v>0</v>
      </c>
    </row>
    <row r="2998" spans="7:13" x14ac:dyDescent="0.25">
      <c r="G2998" s="10" t="str">
        <f t="shared" si="140"/>
        <v/>
      </c>
      <c r="H2998" t="str">
        <f t="shared" si="141"/>
        <v/>
      </c>
      <c r="M2998" s="34">
        <f t="shared" si="142"/>
        <v>0</v>
      </c>
    </row>
    <row r="2999" spans="7:13" x14ac:dyDescent="0.25">
      <c r="G2999" s="10" t="str">
        <f t="shared" si="140"/>
        <v/>
      </c>
      <c r="H2999" t="str">
        <f t="shared" si="141"/>
        <v/>
      </c>
      <c r="M2999" s="34">
        <f t="shared" si="142"/>
        <v>0</v>
      </c>
    </row>
    <row r="3000" spans="7:13" x14ac:dyDescent="0.25">
      <c r="G3000" s="10" t="str">
        <f t="shared" si="140"/>
        <v/>
      </c>
      <c r="H3000" t="str">
        <f t="shared" si="141"/>
        <v/>
      </c>
      <c r="M3000" s="34">
        <f t="shared" si="142"/>
        <v>0</v>
      </c>
    </row>
    <row r="3001" spans="7:13" x14ac:dyDescent="0.25">
      <c r="G3001" s="10" t="str">
        <f t="shared" si="140"/>
        <v/>
      </c>
      <c r="H3001" t="str">
        <f t="shared" si="141"/>
        <v/>
      </c>
      <c r="M3001" s="34">
        <f t="shared" si="142"/>
        <v>0</v>
      </c>
    </row>
    <row r="3002" spans="7:13" x14ac:dyDescent="0.25">
      <c r="G3002" s="10" t="str">
        <f t="shared" si="140"/>
        <v/>
      </c>
      <c r="H3002" t="str">
        <f t="shared" si="141"/>
        <v/>
      </c>
      <c r="M3002" s="34">
        <f t="shared" si="142"/>
        <v>0</v>
      </c>
    </row>
    <row r="3003" spans="7:13" x14ac:dyDescent="0.25">
      <c r="G3003" s="10" t="str">
        <f t="shared" si="140"/>
        <v/>
      </c>
      <c r="H3003" t="str">
        <f t="shared" si="141"/>
        <v/>
      </c>
      <c r="M3003" s="34">
        <f t="shared" si="142"/>
        <v>0</v>
      </c>
    </row>
    <row r="3004" spans="7:13" x14ac:dyDescent="0.25">
      <c r="G3004" s="10" t="str">
        <f t="shared" si="140"/>
        <v/>
      </c>
      <c r="H3004" t="str">
        <f t="shared" si="141"/>
        <v/>
      </c>
      <c r="M3004" s="34">
        <f t="shared" si="142"/>
        <v>0</v>
      </c>
    </row>
    <row r="3005" spans="7:13" x14ac:dyDescent="0.25">
      <c r="G3005" s="10" t="str">
        <f t="shared" si="140"/>
        <v/>
      </c>
      <c r="H3005" t="str">
        <f t="shared" si="141"/>
        <v/>
      </c>
      <c r="M3005" s="34">
        <f t="shared" si="142"/>
        <v>0</v>
      </c>
    </row>
    <row r="3006" spans="7:13" x14ac:dyDescent="0.25">
      <c r="G3006" s="10" t="str">
        <f t="shared" si="140"/>
        <v/>
      </c>
      <c r="H3006" t="str">
        <f t="shared" si="141"/>
        <v/>
      </c>
      <c r="M3006" s="34">
        <f t="shared" si="142"/>
        <v>0</v>
      </c>
    </row>
    <row r="3007" spans="7:13" x14ac:dyDescent="0.25">
      <c r="G3007" s="10" t="str">
        <f t="shared" si="140"/>
        <v/>
      </c>
      <c r="H3007" t="str">
        <f t="shared" si="141"/>
        <v/>
      </c>
      <c r="M3007" s="34">
        <f t="shared" si="142"/>
        <v>0</v>
      </c>
    </row>
    <row r="3008" spans="7:13" x14ac:dyDescent="0.25">
      <c r="G3008" s="10" t="str">
        <f t="shared" si="140"/>
        <v/>
      </c>
      <c r="H3008" t="str">
        <f t="shared" si="141"/>
        <v/>
      </c>
      <c r="M3008" s="34">
        <f t="shared" si="142"/>
        <v>0</v>
      </c>
    </row>
    <row r="3009" spans="7:13" x14ac:dyDescent="0.25">
      <c r="G3009" s="10" t="str">
        <f t="shared" si="140"/>
        <v/>
      </c>
      <c r="H3009" t="str">
        <f t="shared" si="141"/>
        <v/>
      </c>
      <c r="M3009" s="34">
        <f t="shared" si="142"/>
        <v>0</v>
      </c>
    </row>
    <row r="3010" spans="7:13" x14ac:dyDescent="0.25">
      <c r="G3010" s="10" t="str">
        <f t="shared" ref="G3010:G3073" si="143">IF(F3010&gt;0,"RECETTE",IF(F3010&lt;0,"DÉPENSE",""))</f>
        <v/>
      </c>
      <c r="H3010" t="str">
        <f t="shared" ref="H3010:H3073" si="144">+IF(ISNUMBER(D3010),D3010,"")</f>
        <v/>
      </c>
      <c r="M3010" s="34">
        <f t="shared" si="142"/>
        <v>0</v>
      </c>
    </row>
    <row r="3011" spans="7:13" x14ac:dyDescent="0.25">
      <c r="G3011" s="10" t="str">
        <f t="shared" si="143"/>
        <v/>
      </c>
      <c r="H3011" t="str">
        <f t="shared" si="144"/>
        <v/>
      </c>
      <c r="M3011" s="34">
        <f t="shared" ref="M3011:M3074" si="145">IF(AND(E3011="Chèque",G3011="RECETTE"),F3011,0)</f>
        <v>0</v>
      </c>
    </row>
    <row r="3012" spans="7:13" x14ac:dyDescent="0.25">
      <c r="G3012" s="10" t="str">
        <f t="shared" si="143"/>
        <v/>
      </c>
      <c r="H3012" t="str">
        <f t="shared" si="144"/>
        <v/>
      </c>
      <c r="M3012" s="34">
        <f t="shared" si="145"/>
        <v>0</v>
      </c>
    </row>
    <row r="3013" spans="7:13" x14ac:dyDescent="0.25">
      <c r="G3013" s="10" t="str">
        <f t="shared" si="143"/>
        <v/>
      </c>
      <c r="H3013" t="str">
        <f t="shared" si="144"/>
        <v/>
      </c>
      <c r="M3013" s="34">
        <f t="shared" si="145"/>
        <v>0</v>
      </c>
    </row>
    <row r="3014" spans="7:13" x14ac:dyDescent="0.25">
      <c r="G3014" s="10" t="str">
        <f t="shared" si="143"/>
        <v/>
      </c>
      <c r="H3014" t="str">
        <f t="shared" si="144"/>
        <v/>
      </c>
      <c r="M3014" s="34">
        <f t="shared" si="145"/>
        <v>0</v>
      </c>
    </row>
    <row r="3015" spans="7:13" x14ac:dyDescent="0.25">
      <c r="G3015" s="10" t="str">
        <f t="shared" si="143"/>
        <v/>
      </c>
      <c r="H3015" t="str">
        <f t="shared" si="144"/>
        <v/>
      </c>
      <c r="M3015" s="34">
        <f t="shared" si="145"/>
        <v>0</v>
      </c>
    </row>
    <row r="3016" spans="7:13" x14ac:dyDescent="0.25">
      <c r="G3016" s="10" t="str">
        <f t="shared" si="143"/>
        <v/>
      </c>
      <c r="H3016" t="str">
        <f t="shared" si="144"/>
        <v/>
      </c>
      <c r="M3016" s="34">
        <f t="shared" si="145"/>
        <v>0</v>
      </c>
    </row>
    <row r="3017" spans="7:13" x14ac:dyDescent="0.25">
      <c r="G3017" s="10" t="str">
        <f t="shared" si="143"/>
        <v/>
      </c>
      <c r="H3017" t="str">
        <f t="shared" si="144"/>
        <v/>
      </c>
      <c r="M3017" s="34">
        <f t="shared" si="145"/>
        <v>0</v>
      </c>
    </row>
    <row r="3018" spans="7:13" x14ac:dyDescent="0.25">
      <c r="G3018" s="10" t="str">
        <f t="shared" si="143"/>
        <v/>
      </c>
      <c r="H3018" t="str">
        <f t="shared" si="144"/>
        <v/>
      </c>
      <c r="M3018" s="34">
        <f t="shared" si="145"/>
        <v>0</v>
      </c>
    </row>
    <row r="3019" spans="7:13" x14ac:dyDescent="0.25">
      <c r="G3019" s="10" t="str">
        <f t="shared" si="143"/>
        <v/>
      </c>
      <c r="H3019" t="str">
        <f t="shared" si="144"/>
        <v/>
      </c>
      <c r="M3019" s="34">
        <f t="shared" si="145"/>
        <v>0</v>
      </c>
    </row>
    <row r="3020" spans="7:13" x14ac:dyDescent="0.25">
      <c r="G3020" s="10" t="str">
        <f t="shared" si="143"/>
        <v/>
      </c>
      <c r="H3020" t="str">
        <f t="shared" si="144"/>
        <v/>
      </c>
      <c r="M3020" s="34">
        <f t="shared" si="145"/>
        <v>0</v>
      </c>
    </row>
    <row r="3021" spans="7:13" x14ac:dyDescent="0.25">
      <c r="G3021" s="10" t="str">
        <f t="shared" si="143"/>
        <v/>
      </c>
      <c r="H3021" t="str">
        <f t="shared" si="144"/>
        <v/>
      </c>
      <c r="M3021" s="34">
        <f t="shared" si="145"/>
        <v>0</v>
      </c>
    </row>
    <row r="3022" spans="7:13" x14ac:dyDescent="0.25">
      <c r="G3022" s="10" t="str">
        <f t="shared" si="143"/>
        <v/>
      </c>
      <c r="H3022" t="str">
        <f t="shared" si="144"/>
        <v/>
      </c>
      <c r="M3022" s="34">
        <f t="shared" si="145"/>
        <v>0</v>
      </c>
    </row>
    <row r="3023" spans="7:13" x14ac:dyDescent="0.25">
      <c r="G3023" s="10" t="str">
        <f t="shared" si="143"/>
        <v/>
      </c>
      <c r="H3023" t="str">
        <f t="shared" si="144"/>
        <v/>
      </c>
      <c r="M3023" s="34">
        <f t="shared" si="145"/>
        <v>0</v>
      </c>
    </row>
    <row r="3024" spans="7:13" x14ac:dyDescent="0.25">
      <c r="G3024" s="10" t="str">
        <f t="shared" si="143"/>
        <v/>
      </c>
      <c r="H3024" t="str">
        <f t="shared" si="144"/>
        <v/>
      </c>
      <c r="M3024" s="34">
        <f t="shared" si="145"/>
        <v>0</v>
      </c>
    </row>
    <row r="3025" spans="7:13" x14ac:dyDescent="0.25">
      <c r="G3025" s="10" t="str">
        <f t="shared" si="143"/>
        <v/>
      </c>
      <c r="H3025" t="str">
        <f t="shared" si="144"/>
        <v/>
      </c>
      <c r="M3025" s="34">
        <f t="shared" si="145"/>
        <v>0</v>
      </c>
    </row>
    <row r="3026" spans="7:13" x14ac:dyDescent="0.25">
      <c r="G3026" s="10" t="str">
        <f t="shared" si="143"/>
        <v/>
      </c>
      <c r="H3026" t="str">
        <f t="shared" si="144"/>
        <v/>
      </c>
      <c r="M3026" s="34">
        <f t="shared" si="145"/>
        <v>0</v>
      </c>
    </row>
    <row r="3027" spans="7:13" x14ac:dyDescent="0.25">
      <c r="G3027" s="10" t="str">
        <f t="shared" si="143"/>
        <v/>
      </c>
      <c r="H3027" t="str">
        <f t="shared" si="144"/>
        <v/>
      </c>
      <c r="M3027" s="34">
        <f t="shared" si="145"/>
        <v>0</v>
      </c>
    </row>
    <row r="3028" spans="7:13" x14ac:dyDescent="0.25">
      <c r="G3028" s="10" t="str">
        <f t="shared" si="143"/>
        <v/>
      </c>
      <c r="H3028" t="str">
        <f t="shared" si="144"/>
        <v/>
      </c>
      <c r="M3028" s="34">
        <f t="shared" si="145"/>
        <v>0</v>
      </c>
    </row>
    <row r="3029" spans="7:13" x14ac:dyDescent="0.25">
      <c r="G3029" s="10" t="str">
        <f t="shared" si="143"/>
        <v/>
      </c>
      <c r="H3029" t="str">
        <f t="shared" si="144"/>
        <v/>
      </c>
      <c r="M3029" s="34">
        <f t="shared" si="145"/>
        <v>0</v>
      </c>
    </row>
    <row r="3030" spans="7:13" x14ac:dyDescent="0.25">
      <c r="G3030" s="10" t="str">
        <f t="shared" si="143"/>
        <v/>
      </c>
      <c r="H3030" t="str">
        <f t="shared" si="144"/>
        <v/>
      </c>
      <c r="M3030" s="34">
        <f t="shared" si="145"/>
        <v>0</v>
      </c>
    </row>
    <row r="3031" spans="7:13" x14ac:dyDescent="0.25">
      <c r="G3031" s="10" t="str">
        <f t="shared" si="143"/>
        <v/>
      </c>
      <c r="H3031" t="str">
        <f t="shared" si="144"/>
        <v/>
      </c>
      <c r="M3031" s="34">
        <f t="shared" si="145"/>
        <v>0</v>
      </c>
    </row>
    <row r="3032" spans="7:13" x14ac:dyDescent="0.25">
      <c r="G3032" s="10" t="str">
        <f t="shared" si="143"/>
        <v/>
      </c>
      <c r="H3032" t="str">
        <f t="shared" si="144"/>
        <v/>
      </c>
      <c r="M3032" s="34">
        <f t="shared" si="145"/>
        <v>0</v>
      </c>
    </row>
    <row r="3033" spans="7:13" x14ac:dyDescent="0.25">
      <c r="G3033" s="10" t="str">
        <f t="shared" si="143"/>
        <v/>
      </c>
      <c r="H3033" t="str">
        <f t="shared" si="144"/>
        <v/>
      </c>
      <c r="M3033" s="34">
        <f t="shared" si="145"/>
        <v>0</v>
      </c>
    </row>
    <row r="3034" spans="7:13" x14ac:dyDescent="0.25">
      <c r="G3034" s="10" t="str">
        <f t="shared" si="143"/>
        <v/>
      </c>
      <c r="H3034" t="str">
        <f t="shared" si="144"/>
        <v/>
      </c>
      <c r="M3034" s="34">
        <f t="shared" si="145"/>
        <v>0</v>
      </c>
    </row>
    <row r="3035" spans="7:13" x14ac:dyDescent="0.25">
      <c r="G3035" s="10" t="str">
        <f t="shared" si="143"/>
        <v/>
      </c>
      <c r="H3035" t="str">
        <f t="shared" si="144"/>
        <v/>
      </c>
      <c r="M3035" s="34">
        <f t="shared" si="145"/>
        <v>0</v>
      </c>
    </row>
    <row r="3036" spans="7:13" x14ac:dyDescent="0.25">
      <c r="G3036" s="10" t="str">
        <f t="shared" si="143"/>
        <v/>
      </c>
      <c r="H3036" t="str">
        <f t="shared" si="144"/>
        <v/>
      </c>
      <c r="M3036" s="34">
        <f t="shared" si="145"/>
        <v>0</v>
      </c>
    </row>
    <row r="3037" spans="7:13" x14ac:dyDescent="0.25">
      <c r="G3037" s="10" t="str">
        <f t="shared" si="143"/>
        <v/>
      </c>
      <c r="H3037" t="str">
        <f t="shared" si="144"/>
        <v/>
      </c>
      <c r="M3037" s="34">
        <f t="shared" si="145"/>
        <v>0</v>
      </c>
    </row>
    <row r="3038" spans="7:13" x14ac:dyDescent="0.25">
      <c r="G3038" s="10" t="str">
        <f t="shared" si="143"/>
        <v/>
      </c>
      <c r="H3038" t="str">
        <f t="shared" si="144"/>
        <v/>
      </c>
      <c r="M3038" s="34">
        <f t="shared" si="145"/>
        <v>0</v>
      </c>
    </row>
    <row r="3039" spans="7:13" x14ac:dyDescent="0.25">
      <c r="G3039" s="10" t="str">
        <f t="shared" si="143"/>
        <v/>
      </c>
      <c r="H3039" t="str">
        <f t="shared" si="144"/>
        <v/>
      </c>
      <c r="M3039" s="34">
        <f t="shared" si="145"/>
        <v>0</v>
      </c>
    </row>
    <row r="3040" spans="7:13" x14ac:dyDescent="0.25">
      <c r="G3040" s="10" t="str">
        <f t="shared" si="143"/>
        <v/>
      </c>
      <c r="H3040" t="str">
        <f t="shared" si="144"/>
        <v/>
      </c>
      <c r="M3040" s="34">
        <f t="shared" si="145"/>
        <v>0</v>
      </c>
    </row>
    <row r="3041" spans="7:13" x14ac:dyDescent="0.25">
      <c r="G3041" s="10" t="str">
        <f t="shared" si="143"/>
        <v/>
      </c>
      <c r="H3041" t="str">
        <f t="shared" si="144"/>
        <v/>
      </c>
      <c r="M3041" s="34">
        <f t="shared" si="145"/>
        <v>0</v>
      </c>
    </row>
    <row r="3042" spans="7:13" x14ac:dyDescent="0.25">
      <c r="G3042" s="10" t="str">
        <f t="shared" si="143"/>
        <v/>
      </c>
      <c r="H3042" t="str">
        <f t="shared" si="144"/>
        <v/>
      </c>
      <c r="M3042" s="34">
        <f t="shared" si="145"/>
        <v>0</v>
      </c>
    </row>
    <row r="3043" spans="7:13" x14ac:dyDescent="0.25">
      <c r="G3043" s="10" t="str">
        <f t="shared" si="143"/>
        <v/>
      </c>
      <c r="H3043" t="str">
        <f t="shared" si="144"/>
        <v/>
      </c>
      <c r="M3043" s="34">
        <f t="shared" si="145"/>
        <v>0</v>
      </c>
    </row>
    <row r="3044" spans="7:13" x14ac:dyDescent="0.25">
      <c r="G3044" s="10" t="str">
        <f t="shared" si="143"/>
        <v/>
      </c>
      <c r="H3044" t="str">
        <f t="shared" si="144"/>
        <v/>
      </c>
      <c r="M3044" s="34">
        <f t="shared" si="145"/>
        <v>0</v>
      </c>
    </row>
    <row r="3045" spans="7:13" x14ac:dyDescent="0.25">
      <c r="G3045" s="10" t="str">
        <f t="shared" si="143"/>
        <v/>
      </c>
      <c r="H3045" t="str">
        <f t="shared" si="144"/>
        <v/>
      </c>
      <c r="M3045" s="34">
        <f t="shared" si="145"/>
        <v>0</v>
      </c>
    </row>
    <row r="3046" spans="7:13" x14ac:dyDescent="0.25">
      <c r="G3046" s="10" t="str">
        <f t="shared" si="143"/>
        <v/>
      </c>
      <c r="H3046" t="str">
        <f t="shared" si="144"/>
        <v/>
      </c>
      <c r="M3046" s="34">
        <f t="shared" si="145"/>
        <v>0</v>
      </c>
    </row>
    <row r="3047" spans="7:13" x14ac:dyDescent="0.25">
      <c r="G3047" s="10" t="str">
        <f t="shared" si="143"/>
        <v/>
      </c>
      <c r="H3047" t="str">
        <f t="shared" si="144"/>
        <v/>
      </c>
      <c r="M3047" s="34">
        <f t="shared" si="145"/>
        <v>0</v>
      </c>
    </row>
    <row r="3048" spans="7:13" x14ac:dyDescent="0.25">
      <c r="G3048" s="10" t="str">
        <f t="shared" si="143"/>
        <v/>
      </c>
      <c r="H3048" t="str">
        <f t="shared" si="144"/>
        <v/>
      </c>
      <c r="M3048" s="34">
        <f t="shared" si="145"/>
        <v>0</v>
      </c>
    </row>
    <row r="3049" spans="7:13" x14ac:dyDescent="0.25">
      <c r="G3049" s="10" t="str">
        <f t="shared" si="143"/>
        <v/>
      </c>
      <c r="H3049" t="str">
        <f t="shared" si="144"/>
        <v/>
      </c>
      <c r="M3049" s="34">
        <f t="shared" si="145"/>
        <v>0</v>
      </c>
    </row>
    <row r="3050" spans="7:13" x14ac:dyDescent="0.25">
      <c r="G3050" s="10" t="str">
        <f t="shared" si="143"/>
        <v/>
      </c>
      <c r="H3050" t="str">
        <f t="shared" si="144"/>
        <v/>
      </c>
      <c r="M3050" s="34">
        <f t="shared" si="145"/>
        <v>0</v>
      </c>
    </row>
    <row r="3051" spans="7:13" x14ac:dyDescent="0.25">
      <c r="G3051" s="10" t="str">
        <f t="shared" si="143"/>
        <v/>
      </c>
      <c r="H3051" t="str">
        <f t="shared" si="144"/>
        <v/>
      </c>
      <c r="M3051" s="34">
        <f t="shared" si="145"/>
        <v>0</v>
      </c>
    </row>
    <row r="3052" spans="7:13" x14ac:dyDescent="0.25">
      <c r="G3052" s="10" t="str">
        <f t="shared" si="143"/>
        <v/>
      </c>
      <c r="H3052" t="str">
        <f t="shared" si="144"/>
        <v/>
      </c>
      <c r="M3052" s="34">
        <f t="shared" si="145"/>
        <v>0</v>
      </c>
    </row>
    <row r="3053" spans="7:13" x14ac:dyDescent="0.25">
      <c r="G3053" s="10" t="str">
        <f t="shared" si="143"/>
        <v/>
      </c>
      <c r="H3053" t="str">
        <f t="shared" si="144"/>
        <v/>
      </c>
      <c r="M3053" s="34">
        <f t="shared" si="145"/>
        <v>0</v>
      </c>
    </row>
    <row r="3054" spans="7:13" x14ac:dyDescent="0.25">
      <c r="G3054" s="10" t="str">
        <f t="shared" si="143"/>
        <v/>
      </c>
      <c r="H3054" t="str">
        <f t="shared" si="144"/>
        <v/>
      </c>
      <c r="M3054" s="34">
        <f t="shared" si="145"/>
        <v>0</v>
      </c>
    </row>
    <row r="3055" spans="7:13" x14ac:dyDescent="0.25">
      <c r="G3055" s="10" t="str">
        <f t="shared" si="143"/>
        <v/>
      </c>
      <c r="H3055" t="str">
        <f t="shared" si="144"/>
        <v/>
      </c>
      <c r="M3055" s="34">
        <f t="shared" si="145"/>
        <v>0</v>
      </c>
    </row>
    <row r="3056" spans="7:13" x14ac:dyDescent="0.25">
      <c r="G3056" s="10" t="str">
        <f t="shared" si="143"/>
        <v/>
      </c>
      <c r="H3056" t="str">
        <f t="shared" si="144"/>
        <v/>
      </c>
      <c r="M3056" s="34">
        <f t="shared" si="145"/>
        <v>0</v>
      </c>
    </row>
    <row r="3057" spans="7:13" x14ac:dyDescent="0.25">
      <c r="G3057" s="10" t="str">
        <f t="shared" si="143"/>
        <v/>
      </c>
      <c r="H3057" t="str">
        <f t="shared" si="144"/>
        <v/>
      </c>
      <c r="M3057" s="34">
        <f t="shared" si="145"/>
        <v>0</v>
      </c>
    </row>
    <row r="3058" spans="7:13" x14ac:dyDescent="0.25">
      <c r="G3058" s="10" t="str">
        <f t="shared" si="143"/>
        <v/>
      </c>
      <c r="H3058" t="str">
        <f t="shared" si="144"/>
        <v/>
      </c>
      <c r="M3058" s="34">
        <f t="shared" si="145"/>
        <v>0</v>
      </c>
    </row>
    <row r="3059" spans="7:13" x14ac:dyDescent="0.25">
      <c r="G3059" s="10" t="str">
        <f t="shared" si="143"/>
        <v/>
      </c>
      <c r="H3059" t="str">
        <f t="shared" si="144"/>
        <v/>
      </c>
      <c r="M3059" s="34">
        <f t="shared" si="145"/>
        <v>0</v>
      </c>
    </row>
    <row r="3060" spans="7:13" x14ac:dyDescent="0.25">
      <c r="G3060" s="10" t="str">
        <f t="shared" si="143"/>
        <v/>
      </c>
      <c r="H3060" t="str">
        <f t="shared" si="144"/>
        <v/>
      </c>
      <c r="M3060" s="34">
        <f t="shared" si="145"/>
        <v>0</v>
      </c>
    </row>
    <row r="3061" spans="7:13" x14ac:dyDescent="0.25">
      <c r="G3061" s="10" t="str">
        <f t="shared" si="143"/>
        <v/>
      </c>
      <c r="H3061" t="str">
        <f t="shared" si="144"/>
        <v/>
      </c>
      <c r="M3061" s="34">
        <f t="shared" si="145"/>
        <v>0</v>
      </c>
    </row>
    <row r="3062" spans="7:13" x14ac:dyDescent="0.25">
      <c r="G3062" s="10" t="str">
        <f t="shared" si="143"/>
        <v/>
      </c>
      <c r="H3062" t="str">
        <f t="shared" si="144"/>
        <v/>
      </c>
      <c r="M3062" s="34">
        <f t="shared" si="145"/>
        <v>0</v>
      </c>
    </row>
    <row r="3063" spans="7:13" x14ac:dyDescent="0.25">
      <c r="G3063" s="10" t="str">
        <f t="shared" si="143"/>
        <v/>
      </c>
      <c r="H3063" t="str">
        <f t="shared" si="144"/>
        <v/>
      </c>
      <c r="M3063" s="34">
        <f t="shared" si="145"/>
        <v>0</v>
      </c>
    </row>
    <row r="3064" spans="7:13" x14ac:dyDescent="0.25">
      <c r="G3064" s="10" t="str">
        <f t="shared" si="143"/>
        <v/>
      </c>
      <c r="H3064" t="str">
        <f t="shared" si="144"/>
        <v/>
      </c>
      <c r="M3064" s="34">
        <f t="shared" si="145"/>
        <v>0</v>
      </c>
    </row>
    <row r="3065" spans="7:13" x14ac:dyDescent="0.25">
      <c r="G3065" s="10" t="str">
        <f t="shared" si="143"/>
        <v/>
      </c>
      <c r="H3065" t="str">
        <f t="shared" si="144"/>
        <v/>
      </c>
      <c r="M3065" s="34">
        <f t="shared" si="145"/>
        <v>0</v>
      </c>
    </row>
    <row r="3066" spans="7:13" x14ac:dyDescent="0.25">
      <c r="G3066" s="10" t="str">
        <f t="shared" si="143"/>
        <v/>
      </c>
      <c r="H3066" t="str">
        <f t="shared" si="144"/>
        <v/>
      </c>
      <c r="M3066" s="34">
        <f t="shared" si="145"/>
        <v>0</v>
      </c>
    </row>
    <row r="3067" spans="7:13" x14ac:dyDescent="0.25">
      <c r="G3067" s="10" t="str">
        <f t="shared" si="143"/>
        <v/>
      </c>
      <c r="H3067" t="str">
        <f t="shared" si="144"/>
        <v/>
      </c>
      <c r="M3067" s="34">
        <f t="shared" si="145"/>
        <v>0</v>
      </c>
    </row>
    <row r="3068" spans="7:13" x14ac:dyDescent="0.25">
      <c r="G3068" s="10" t="str">
        <f t="shared" si="143"/>
        <v/>
      </c>
      <c r="H3068" t="str">
        <f t="shared" si="144"/>
        <v/>
      </c>
      <c r="M3068" s="34">
        <f t="shared" si="145"/>
        <v>0</v>
      </c>
    </row>
    <row r="3069" spans="7:13" x14ac:dyDescent="0.25">
      <c r="G3069" s="10" t="str">
        <f t="shared" si="143"/>
        <v/>
      </c>
      <c r="H3069" t="str">
        <f t="shared" si="144"/>
        <v/>
      </c>
      <c r="M3069" s="34">
        <f t="shared" si="145"/>
        <v>0</v>
      </c>
    </row>
    <row r="3070" spans="7:13" x14ac:dyDescent="0.25">
      <c r="G3070" s="10" t="str">
        <f t="shared" si="143"/>
        <v/>
      </c>
      <c r="H3070" t="str">
        <f t="shared" si="144"/>
        <v/>
      </c>
      <c r="M3070" s="34">
        <f t="shared" si="145"/>
        <v>0</v>
      </c>
    </row>
    <row r="3071" spans="7:13" x14ac:dyDescent="0.25">
      <c r="G3071" s="10" t="str">
        <f t="shared" si="143"/>
        <v/>
      </c>
      <c r="H3071" t="str">
        <f t="shared" si="144"/>
        <v/>
      </c>
      <c r="M3071" s="34">
        <f t="shared" si="145"/>
        <v>0</v>
      </c>
    </row>
    <row r="3072" spans="7:13" x14ac:dyDescent="0.25">
      <c r="G3072" s="10" t="str">
        <f t="shared" si="143"/>
        <v/>
      </c>
      <c r="H3072" t="str">
        <f t="shared" si="144"/>
        <v/>
      </c>
      <c r="M3072" s="34">
        <f t="shared" si="145"/>
        <v>0</v>
      </c>
    </row>
    <row r="3073" spans="7:13" x14ac:dyDescent="0.25">
      <c r="G3073" s="10" t="str">
        <f t="shared" si="143"/>
        <v/>
      </c>
      <c r="H3073" t="str">
        <f t="shared" si="144"/>
        <v/>
      </c>
      <c r="M3073" s="34">
        <f t="shared" si="145"/>
        <v>0</v>
      </c>
    </row>
    <row r="3074" spans="7:13" x14ac:dyDescent="0.25">
      <c r="G3074" s="10" t="str">
        <f t="shared" ref="G3074:G3137" si="146">IF(F3074&gt;0,"RECETTE",IF(F3074&lt;0,"DÉPENSE",""))</f>
        <v/>
      </c>
      <c r="H3074" t="str">
        <f t="shared" ref="H3074:H3137" si="147">+IF(ISNUMBER(D3074),D3074,"")</f>
        <v/>
      </c>
      <c r="M3074" s="34">
        <f t="shared" si="145"/>
        <v>0</v>
      </c>
    </row>
    <row r="3075" spans="7:13" x14ac:dyDescent="0.25">
      <c r="G3075" s="10" t="str">
        <f t="shared" si="146"/>
        <v/>
      </c>
      <c r="H3075" t="str">
        <f t="shared" si="147"/>
        <v/>
      </c>
      <c r="M3075" s="34">
        <f t="shared" ref="M3075:M3138" si="148">IF(AND(E3075="Chèque",G3075="RECETTE"),F3075,0)</f>
        <v>0</v>
      </c>
    </row>
    <row r="3076" spans="7:13" x14ac:dyDescent="0.25">
      <c r="G3076" s="10" t="str">
        <f t="shared" si="146"/>
        <v/>
      </c>
      <c r="H3076" t="str">
        <f t="shared" si="147"/>
        <v/>
      </c>
      <c r="M3076" s="34">
        <f t="shared" si="148"/>
        <v>0</v>
      </c>
    </row>
    <row r="3077" spans="7:13" x14ac:dyDescent="0.25">
      <c r="G3077" s="10" t="str">
        <f t="shared" si="146"/>
        <v/>
      </c>
      <c r="H3077" t="str">
        <f t="shared" si="147"/>
        <v/>
      </c>
      <c r="M3077" s="34">
        <f t="shared" si="148"/>
        <v>0</v>
      </c>
    </row>
    <row r="3078" spans="7:13" x14ac:dyDescent="0.25">
      <c r="G3078" s="10" t="str">
        <f t="shared" si="146"/>
        <v/>
      </c>
      <c r="H3078" t="str">
        <f t="shared" si="147"/>
        <v/>
      </c>
      <c r="M3078" s="34">
        <f t="shared" si="148"/>
        <v>0</v>
      </c>
    </row>
    <row r="3079" spans="7:13" x14ac:dyDescent="0.25">
      <c r="G3079" s="10" t="str">
        <f t="shared" si="146"/>
        <v/>
      </c>
      <c r="H3079" t="str">
        <f t="shared" si="147"/>
        <v/>
      </c>
      <c r="M3079" s="34">
        <f t="shared" si="148"/>
        <v>0</v>
      </c>
    </row>
    <row r="3080" spans="7:13" x14ac:dyDescent="0.25">
      <c r="G3080" s="10" t="str">
        <f t="shared" si="146"/>
        <v/>
      </c>
      <c r="H3080" t="str">
        <f t="shared" si="147"/>
        <v/>
      </c>
      <c r="M3080" s="34">
        <f t="shared" si="148"/>
        <v>0</v>
      </c>
    </row>
    <row r="3081" spans="7:13" x14ac:dyDescent="0.25">
      <c r="G3081" s="10" t="str">
        <f t="shared" si="146"/>
        <v/>
      </c>
      <c r="H3081" t="str">
        <f t="shared" si="147"/>
        <v/>
      </c>
      <c r="M3081" s="34">
        <f t="shared" si="148"/>
        <v>0</v>
      </c>
    </row>
    <row r="3082" spans="7:13" x14ac:dyDescent="0.25">
      <c r="G3082" s="10" t="str">
        <f t="shared" si="146"/>
        <v/>
      </c>
      <c r="H3082" t="str">
        <f t="shared" si="147"/>
        <v/>
      </c>
      <c r="M3082" s="34">
        <f t="shared" si="148"/>
        <v>0</v>
      </c>
    </row>
    <row r="3083" spans="7:13" x14ac:dyDescent="0.25">
      <c r="G3083" s="10" t="str">
        <f t="shared" si="146"/>
        <v/>
      </c>
      <c r="H3083" t="str">
        <f t="shared" si="147"/>
        <v/>
      </c>
      <c r="M3083" s="34">
        <f t="shared" si="148"/>
        <v>0</v>
      </c>
    </row>
    <row r="3084" spans="7:13" x14ac:dyDescent="0.25">
      <c r="G3084" s="10" t="str">
        <f t="shared" si="146"/>
        <v/>
      </c>
      <c r="H3084" t="str">
        <f t="shared" si="147"/>
        <v/>
      </c>
      <c r="M3084" s="34">
        <f t="shared" si="148"/>
        <v>0</v>
      </c>
    </row>
    <row r="3085" spans="7:13" x14ac:dyDescent="0.25">
      <c r="G3085" s="10" t="str">
        <f t="shared" si="146"/>
        <v/>
      </c>
      <c r="H3085" t="str">
        <f t="shared" si="147"/>
        <v/>
      </c>
      <c r="M3085" s="34">
        <f t="shared" si="148"/>
        <v>0</v>
      </c>
    </row>
    <row r="3086" spans="7:13" x14ac:dyDescent="0.25">
      <c r="G3086" s="10" t="str">
        <f t="shared" si="146"/>
        <v/>
      </c>
      <c r="H3086" t="str">
        <f t="shared" si="147"/>
        <v/>
      </c>
      <c r="M3086" s="34">
        <f t="shared" si="148"/>
        <v>0</v>
      </c>
    </row>
    <row r="3087" spans="7:13" x14ac:dyDescent="0.25">
      <c r="G3087" s="10" t="str">
        <f t="shared" si="146"/>
        <v/>
      </c>
      <c r="H3087" t="str">
        <f t="shared" si="147"/>
        <v/>
      </c>
      <c r="M3087" s="34">
        <f t="shared" si="148"/>
        <v>0</v>
      </c>
    </row>
    <row r="3088" spans="7:13" x14ac:dyDescent="0.25">
      <c r="G3088" s="10" t="str">
        <f t="shared" si="146"/>
        <v/>
      </c>
      <c r="H3088" t="str">
        <f t="shared" si="147"/>
        <v/>
      </c>
      <c r="M3088" s="34">
        <f t="shared" si="148"/>
        <v>0</v>
      </c>
    </row>
    <row r="3089" spans="7:13" x14ac:dyDescent="0.25">
      <c r="G3089" s="10" t="str">
        <f t="shared" si="146"/>
        <v/>
      </c>
      <c r="H3089" t="str">
        <f t="shared" si="147"/>
        <v/>
      </c>
      <c r="M3089" s="34">
        <f t="shared" si="148"/>
        <v>0</v>
      </c>
    </row>
    <row r="3090" spans="7:13" x14ac:dyDescent="0.25">
      <c r="G3090" s="10" t="str">
        <f t="shared" si="146"/>
        <v/>
      </c>
      <c r="H3090" t="str">
        <f t="shared" si="147"/>
        <v/>
      </c>
      <c r="M3090" s="34">
        <f t="shared" si="148"/>
        <v>0</v>
      </c>
    </row>
    <row r="3091" spans="7:13" x14ac:dyDescent="0.25">
      <c r="G3091" s="10" t="str">
        <f t="shared" si="146"/>
        <v/>
      </c>
      <c r="H3091" t="str">
        <f t="shared" si="147"/>
        <v/>
      </c>
      <c r="M3091" s="34">
        <f t="shared" si="148"/>
        <v>0</v>
      </c>
    </row>
    <row r="3092" spans="7:13" x14ac:dyDescent="0.25">
      <c r="G3092" s="10" t="str">
        <f t="shared" si="146"/>
        <v/>
      </c>
      <c r="H3092" t="str">
        <f t="shared" si="147"/>
        <v/>
      </c>
      <c r="M3092" s="34">
        <f t="shared" si="148"/>
        <v>0</v>
      </c>
    </row>
    <row r="3093" spans="7:13" x14ac:dyDescent="0.25">
      <c r="G3093" s="10" t="str">
        <f t="shared" si="146"/>
        <v/>
      </c>
      <c r="H3093" t="str">
        <f t="shared" si="147"/>
        <v/>
      </c>
      <c r="M3093" s="34">
        <f t="shared" si="148"/>
        <v>0</v>
      </c>
    </row>
    <row r="3094" spans="7:13" x14ac:dyDescent="0.25">
      <c r="G3094" s="10" t="str">
        <f t="shared" si="146"/>
        <v/>
      </c>
      <c r="H3094" t="str">
        <f t="shared" si="147"/>
        <v/>
      </c>
      <c r="M3094" s="34">
        <f t="shared" si="148"/>
        <v>0</v>
      </c>
    </row>
    <row r="3095" spans="7:13" x14ac:dyDescent="0.25">
      <c r="G3095" s="10" t="str">
        <f t="shared" si="146"/>
        <v/>
      </c>
      <c r="H3095" t="str">
        <f t="shared" si="147"/>
        <v/>
      </c>
      <c r="M3095" s="34">
        <f t="shared" si="148"/>
        <v>0</v>
      </c>
    </row>
    <row r="3096" spans="7:13" x14ac:dyDescent="0.25">
      <c r="G3096" s="10" t="str">
        <f t="shared" si="146"/>
        <v/>
      </c>
      <c r="H3096" t="str">
        <f t="shared" si="147"/>
        <v/>
      </c>
      <c r="M3096" s="34">
        <f t="shared" si="148"/>
        <v>0</v>
      </c>
    </row>
    <row r="3097" spans="7:13" x14ac:dyDescent="0.25">
      <c r="G3097" s="10" t="str">
        <f t="shared" si="146"/>
        <v/>
      </c>
      <c r="H3097" t="str">
        <f t="shared" si="147"/>
        <v/>
      </c>
      <c r="M3097" s="34">
        <f t="shared" si="148"/>
        <v>0</v>
      </c>
    </row>
    <row r="3098" spans="7:13" x14ac:dyDescent="0.25">
      <c r="G3098" s="10" t="str">
        <f t="shared" si="146"/>
        <v/>
      </c>
      <c r="H3098" t="str">
        <f t="shared" si="147"/>
        <v/>
      </c>
      <c r="M3098" s="34">
        <f t="shared" si="148"/>
        <v>0</v>
      </c>
    </row>
    <row r="3099" spans="7:13" x14ac:dyDescent="0.25">
      <c r="G3099" s="10" t="str">
        <f t="shared" si="146"/>
        <v/>
      </c>
      <c r="H3099" t="str">
        <f t="shared" si="147"/>
        <v/>
      </c>
      <c r="M3099" s="34">
        <f t="shared" si="148"/>
        <v>0</v>
      </c>
    </row>
    <row r="3100" spans="7:13" x14ac:dyDescent="0.25">
      <c r="G3100" s="10" t="str">
        <f t="shared" si="146"/>
        <v/>
      </c>
      <c r="H3100" t="str">
        <f t="shared" si="147"/>
        <v/>
      </c>
      <c r="M3100" s="34">
        <f t="shared" si="148"/>
        <v>0</v>
      </c>
    </row>
    <row r="3101" spans="7:13" x14ac:dyDescent="0.25">
      <c r="G3101" s="10" t="str">
        <f t="shared" si="146"/>
        <v/>
      </c>
      <c r="H3101" t="str">
        <f t="shared" si="147"/>
        <v/>
      </c>
      <c r="M3101" s="34">
        <f t="shared" si="148"/>
        <v>0</v>
      </c>
    </row>
    <row r="3102" spans="7:13" x14ac:dyDescent="0.25">
      <c r="G3102" s="10" t="str">
        <f t="shared" si="146"/>
        <v/>
      </c>
      <c r="H3102" t="str">
        <f t="shared" si="147"/>
        <v/>
      </c>
      <c r="M3102" s="34">
        <f t="shared" si="148"/>
        <v>0</v>
      </c>
    </row>
    <row r="3103" spans="7:13" x14ac:dyDescent="0.25">
      <c r="G3103" s="10" t="str">
        <f t="shared" si="146"/>
        <v/>
      </c>
      <c r="H3103" t="str">
        <f t="shared" si="147"/>
        <v/>
      </c>
      <c r="M3103" s="34">
        <f t="shared" si="148"/>
        <v>0</v>
      </c>
    </row>
    <row r="3104" spans="7:13" x14ac:dyDescent="0.25">
      <c r="G3104" s="10" t="str">
        <f t="shared" si="146"/>
        <v/>
      </c>
      <c r="H3104" t="str">
        <f t="shared" si="147"/>
        <v/>
      </c>
      <c r="M3104" s="34">
        <f t="shared" si="148"/>
        <v>0</v>
      </c>
    </row>
    <row r="3105" spans="7:13" x14ac:dyDescent="0.25">
      <c r="G3105" s="10" t="str">
        <f t="shared" si="146"/>
        <v/>
      </c>
      <c r="H3105" t="str">
        <f t="shared" si="147"/>
        <v/>
      </c>
      <c r="M3105" s="34">
        <f t="shared" si="148"/>
        <v>0</v>
      </c>
    </row>
    <row r="3106" spans="7:13" x14ac:dyDescent="0.25">
      <c r="G3106" s="10" t="str">
        <f t="shared" si="146"/>
        <v/>
      </c>
      <c r="H3106" t="str">
        <f t="shared" si="147"/>
        <v/>
      </c>
      <c r="M3106" s="34">
        <f t="shared" si="148"/>
        <v>0</v>
      </c>
    </row>
    <row r="3107" spans="7:13" x14ac:dyDescent="0.25">
      <c r="G3107" s="10" t="str">
        <f t="shared" si="146"/>
        <v/>
      </c>
      <c r="H3107" t="str">
        <f t="shared" si="147"/>
        <v/>
      </c>
      <c r="M3107" s="34">
        <f t="shared" si="148"/>
        <v>0</v>
      </c>
    </row>
    <row r="3108" spans="7:13" x14ac:dyDescent="0.25">
      <c r="G3108" s="10" t="str">
        <f t="shared" si="146"/>
        <v/>
      </c>
      <c r="H3108" t="str">
        <f t="shared" si="147"/>
        <v/>
      </c>
      <c r="M3108" s="34">
        <f t="shared" si="148"/>
        <v>0</v>
      </c>
    </row>
    <row r="3109" spans="7:13" x14ac:dyDescent="0.25">
      <c r="G3109" s="10" t="str">
        <f t="shared" si="146"/>
        <v/>
      </c>
      <c r="H3109" t="str">
        <f t="shared" si="147"/>
        <v/>
      </c>
      <c r="M3109" s="34">
        <f t="shared" si="148"/>
        <v>0</v>
      </c>
    </row>
    <row r="3110" spans="7:13" x14ac:dyDescent="0.25">
      <c r="G3110" s="10" t="str">
        <f t="shared" si="146"/>
        <v/>
      </c>
      <c r="H3110" t="str">
        <f t="shared" si="147"/>
        <v/>
      </c>
      <c r="M3110" s="34">
        <f t="shared" si="148"/>
        <v>0</v>
      </c>
    </row>
    <row r="3111" spans="7:13" x14ac:dyDescent="0.25">
      <c r="G3111" s="10" t="str">
        <f t="shared" si="146"/>
        <v/>
      </c>
      <c r="H3111" t="str">
        <f t="shared" si="147"/>
        <v/>
      </c>
      <c r="M3111" s="34">
        <f t="shared" si="148"/>
        <v>0</v>
      </c>
    </row>
    <row r="3112" spans="7:13" x14ac:dyDescent="0.25">
      <c r="G3112" s="10" t="str">
        <f t="shared" si="146"/>
        <v/>
      </c>
      <c r="H3112" t="str">
        <f t="shared" si="147"/>
        <v/>
      </c>
      <c r="M3112" s="34">
        <f t="shared" si="148"/>
        <v>0</v>
      </c>
    </row>
    <row r="3113" spans="7:13" x14ac:dyDescent="0.25">
      <c r="G3113" s="10" t="str">
        <f t="shared" si="146"/>
        <v/>
      </c>
      <c r="H3113" t="str">
        <f t="shared" si="147"/>
        <v/>
      </c>
      <c r="M3113" s="34">
        <f t="shared" si="148"/>
        <v>0</v>
      </c>
    </row>
    <row r="3114" spans="7:13" x14ac:dyDescent="0.25">
      <c r="G3114" s="10" t="str">
        <f t="shared" si="146"/>
        <v/>
      </c>
      <c r="H3114" t="str">
        <f t="shared" si="147"/>
        <v/>
      </c>
      <c r="M3114" s="34">
        <f t="shared" si="148"/>
        <v>0</v>
      </c>
    </row>
    <row r="3115" spans="7:13" x14ac:dyDescent="0.25">
      <c r="G3115" s="10" t="str">
        <f t="shared" si="146"/>
        <v/>
      </c>
      <c r="H3115" t="str">
        <f t="shared" si="147"/>
        <v/>
      </c>
      <c r="M3115" s="34">
        <f t="shared" si="148"/>
        <v>0</v>
      </c>
    </row>
    <row r="3116" spans="7:13" x14ac:dyDescent="0.25">
      <c r="G3116" s="10" t="str">
        <f t="shared" si="146"/>
        <v/>
      </c>
      <c r="H3116" t="str">
        <f t="shared" si="147"/>
        <v/>
      </c>
      <c r="M3116" s="34">
        <f t="shared" si="148"/>
        <v>0</v>
      </c>
    </row>
    <row r="3117" spans="7:13" x14ac:dyDescent="0.25">
      <c r="G3117" s="10" t="str">
        <f t="shared" si="146"/>
        <v/>
      </c>
      <c r="H3117" t="str">
        <f t="shared" si="147"/>
        <v/>
      </c>
      <c r="M3117" s="34">
        <f t="shared" si="148"/>
        <v>0</v>
      </c>
    </row>
    <row r="3118" spans="7:13" x14ac:dyDescent="0.25">
      <c r="G3118" s="10" t="str">
        <f t="shared" si="146"/>
        <v/>
      </c>
      <c r="H3118" t="str">
        <f t="shared" si="147"/>
        <v/>
      </c>
      <c r="M3118" s="34">
        <f t="shared" si="148"/>
        <v>0</v>
      </c>
    </row>
    <row r="3119" spans="7:13" x14ac:dyDescent="0.25">
      <c r="G3119" s="10" t="str">
        <f t="shared" si="146"/>
        <v/>
      </c>
      <c r="H3119" t="str">
        <f t="shared" si="147"/>
        <v/>
      </c>
      <c r="M3119" s="34">
        <f t="shared" si="148"/>
        <v>0</v>
      </c>
    </row>
    <row r="3120" spans="7:13" x14ac:dyDescent="0.25">
      <c r="G3120" s="10" t="str">
        <f t="shared" si="146"/>
        <v/>
      </c>
      <c r="H3120" t="str">
        <f t="shared" si="147"/>
        <v/>
      </c>
      <c r="M3120" s="34">
        <f t="shared" si="148"/>
        <v>0</v>
      </c>
    </row>
    <row r="3121" spans="7:13" x14ac:dyDescent="0.25">
      <c r="G3121" s="10" t="str">
        <f t="shared" si="146"/>
        <v/>
      </c>
      <c r="H3121" t="str">
        <f t="shared" si="147"/>
        <v/>
      </c>
      <c r="M3121" s="34">
        <f t="shared" si="148"/>
        <v>0</v>
      </c>
    </row>
    <row r="3122" spans="7:13" x14ac:dyDescent="0.25">
      <c r="G3122" s="10" t="str">
        <f t="shared" si="146"/>
        <v/>
      </c>
      <c r="H3122" t="str">
        <f t="shared" si="147"/>
        <v/>
      </c>
      <c r="M3122" s="34">
        <f t="shared" si="148"/>
        <v>0</v>
      </c>
    </row>
    <row r="3123" spans="7:13" x14ac:dyDescent="0.25">
      <c r="G3123" s="10" t="str">
        <f t="shared" si="146"/>
        <v/>
      </c>
      <c r="H3123" t="str">
        <f t="shared" si="147"/>
        <v/>
      </c>
      <c r="M3123" s="34">
        <f t="shared" si="148"/>
        <v>0</v>
      </c>
    </row>
    <row r="3124" spans="7:13" x14ac:dyDescent="0.25">
      <c r="G3124" s="10" t="str">
        <f t="shared" si="146"/>
        <v/>
      </c>
      <c r="H3124" t="str">
        <f t="shared" si="147"/>
        <v/>
      </c>
      <c r="M3124" s="34">
        <f t="shared" si="148"/>
        <v>0</v>
      </c>
    </row>
    <row r="3125" spans="7:13" x14ac:dyDescent="0.25">
      <c r="G3125" s="10" t="str">
        <f t="shared" si="146"/>
        <v/>
      </c>
      <c r="H3125" t="str">
        <f t="shared" si="147"/>
        <v/>
      </c>
      <c r="M3125" s="34">
        <f t="shared" si="148"/>
        <v>0</v>
      </c>
    </row>
    <row r="3126" spans="7:13" x14ac:dyDescent="0.25">
      <c r="G3126" s="10" t="str">
        <f t="shared" si="146"/>
        <v/>
      </c>
      <c r="H3126" t="str">
        <f t="shared" si="147"/>
        <v/>
      </c>
      <c r="M3126" s="34">
        <f t="shared" si="148"/>
        <v>0</v>
      </c>
    </row>
    <row r="3127" spans="7:13" x14ac:dyDescent="0.25">
      <c r="G3127" s="10" t="str">
        <f t="shared" si="146"/>
        <v/>
      </c>
      <c r="H3127" t="str">
        <f t="shared" si="147"/>
        <v/>
      </c>
      <c r="M3127" s="34">
        <f t="shared" si="148"/>
        <v>0</v>
      </c>
    </row>
    <row r="3128" spans="7:13" x14ac:dyDescent="0.25">
      <c r="G3128" s="10" t="str">
        <f t="shared" si="146"/>
        <v/>
      </c>
      <c r="H3128" t="str">
        <f t="shared" si="147"/>
        <v/>
      </c>
      <c r="M3128" s="34">
        <f t="shared" si="148"/>
        <v>0</v>
      </c>
    </row>
    <row r="3129" spans="7:13" x14ac:dyDescent="0.25">
      <c r="G3129" s="10" t="str">
        <f t="shared" si="146"/>
        <v/>
      </c>
      <c r="H3129" t="str">
        <f t="shared" si="147"/>
        <v/>
      </c>
      <c r="M3129" s="34">
        <f t="shared" si="148"/>
        <v>0</v>
      </c>
    </row>
    <row r="3130" spans="7:13" x14ac:dyDescent="0.25">
      <c r="G3130" s="10" t="str">
        <f t="shared" si="146"/>
        <v/>
      </c>
      <c r="H3130" t="str">
        <f t="shared" si="147"/>
        <v/>
      </c>
      <c r="M3130" s="34">
        <f t="shared" si="148"/>
        <v>0</v>
      </c>
    </row>
    <row r="3131" spans="7:13" x14ac:dyDescent="0.25">
      <c r="G3131" s="10" t="str">
        <f t="shared" si="146"/>
        <v/>
      </c>
      <c r="H3131" t="str">
        <f t="shared" si="147"/>
        <v/>
      </c>
      <c r="M3131" s="34">
        <f t="shared" si="148"/>
        <v>0</v>
      </c>
    </row>
    <row r="3132" spans="7:13" x14ac:dyDescent="0.25">
      <c r="G3132" s="10" t="str">
        <f t="shared" si="146"/>
        <v/>
      </c>
      <c r="H3132" t="str">
        <f t="shared" si="147"/>
        <v/>
      </c>
      <c r="M3132" s="34">
        <f t="shared" si="148"/>
        <v>0</v>
      </c>
    </row>
    <row r="3133" spans="7:13" x14ac:dyDescent="0.25">
      <c r="G3133" s="10" t="str">
        <f t="shared" si="146"/>
        <v/>
      </c>
      <c r="H3133" t="str">
        <f t="shared" si="147"/>
        <v/>
      </c>
      <c r="M3133" s="34">
        <f t="shared" si="148"/>
        <v>0</v>
      </c>
    </row>
    <row r="3134" spans="7:13" x14ac:dyDescent="0.25">
      <c r="G3134" s="10" t="str">
        <f t="shared" si="146"/>
        <v/>
      </c>
      <c r="H3134" t="str">
        <f t="shared" si="147"/>
        <v/>
      </c>
      <c r="M3134" s="34">
        <f t="shared" si="148"/>
        <v>0</v>
      </c>
    </row>
    <row r="3135" spans="7:13" x14ac:dyDescent="0.25">
      <c r="G3135" s="10" t="str">
        <f t="shared" si="146"/>
        <v/>
      </c>
      <c r="H3135" t="str">
        <f t="shared" si="147"/>
        <v/>
      </c>
      <c r="M3135" s="34">
        <f t="shared" si="148"/>
        <v>0</v>
      </c>
    </row>
    <row r="3136" spans="7:13" x14ac:dyDescent="0.25">
      <c r="G3136" s="10" t="str">
        <f t="shared" si="146"/>
        <v/>
      </c>
      <c r="H3136" t="str">
        <f t="shared" si="147"/>
        <v/>
      </c>
      <c r="M3136" s="34">
        <f t="shared" si="148"/>
        <v>0</v>
      </c>
    </row>
    <row r="3137" spans="7:13" x14ac:dyDescent="0.25">
      <c r="G3137" s="10" t="str">
        <f t="shared" si="146"/>
        <v/>
      </c>
      <c r="H3137" t="str">
        <f t="shared" si="147"/>
        <v/>
      </c>
      <c r="M3137" s="34">
        <f t="shared" si="148"/>
        <v>0</v>
      </c>
    </row>
    <row r="3138" spans="7:13" x14ac:dyDescent="0.25">
      <c r="G3138" s="10" t="str">
        <f t="shared" ref="G3138:G3201" si="149">IF(F3138&gt;0,"RECETTE",IF(F3138&lt;0,"DÉPENSE",""))</f>
        <v/>
      </c>
      <c r="H3138" t="str">
        <f t="shared" ref="H3138:H3201" si="150">+IF(ISNUMBER(D3138),D3138,"")</f>
        <v/>
      </c>
      <c r="M3138" s="34">
        <f t="shared" si="148"/>
        <v>0</v>
      </c>
    </row>
    <row r="3139" spans="7:13" x14ac:dyDescent="0.25">
      <c r="G3139" s="10" t="str">
        <f t="shared" si="149"/>
        <v/>
      </c>
      <c r="H3139" t="str">
        <f t="shared" si="150"/>
        <v/>
      </c>
      <c r="M3139" s="34">
        <f t="shared" ref="M3139:M3202" si="151">IF(AND(E3139="Chèque",G3139="RECETTE"),F3139,0)</f>
        <v>0</v>
      </c>
    </row>
    <row r="3140" spans="7:13" x14ac:dyDescent="0.25">
      <c r="G3140" s="10" t="str">
        <f t="shared" si="149"/>
        <v/>
      </c>
      <c r="H3140" t="str">
        <f t="shared" si="150"/>
        <v/>
      </c>
      <c r="M3140" s="34">
        <f t="shared" si="151"/>
        <v>0</v>
      </c>
    </row>
    <row r="3141" spans="7:13" x14ac:dyDescent="0.25">
      <c r="G3141" s="10" t="str">
        <f t="shared" si="149"/>
        <v/>
      </c>
      <c r="H3141" t="str">
        <f t="shared" si="150"/>
        <v/>
      </c>
      <c r="M3141" s="34">
        <f t="shared" si="151"/>
        <v>0</v>
      </c>
    </row>
    <row r="3142" spans="7:13" x14ac:dyDescent="0.25">
      <c r="G3142" s="10" t="str">
        <f t="shared" si="149"/>
        <v/>
      </c>
      <c r="H3142" t="str">
        <f t="shared" si="150"/>
        <v/>
      </c>
      <c r="M3142" s="34">
        <f t="shared" si="151"/>
        <v>0</v>
      </c>
    </row>
    <row r="3143" spans="7:13" x14ac:dyDescent="0.25">
      <c r="G3143" s="10" t="str">
        <f t="shared" si="149"/>
        <v/>
      </c>
      <c r="H3143" t="str">
        <f t="shared" si="150"/>
        <v/>
      </c>
      <c r="M3143" s="34">
        <f t="shared" si="151"/>
        <v>0</v>
      </c>
    </row>
    <row r="3144" spans="7:13" x14ac:dyDescent="0.25">
      <c r="G3144" s="10" t="str">
        <f t="shared" si="149"/>
        <v/>
      </c>
      <c r="H3144" t="str">
        <f t="shared" si="150"/>
        <v/>
      </c>
      <c r="M3144" s="34">
        <f t="shared" si="151"/>
        <v>0</v>
      </c>
    </row>
    <row r="3145" spans="7:13" x14ac:dyDescent="0.25">
      <c r="G3145" s="10" t="str">
        <f t="shared" si="149"/>
        <v/>
      </c>
      <c r="H3145" t="str">
        <f t="shared" si="150"/>
        <v/>
      </c>
      <c r="M3145" s="34">
        <f t="shared" si="151"/>
        <v>0</v>
      </c>
    </row>
    <row r="3146" spans="7:13" x14ac:dyDescent="0.25">
      <c r="G3146" s="10" t="str">
        <f t="shared" si="149"/>
        <v/>
      </c>
      <c r="H3146" t="str">
        <f t="shared" si="150"/>
        <v/>
      </c>
      <c r="M3146" s="34">
        <f t="shared" si="151"/>
        <v>0</v>
      </c>
    </row>
    <row r="3147" spans="7:13" x14ac:dyDescent="0.25">
      <c r="G3147" s="10" t="str">
        <f t="shared" si="149"/>
        <v/>
      </c>
      <c r="H3147" t="str">
        <f t="shared" si="150"/>
        <v/>
      </c>
      <c r="M3147" s="34">
        <f t="shared" si="151"/>
        <v>0</v>
      </c>
    </row>
    <row r="3148" spans="7:13" x14ac:dyDescent="0.25">
      <c r="G3148" s="10" t="str">
        <f t="shared" si="149"/>
        <v/>
      </c>
      <c r="H3148" t="str">
        <f t="shared" si="150"/>
        <v/>
      </c>
      <c r="M3148" s="34">
        <f t="shared" si="151"/>
        <v>0</v>
      </c>
    </row>
    <row r="3149" spans="7:13" x14ac:dyDescent="0.25">
      <c r="G3149" s="10" t="str">
        <f t="shared" si="149"/>
        <v/>
      </c>
      <c r="H3149" t="str">
        <f t="shared" si="150"/>
        <v/>
      </c>
      <c r="M3149" s="34">
        <f t="shared" si="151"/>
        <v>0</v>
      </c>
    </row>
    <row r="3150" spans="7:13" x14ac:dyDescent="0.25">
      <c r="G3150" s="10" t="str">
        <f t="shared" si="149"/>
        <v/>
      </c>
      <c r="H3150" t="str">
        <f t="shared" si="150"/>
        <v/>
      </c>
      <c r="M3150" s="34">
        <f t="shared" si="151"/>
        <v>0</v>
      </c>
    </row>
    <row r="3151" spans="7:13" x14ac:dyDescent="0.25">
      <c r="G3151" s="10" t="str">
        <f t="shared" si="149"/>
        <v/>
      </c>
      <c r="H3151" t="str">
        <f t="shared" si="150"/>
        <v/>
      </c>
      <c r="M3151" s="34">
        <f t="shared" si="151"/>
        <v>0</v>
      </c>
    </row>
    <row r="3152" spans="7:13" x14ac:dyDescent="0.25">
      <c r="G3152" s="10" t="str">
        <f t="shared" si="149"/>
        <v/>
      </c>
      <c r="H3152" t="str">
        <f t="shared" si="150"/>
        <v/>
      </c>
      <c r="M3152" s="34">
        <f t="shared" si="151"/>
        <v>0</v>
      </c>
    </row>
    <row r="3153" spans="7:13" x14ac:dyDescent="0.25">
      <c r="G3153" s="10" t="str">
        <f t="shared" si="149"/>
        <v/>
      </c>
      <c r="H3153" t="str">
        <f t="shared" si="150"/>
        <v/>
      </c>
      <c r="M3153" s="34">
        <f t="shared" si="151"/>
        <v>0</v>
      </c>
    </row>
    <row r="3154" spans="7:13" x14ac:dyDescent="0.25">
      <c r="G3154" s="10" t="str">
        <f t="shared" si="149"/>
        <v/>
      </c>
      <c r="H3154" t="str">
        <f t="shared" si="150"/>
        <v/>
      </c>
      <c r="M3154" s="34">
        <f t="shared" si="151"/>
        <v>0</v>
      </c>
    </row>
    <row r="3155" spans="7:13" x14ac:dyDescent="0.25">
      <c r="G3155" s="10" t="str">
        <f t="shared" si="149"/>
        <v/>
      </c>
      <c r="H3155" t="str">
        <f t="shared" si="150"/>
        <v/>
      </c>
      <c r="M3155" s="34">
        <f t="shared" si="151"/>
        <v>0</v>
      </c>
    </row>
    <row r="3156" spans="7:13" x14ac:dyDescent="0.25">
      <c r="G3156" s="10" t="str">
        <f t="shared" si="149"/>
        <v/>
      </c>
      <c r="H3156" t="str">
        <f t="shared" si="150"/>
        <v/>
      </c>
      <c r="M3156" s="34">
        <f t="shared" si="151"/>
        <v>0</v>
      </c>
    </row>
    <row r="3157" spans="7:13" x14ac:dyDescent="0.25">
      <c r="G3157" s="10" t="str">
        <f t="shared" si="149"/>
        <v/>
      </c>
      <c r="H3157" t="str">
        <f t="shared" si="150"/>
        <v/>
      </c>
      <c r="M3157" s="34">
        <f t="shared" si="151"/>
        <v>0</v>
      </c>
    </row>
    <row r="3158" spans="7:13" x14ac:dyDescent="0.25">
      <c r="G3158" s="10" t="str">
        <f t="shared" si="149"/>
        <v/>
      </c>
      <c r="H3158" t="str">
        <f t="shared" si="150"/>
        <v/>
      </c>
      <c r="M3158" s="34">
        <f t="shared" si="151"/>
        <v>0</v>
      </c>
    </row>
    <row r="3159" spans="7:13" x14ac:dyDescent="0.25">
      <c r="G3159" s="10" t="str">
        <f t="shared" si="149"/>
        <v/>
      </c>
      <c r="H3159" t="str">
        <f t="shared" si="150"/>
        <v/>
      </c>
      <c r="M3159" s="34">
        <f t="shared" si="151"/>
        <v>0</v>
      </c>
    </row>
    <row r="3160" spans="7:13" x14ac:dyDescent="0.25">
      <c r="G3160" s="10" t="str">
        <f t="shared" si="149"/>
        <v/>
      </c>
      <c r="H3160" t="str">
        <f t="shared" si="150"/>
        <v/>
      </c>
      <c r="M3160" s="34">
        <f t="shared" si="151"/>
        <v>0</v>
      </c>
    </row>
    <row r="3161" spans="7:13" x14ac:dyDescent="0.25">
      <c r="G3161" s="10" t="str">
        <f t="shared" si="149"/>
        <v/>
      </c>
      <c r="H3161" t="str">
        <f t="shared" si="150"/>
        <v/>
      </c>
      <c r="M3161" s="34">
        <f t="shared" si="151"/>
        <v>0</v>
      </c>
    </row>
    <row r="3162" spans="7:13" x14ac:dyDescent="0.25">
      <c r="G3162" s="10" t="str">
        <f t="shared" si="149"/>
        <v/>
      </c>
      <c r="H3162" t="str">
        <f t="shared" si="150"/>
        <v/>
      </c>
      <c r="M3162" s="34">
        <f t="shared" si="151"/>
        <v>0</v>
      </c>
    </row>
    <row r="3163" spans="7:13" x14ac:dyDescent="0.25">
      <c r="G3163" s="10" t="str">
        <f t="shared" si="149"/>
        <v/>
      </c>
      <c r="H3163" t="str">
        <f t="shared" si="150"/>
        <v/>
      </c>
      <c r="M3163" s="34">
        <f t="shared" si="151"/>
        <v>0</v>
      </c>
    </row>
    <row r="3164" spans="7:13" x14ac:dyDescent="0.25">
      <c r="G3164" s="10" t="str">
        <f t="shared" si="149"/>
        <v/>
      </c>
      <c r="H3164" t="str">
        <f t="shared" si="150"/>
        <v/>
      </c>
      <c r="M3164" s="34">
        <f t="shared" si="151"/>
        <v>0</v>
      </c>
    </row>
    <row r="3165" spans="7:13" x14ac:dyDescent="0.25">
      <c r="G3165" s="10" t="str">
        <f t="shared" si="149"/>
        <v/>
      </c>
      <c r="H3165" t="str">
        <f t="shared" si="150"/>
        <v/>
      </c>
      <c r="M3165" s="34">
        <f t="shared" si="151"/>
        <v>0</v>
      </c>
    </row>
    <row r="3166" spans="7:13" x14ac:dyDescent="0.25">
      <c r="G3166" s="10" t="str">
        <f t="shared" si="149"/>
        <v/>
      </c>
      <c r="H3166" t="str">
        <f t="shared" si="150"/>
        <v/>
      </c>
      <c r="M3166" s="34">
        <f t="shared" si="151"/>
        <v>0</v>
      </c>
    </row>
    <row r="3167" spans="7:13" x14ac:dyDescent="0.25">
      <c r="G3167" s="10" t="str">
        <f t="shared" si="149"/>
        <v/>
      </c>
      <c r="H3167" t="str">
        <f t="shared" si="150"/>
        <v/>
      </c>
      <c r="M3167" s="34">
        <f t="shared" si="151"/>
        <v>0</v>
      </c>
    </row>
    <row r="3168" spans="7:13" x14ac:dyDescent="0.25">
      <c r="G3168" s="10" t="str">
        <f t="shared" si="149"/>
        <v/>
      </c>
      <c r="H3168" t="str">
        <f t="shared" si="150"/>
        <v/>
      </c>
      <c r="M3168" s="34">
        <f t="shared" si="151"/>
        <v>0</v>
      </c>
    </row>
    <row r="3169" spans="7:13" x14ac:dyDescent="0.25">
      <c r="G3169" s="10" t="str">
        <f t="shared" si="149"/>
        <v/>
      </c>
      <c r="H3169" t="str">
        <f t="shared" si="150"/>
        <v/>
      </c>
      <c r="M3169" s="34">
        <f t="shared" si="151"/>
        <v>0</v>
      </c>
    </row>
    <row r="3170" spans="7:13" x14ac:dyDescent="0.25">
      <c r="G3170" s="10" t="str">
        <f t="shared" si="149"/>
        <v/>
      </c>
      <c r="H3170" t="str">
        <f t="shared" si="150"/>
        <v/>
      </c>
      <c r="M3170" s="34">
        <f t="shared" si="151"/>
        <v>0</v>
      </c>
    </row>
    <row r="3171" spans="7:13" x14ac:dyDescent="0.25">
      <c r="G3171" s="10" t="str">
        <f t="shared" si="149"/>
        <v/>
      </c>
      <c r="H3171" t="str">
        <f t="shared" si="150"/>
        <v/>
      </c>
      <c r="M3171" s="34">
        <f t="shared" si="151"/>
        <v>0</v>
      </c>
    </row>
    <row r="3172" spans="7:13" x14ac:dyDescent="0.25">
      <c r="G3172" s="10" t="str">
        <f t="shared" si="149"/>
        <v/>
      </c>
      <c r="H3172" t="str">
        <f t="shared" si="150"/>
        <v/>
      </c>
      <c r="M3172" s="34">
        <f t="shared" si="151"/>
        <v>0</v>
      </c>
    </row>
    <row r="3173" spans="7:13" x14ac:dyDescent="0.25">
      <c r="G3173" s="10" t="str">
        <f t="shared" si="149"/>
        <v/>
      </c>
      <c r="H3173" t="str">
        <f t="shared" si="150"/>
        <v/>
      </c>
      <c r="M3173" s="34">
        <f t="shared" si="151"/>
        <v>0</v>
      </c>
    </row>
    <row r="3174" spans="7:13" x14ac:dyDescent="0.25">
      <c r="G3174" s="10" t="str">
        <f t="shared" si="149"/>
        <v/>
      </c>
      <c r="H3174" t="str">
        <f t="shared" si="150"/>
        <v/>
      </c>
      <c r="M3174" s="34">
        <f t="shared" si="151"/>
        <v>0</v>
      </c>
    </row>
    <row r="3175" spans="7:13" x14ac:dyDescent="0.25">
      <c r="G3175" s="10" t="str">
        <f t="shared" si="149"/>
        <v/>
      </c>
      <c r="H3175" t="str">
        <f t="shared" si="150"/>
        <v/>
      </c>
      <c r="M3175" s="34">
        <f t="shared" si="151"/>
        <v>0</v>
      </c>
    </row>
    <row r="3176" spans="7:13" x14ac:dyDescent="0.25">
      <c r="G3176" s="10" t="str">
        <f t="shared" si="149"/>
        <v/>
      </c>
      <c r="H3176" t="str">
        <f t="shared" si="150"/>
        <v/>
      </c>
      <c r="M3176" s="34">
        <f t="shared" si="151"/>
        <v>0</v>
      </c>
    </row>
    <row r="3177" spans="7:13" x14ac:dyDescent="0.25">
      <c r="G3177" s="10" t="str">
        <f t="shared" si="149"/>
        <v/>
      </c>
      <c r="H3177" t="str">
        <f t="shared" si="150"/>
        <v/>
      </c>
      <c r="M3177" s="34">
        <f t="shared" si="151"/>
        <v>0</v>
      </c>
    </row>
    <row r="3178" spans="7:13" x14ac:dyDescent="0.25">
      <c r="G3178" s="10" t="str">
        <f t="shared" si="149"/>
        <v/>
      </c>
      <c r="H3178" t="str">
        <f t="shared" si="150"/>
        <v/>
      </c>
      <c r="M3178" s="34">
        <f t="shared" si="151"/>
        <v>0</v>
      </c>
    </row>
    <row r="3179" spans="7:13" x14ac:dyDescent="0.25">
      <c r="G3179" s="10" t="str">
        <f t="shared" si="149"/>
        <v/>
      </c>
      <c r="H3179" t="str">
        <f t="shared" si="150"/>
        <v/>
      </c>
      <c r="M3179" s="34">
        <f t="shared" si="151"/>
        <v>0</v>
      </c>
    </row>
    <row r="3180" spans="7:13" x14ac:dyDescent="0.25">
      <c r="G3180" s="10" t="str">
        <f t="shared" si="149"/>
        <v/>
      </c>
      <c r="H3180" t="str">
        <f t="shared" si="150"/>
        <v/>
      </c>
      <c r="M3180" s="34">
        <f t="shared" si="151"/>
        <v>0</v>
      </c>
    </row>
    <row r="3181" spans="7:13" x14ac:dyDescent="0.25">
      <c r="G3181" s="10" t="str">
        <f t="shared" si="149"/>
        <v/>
      </c>
      <c r="H3181" t="str">
        <f t="shared" si="150"/>
        <v/>
      </c>
      <c r="M3181" s="34">
        <f t="shared" si="151"/>
        <v>0</v>
      </c>
    </row>
    <row r="3182" spans="7:13" x14ac:dyDescent="0.25">
      <c r="G3182" s="10" t="str">
        <f t="shared" si="149"/>
        <v/>
      </c>
      <c r="H3182" t="str">
        <f t="shared" si="150"/>
        <v/>
      </c>
      <c r="M3182" s="34">
        <f t="shared" si="151"/>
        <v>0</v>
      </c>
    </row>
    <row r="3183" spans="7:13" x14ac:dyDescent="0.25">
      <c r="G3183" s="10" t="str">
        <f t="shared" si="149"/>
        <v/>
      </c>
      <c r="H3183" t="str">
        <f t="shared" si="150"/>
        <v/>
      </c>
      <c r="M3183" s="34">
        <f t="shared" si="151"/>
        <v>0</v>
      </c>
    </row>
    <row r="3184" spans="7:13" x14ac:dyDescent="0.25">
      <c r="G3184" s="10" t="str">
        <f t="shared" si="149"/>
        <v/>
      </c>
      <c r="H3184" t="str">
        <f t="shared" si="150"/>
        <v/>
      </c>
      <c r="M3184" s="34">
        <f t="shared" si="151"/>
        <v>0</v>
      </c>
    </row>
    <row r="3185" spans="7:13" x14ac:dyDescent="0.25">
      <c r="G3185" s="10" t="str">
        <f t="shared" si="149"/>
        <v/>
      </c>
      <c r="H3185" t="str">
        <f t="shared" si="150"/>
        <v/>
      </c>
      <c r="M3185" s="34">
        <f t="shared" si="151"/>
        <v>0</v>
      </c>
    </row>
    <row r="3186" spans="7:13" x14ac:dyDescent="0.25">
      <c r="G3186" s="10" t="str">
        <f t="shared" si="149"/>
        <v/>
      </c>
      <c r="H3186" t="str">
        <f t="shared" si="150"/>
        <v/>
      </c>
      <c r="M3186" s="34">
        <f t="shared" si="151"/>
        <v>0</v>
      </c>
    </row>
    <row r="3187" spans="7:13" x14ac:dyDescent="0.25">
      <c r="G3187" s="10" t="str">
        <f t="shared" si="149"/>
        <v/>
      </c>
      <c r="H3187" t="str">
        <f t="shared" si="150"/>
        <v/>
      </c>
      <c r="M3187" s="34">
        <f t="shared" si="151"/>
        <v>0</v>
      </c>
    </row>
    <row r="3188" spans="7:13" x14ac:dyDescent="0.25">
      <c r="G3188" s="10" t="str">
        <f t="shared" si="149"/>
        <v/>
      </c>
      <c r="H3188" t="str">
        <f t="shared" si="150"/>
        <v/>
      </c>
      <c r="M3188" s="34">
        <f t="shared" si="151"/>
        <v>0</v>
      </c>
    </row>
    <row r="3189" spans="7:13" x14ac:dyDescent="0.25">
      <c r="G3189" s="10" t="str">
        <f t="shared" si="149"/>
        <v/>
      </c>
      <c r="H3189" t="str">
        <f t="shared" si="150"/>
        <v/>
      </c>
      <c r="M3189" s="34">
        <f t="shared" si="151"/>
        <v>0</v>
      </c>
    </row>
    <row r="3190" spans="7:13" x14ac:dyDescent="0.25">
      <c r="G3190" s="10" t="str">
        <f t="shared" si="149"/>
        <v/>
      </c>
      <c r="H3190" t="str">
        <f t="shared" si="150"/>
        <v/>
      </c>
      <c r="M3190" s="34">
        <f t="shared" si="151"/>
        <v>0</v>
      </c>
    </row>
    <row r="3191" spans="7:13" x14ac:dyDescent="0.25">
      <c r="G3191" s="10" t="str">
        <f t="shared" si="149"/>
        <v/>
      </c>
      <c r="H3191" t="str">
        <f t="shared" si="150"/>
        <v/>
      </c>
      <c r="M3191" s="34">
        <f t="shared" si="151"/>
        <v>0</v>
      </c>
    </row>
    <row r="3192" spans="7:13" x14ac:dyDescent="0.25">
      <c r="G3192" s="10" t="str">
        <f t="shared" si="149"/>
        <v/>
      </c>
      <c r="H3192" t="str">
        <f t="shared" si="150"/>
        <v/>
      </c>
      <c r="M3192" s="34">
        <f t="shared" si="151"/>
        <v>0</v>
      </c>
    </row>
    <row r="3193" spans="7:13" x14ac:dyDescent="0.25">
      <c r="G3193" s="10" t="str">
        <f t="shared" si="149"/>
        <v/>
      </c>
      <c r="H3193" t="str">
        <f t="shared" si="150"/>
        <v/>
      </c>
      <c r="M3193" s="34">
        <f t="shared" si="151"/>
        <v>0</v>
      </c>
    </row>
    <row r="3194" spans="7:13" x14ac:dyDescent="0.25">
      <c r="G3194" s="10" t="str">
        <f t="shared" si="149"/>
        <v/>
      </c>
      <c r="H3194" t="str">
        <f t="shared" si="150"/>
        <v/>
      </c>
      <c r="M3194" s="34">
        <f t="shared" si="151"/>
        <v>0</v>
      </c>
    </row>
    <row r="3195" spans="7:13" x14ac:dyDescent="0.25">
      <c r="G3195" s="10" t="str">
        <f t="shared" si="149"/>
        <v/>
      </c>
      <c r="H3195" t="str">
        <f t="shared" si="150"/>
        <v/>
      </c>
      <c r="M3195" s="34">
        <f t="shared" si="151"/>
        <v>0</v>
      </c>
    </row>
    <row r="3196" spans="7:13" x14ac:dyDescent="0.25">
      <c r="G3196" s="10" t="str">
        <f t="shared" si="149"/>
        <v/>
      </c>
      <c r="H3196" t="str">
        <f t="shared" si="150"/>
        <v/>
      </c>
      <c r="M3196" s="34">
        <f t="shared" si="151"/>
        <v>0</v>
      </c>
    </row>
    <row r="3197" spans="7:13" x14ac:dyDescent="0.25">
      <c r="G3197" s="10" t="str">
        <f t="shared" si="149"/>
        <v/>
      </c>
      <c r="H3197" t="str">
        <f t="shared" si="150"/>
        <v/>
      </c>
      <c r="M3197" s="34">
        <f t="shared" si="151"/>
        <v>0</v>
      </c>
    </row>
    <row r="3198" spans="7:13" x14ac:dyDescent="0.25">
      <c r="G3198" s="10" t="str">
        <f t="shared" si="149"/>
        <v/>
      </c>
      <c r="H3198" t="str">
        <f t="shared" si="150"/>
        <v/>
      </c>
      <c r="M3198" s="34">
        <f t="shared" si="151"/>
        <v>0</v>
      </c>
    </row>
    <row r="3199" spans="7:13" x14ac:dyDescent="0.25">
      <c r="G3199" s="10" t="str">
        <f t="shared" si="149"/>
        <v/>
      </c>
      <c r="H3199" t="str">
        <f t="shared" si="150"/>
        <v/>
      </c>
      <c r="M3199" s="34">
        <f t="shared" si="151"/>
        <v>0</v>
      </c>
    </row>
    <row r="3200" spans="7:13" x14ac:dyDescent="0.25">
      <c r="G3200" s="10" t="str">
        <f t="shared" si="149"/>
        <v/>
      </c>
      <c r="H3200" t="str">
        <f t="shared" si="150"/>
        <v/>
      </c>
      <c r="M3200" s="34">
        <f t="shared" si="151"/>
        <v>0</v>
      </c>
    </row>
    <row r="3201" spans="7:13" x14ac:dyDescent="0.25">
      <c r="G3201" s="10" t="str">
        <f t="shared" si="149"/>
        <v/>
      </c>
      <c r="H3201" t="str">
        <f t="shared" si="150"/>
        <v/>
      </c>
      <c r="M3201" s="34">
        <f t="shared" si="151"/>
        <v>0</v>
      </c>
    </row>
    <row r="3202" spans="7:13" x14ac:dyDescent="0.25">
      <c r="G3202" s="10" t="str">
        <f t="shared" ref="G3202:G3265" si="152">IF(F3202&gt;0,"RECETTE",IF(F3202&lt;0,"DÉPENSE",""))</f>
        <v/>
      </c>
      <c r="H3202" t="str">
        <f t="shared" ref="H3202:H3265" si="153">+IF(ISNUMBER(D3202),D3202,"")</f>
        <v/>
      </c>
      <c r="M3202" s="34">
        <f t="shared" si="151"/>
        <v>0</v>
      </c>
    </row>
    <row r="3203" spans="7:13" x14ac:dyDescent="0.25">
      <c r="G3203" s="10" t="str">
        <f t="shared" si="152"/>
        <v/>
      </c>
      <c r="H3203" t="str">
        <f t="shared" si="153"/>
        <v/>
      </c>
      <c r="M3203" s="34">
        <f t="shared" ref="M3203:M3266" si="154">IF(AND(E3203="Chèque",G3203="RECETTE"),F3203,0)</f>
        <v>0</v>
      </c>
    </row>
    <row r="3204" spans="7:13" x14ac:dyDescent="0.25">
      <c r="G3204" s="10" t="str">
        <f t="shared" si="152"/>
        <v/>
      </c>
      <c r="H3204" t="str">
        <f t="shared" si="153"/>
        <v/>
      </c>
      <c r="M3204" s="34">
        <f t="shared" si="154"/>
        <v>0</v>
      </c>
    </row>
    <row r="3205" spans="7:13" x14ac:dyDescent="0.25">
      <c r="G3205" s="10" t="str">
        <f t="shared" si="152"/>
        <v/>
      </c>
      <c r="H3205" t="str">
        <f t="shared" si="153"/>
        <v/>
      </c>
      <c r="M3205" s="34">
        <f t="shared" si="154"/>
        <v>0</v>
      </c>
    </row>
    <row r="3206" spans="7:13" x14ac:dyDescent="0.25">
      <c r="G3206" s="10" t="str">
        <f t="shared" si="152"/>
        <v/>
      </c>
      <c r="H3206" t="str">
        <f t="shared" si="153"/>
        <v/>
      </c>
      <c r="M3206" s="34">
        <f t="shared" si="154"/>
        <v>0</v>
      </c>
    </row>
    <row r="3207" spans="7:13" x14ac:dyDescent="0.25">
      <c r="G3207" s="10" t="str">
        <f t="shared" si="152"/>
        <v/>
      </c>
      <c r="H3207" t="str">
        <f t="shared" si="153"/>
        <v/>
      </c>
      <c r="M3207" s="34">
        <f t="shared" si="154"/>
        <v>0</v>
      </c>
    </row>
    <row r="3208" spans="7:13" x14ac:dyDescent="0.25">
      <c r="G3208" s="10" t="str">
        <f t="shared" si="152"/>
        <v/>
      </c>
      <c r="H3208" t="str">
        <f t="shared" si="153"/>
        <v/>
      </c>
      <c r="M3208" s="34">
        <f t="shared" si="154"/>
        <v>0</v>
      </c>
    </row>
    <row r="3209" spans="7:13" x14ac:dyDescent="0.25">
      <c r="G3209" s="10" t="str">
        <f t="shared" si="152"/>
        <v/>
      </c>
      <c r="H3209" t="str">
        <f t="shared" si="153"/>
        <v/>
      </c>
      <c r="M3209" s="34">
        <f t="shared" si="154"/>
        <v>0</v>
      </c>
    </row>
    <row r="3210" spans="7:13" x14ac:dyDescent="0.25">
      <c r="G3210" s="10" t="str">
        <f t="shared" si="152"/>
        <v/>
      </c>
      <c r="H3210" t="str">
        <f t="shared" si="153"/>
        <v/>
      </c>
      <c r="M3210" s="34">
        <f t="shared" si="154"/>
        <v>0</v>
      </c>
    </row>
    <row r="3211" spans="7:13" x14ac:dyDescent="0.25">
      <c r="G3211" s="10" t="str">
        <f t="shared" si="152"/>
        <v/>
      </c>
      <c r="H3211" t="str">
        <f t="shared" si="153"/>
        <v/>
      </c>
      <c r="M3211" s="34">
        <f t="shared" si="154"/>
        <v>0</v>
      </c>
    </row>
    <row r="3212" spans="7:13" x14ac:dyDescent="0.25">
      <c r="G3212" s="10" t="str">
        <f t="shared" si="152"/>
        <v/>
      </c>
      <c r="H3212" t="str">
        <f t="shared" si="153"/>
        <v/>
      </c>
      <c r="M3212" s="34">
        <f t="shared" si="154"/>
        <v>0</v>
      </c>
    </row>
    <row r="3213" spans="7:13" x14ac:dyDescent="0.25">
      <c r="G3213" s="10" t="str">
        <f t="shared" si="152"/>
        <v/>
      </c>
      <c r="H3213" t="str">
        <f t="shared" si="153"/>
        <v/>
      </c>
      <c r="M3213" s="34">
        <f t="shared" si="154"/>
        <v>0</v>
      </c>
    </row>
    <row r="3214" spans="7:13" x14ac:dyDescent="0.25">
      <c r="G3214" s="10" t="str">
        <f t="shared" si="152"/>
        <v/>
      </c>
      <c r="H3214" t="str">
        <f t="shared" si="153"/>
        <v/>
      </c>
      <c r="M3214" s="34">
        <f t="shared" si="154"/>
        <v>0</v>
      </c>
    </row>
    <row r="3215" spans="7:13" x14ac:dyDescent="0.25">
      <c r="G3215" s="10" t="str">
        <f t="shared" si="152"/>
        <v/>
      </c>
      <c r="H3215" t="str">
        <f t="shared" si="153"/>
        <v/>
      </c>
      <c r="M3215" s="34">
        <f t="shared" si="154"/>
        <v>0</v>
      </c>
    </row>
    <row r="3216" spans="7:13" x14ac:dyDescent="0.25">
      <c r="G3216" s="10" t="str">
        <f t="shared" si="152"/>
        <v/>
      </c>
      <c r="H3216" t="str">
        <f t="shared" si="153"/>
        <v/>
      </c>
      <c r="M3216" s="34">
        <f t="shared" si="154"/>
        <v>0</v>
      </c>
    </row>
    <row r="3217" spans="7:13" x14ac:dyDescent="0.25">
      <c r="G3217" s="10" t="str">
        <f t="shared" si="152"/>
        <v/>
      </c>
      <c r="H3217" t="str">
        <f t="shared" si="153"/>
        <v/>
      </c>
      <c r="M3217" s="34">
        <f t="shared" si="154"/>
        <v>0</v>
      </c>
    </row>
    <row r="3218" spans="7:13" x14ac:dyDescent="0.25">
      <c r="G3218" s="10" t="str">
        <f t="shared" si="152"/>
        <v/>
      </c>
      <c r="H3218" t="str">
        <f t="shared" si="153"/>
        <v/>
      </c>
      <c r="M3218" s="34">
        <f t="shared" si="154"/>
        <v>0</v>
      </c>
    </row>
    <row r="3219" spans="7:13" x14ac:dyDescent="0.25">
      <c r="G3219" s="10" t="str">
        <f t="shared" si="152"/>
        <v/>
      </c>
      <c r="H3219" t="str">
        <f t="shared" si="153"/>
        <v/>
      </c>
      <c r="M3219" s="34">
        <f t="shared" si="154"/>
        <v>0</v>
      </c>
    </row>
    <row r="3220" spans="7:13" x14ac:dyDescent="0.25">
      <c r="G3220" s="10" t="str">
        <f t="shared" si="152"/>
        <v/>
      </c>
      <c r="H3220" t="str">
        <f t="shared" si="153"/>
        <v/>
      </c>
      <c r="M3220" s="34">
        <f t="shared" si="154"/>
        <v>0</v>
      </c>
    </row>
    <row r="3221" spans="7:13" x14ac:dyDescent="0.25">
      <c r="G3221" s="10" t="str">
        <f t="shared" si="152"/>
        <v/>
      </c>
      <c r="H3221" t="str">
        <f t="shared" si="153"/>
        <v/>
      </c>
      <c r="M3221" s="34">
        <f t="shared" si="154"/>
        <v>0</v>
      </c>
    </row>
    <row r="3222" spans="7:13" x14ac:dyDescent="0.25">
      <c r="G3222" s="10" t="str">
        <f t="shared" si="152"/>
        <v/>
      </c>
      <c r="H3222" t="str">
        <f t="shared" si="153"/>
        <v/>
      </c>
      <c r="M3222" s="34">
        <f t="shared" si="154"/>
        <v>0</v>
      </c>
    </row>
    <row r="3223" spans="7:13" x14ac:dyDescent="0.25">
      <c r="G3223" s="10" t="str">
        <f t="shared" si="152"/>
        <v/>
      </c>
      <c r="H3223" t="str">
        <f t="shared" si="153"/>
        <v/>
      </c>
      <c r="M3223" s="34">
        <f t="shared" si="154"/>
        <v>0</v>
      </c>
    </row>
    <row r="3224" spans="7:13" x14ac:dyDescent="0.25">
      <c r="G3224" s="10" t="str">
        <f t="shared" si="152"/>
        <v/>
      </c>
      <c r="H3224" t="str">
        <f t="shared" si="153"/>
        <v/>
      </c>
      <c r="M3224" s="34">
        <f t="shared" si="154"/>
        <v>0</v>
      </c>
    </row>
    <row r="3225" spans="7:13" x14ac:dyDescent="0.25">
      <c r="G3225" s="10" t="str">
        <f t="shared" si="152"/>
        <v/>
      </c>
      <c r="H3225" t="str">
        <f t="shared" si="153"/>
        <v/>
      </c>
      <c r="M3225" s="34">
        <f t="shared" si="154"/>
        <v>0</v>
      </c>
    </row>
    <row r="3226" spans="7:13" x14ac:dyDescent="0.25">
      <c r="G3226" s="10" t="str">
        <f t="shared" si="152"/>
        <v/>
      </c>
      <c r="H3226" t="str">
        <f t="shared" si="153"/>
        <v/>
      </c>
      <c r="M3226" s="34">
        <f t="shared" si="154"/>
        <v>0</v>
      </c>
    </row>
    <row r="3227" spans="7:13" x14ac:dyDescent="0.25">
      <c r="G3227" s="10" t="str">
        <f t="shared" si="152"/>
        <v/>
      </c>
      <c r="H3227" t="str">
        <f t="shared" si="153"/>
        <v/>
      </c>
      <c r="M3227" s="34">
        <f t="shared" si="154"/>
        <v>0</v>
      </c>
    </row>
    <row r="3228" spans="7:13" x14ac:dyDescent="0.25">
      <c r="G3228" s="10" t="str">
        <f t="shared" si="152"/>
        <v/>
      </c>
      <c r="H3228" t="str">
        <f t="shared" si="153"/>
        <v/>
      </c>
      <c r="M3228" s="34">
        <f t="shared" si="154"/>
        <v>0</v>
      </c>
    </row>
    <row r="3229" spans="7:13" x14ac:dyDescent="0.25">
      <c r="G3229" s="10" t="str">
        <f t="shared" si="152"/>
        <v/>
      </c>
      <c r="H3229" t="str">
        <f t="shared" si="153"/>
        <v/>
      </c>
      <c r="M3229" s="34">
        <f t="shared" si="154"/>
        <v>0</v>
      </c>
    </row>
    <row r="3230" spans="7:13" x14ac:dyDescent="0.25">
      <c r="G3230" s="10" t="str">
        <f t="shared" si="152"/>
        <v/>
      </c>
      <c r="H3230" t="str">
        <f t="shared" si="153"/>
        <v/>
      </c>
      <c r="M3230" s="34">
        <f t="shared" si="154"/>
        <v>0</v>
      </c>
    </row>
    <row r="3231" spans="7:13" x14ac:dyDescent="0.25">
      <c r="G3231" s="10" t="str">
        <f t="shared" si="152"/>
        <v/>
      </c>
      <c r="H3231" t="str">
        <f t="shared" si="153"/>
        <v/>
      </c>
      <c r="M3231" s="34">
        <f t="shared" si="154"/>
        <v>0</v>
      </c>
    </row>
    <row r="3232" spans="7:13" x14ac:dyDescent="0.25">
      <c r="G3232" s="10" t="str">
        <f t="shared" si="152"/>
        <v/>
      </c>
      <c r="H3232" t="str">
        <f t="shared" si="153"/>
        <v/>
      </c>
      <c r="M3232" s="34">
        <f t="shared" si="154"/>
        <v>0</v>
      </c>
    </row>
    <row r="3233" spans="7:13" x14ac:dyDescent="0.25">
      <c r="G3233" s="10" t="str">
        <f t="shared" si="152"/>
        <v/>
      </c>
      <c r="H3233" t="str">
        <f t="shared" si="153"/>
        <v/>
      </c>
      <c r="M3233" s="34">
        <f t="shared" si="154"/>
        <v>0</v>
      </c>
    </row>
    <row r="3234" spans="7:13" x14ac:dyDescent="0.25">
      <c r="G3234" s="10" t="str">
        <f t="shared" si="152"/>
        <v/>
      </c>
      <c r="H3234" t="str">
        <f t="shared" si="153"/>
        <v/>
      </c>
      <c r="M3234" s="34">
        <f t="shared" si="154"/>
        <v>0</v>
      </c>
    </row>
    <row r="3235" spans="7:13" x14ac:dyDescent="0.25">
      <c r="G3235" s="10" t="str">
        <f t="shared" si="152"/>
        <v/>
      </c>
      <c r="H3235" t="str">
        <f t="shared" si="153"/>
        <v/>
      </c>
      <c r="M3235" s="34">
        <f t="shared" si="154"/>
        <v>0</v>
      </c>
    </row>
    <row r="3236" spans="7:13" x14ac:dyDescent="0.25">
      <c r="G3236" s="10" t="str">
        <f t="shared" si="152"/>
        <v/>
      </c>
      <c r="H3236" t="str">
        <f t="shared" si="153"/>
        <v/>
      </c>
      <c r="M3236" s="34">
        <f t="shared" si="154"/>
        <v>0</v>
      </c>
    </row>
    <row r="3237" spans="7:13" x14ac:dyDescent="0.25">
      <c r="G3237" s="10" t="str">
        <f t="shared" si="152"/>
        <v/>
      </c>
      <c r="H3237" t="str">
        <f t="shared" si="153"/>
        <v/>
      </c>
      <c r="M3237" s="34">
        <f t="shared" si="154"/>
        <v>0</v>
      </c>
    </row>
    <row r="3238" spans="7:13" x14ac:dyDescent="0.25">
      <c r="G3238" s="10" t="str">
        <f t="shared" si="152"/>
        <v/>
      </c>
      <c r="H3238" t="str">
        <f t="shared" si="153"/>
        <v/>
      </c>
      <c r="M3238" s="34">
        <f t="shared" si="154"/>
        <v>0</v>
      </c>
    </row>
    <row r="3239" spans="7:13" x14ac:dyDescent="0.25">
      <c r="G3239" s="10" t="str">
        <f t="shared" si="152"/>
        <v/>
      </c>
      <c r="H3239" t="str">
        <f t="shared" si="153"/>
        <v/>
      </c>
      <c r="M3239" s="34">
        <f t="shared" si="154"/>
        <v>0</v>
      </c>
    </row>
    <row r="3240" spans="7:13" x14ac:dyDescent="0.25">
      <c r="G3240" s="10" t="str">
        <f t="shared" si="152"/>
        <v/>
      </c>
      <c r="H3240" t="str">
        <f t="shared" si="153"/>
        <v/>
      </c>
      <c r="M3240" s="34">
        <f t="shared" si="154"/>
        <v>0</v>
      </c>
    </row>
    <row r="3241" spans="7:13" x14ac:dyDescent="0.25">
      <c r="G3241" s="10" t="str">
        <f t="shared" si="152"/>
        <v/>
      </c>
      <c r="H3241" t="str">
        <f t="shared" si="153"/>
        <v/>
      </c>
      <c r="M3241" s="34">
        <f t="shared" si="154"/>
        <v>0</v>
      </c>
    </row>
    <row r="3242" spans="7:13" x14ac:dyDescent="0.25">
      <c r="G3242" s="10" t="str">
        <f t="shared" si="152"/>
        <v/>
      </c>
      <c r="H3242" t="str">
        <f t="shared" si="153"/>
        <v/>
      </c>
      <c r="M3242" s="34">
        <f t="shared" si="154"/>
        <v>0</v>
      </c>
    </row>
    <row r="3243" spans="7:13" x14ac:dyDescent="0.25">
      <c r="G3243" s="10" t="str">
        <f t="shared" si="152"/>
        <v/>
      </c>
      <c r="H3243" t="str">
        <f t="shared" si="153"/>
        <v/>
      </c>
      <c r="M3243" s="34">
        <f t="shared" si="154"/>
        <v>0</v>
      </c>
    </row>
    <row r="3244" spans="7:13" x14ac:dyDescent="0.25">
      <c r="G3244" s="10" t="str">
        <f t="shared" si="152"/>
        <v/>
      </c>
      <c r="H3244" t="str">
        <f t="shared" si="153"/>
        <v/>
      </c>
      <c r="M3244" s="34">
        <f t="shared" si="154"/>
        <v>0</v>
      </c>
    </row>
    <row r="3245" spans="7:13" x14ac:dyDescent="0.25">
      <c r="G3245" s="10" t="str">
        <f t="shared" si="152"/>
        <v/>
      </c>
      <c r="H3245" t="str">
        <f t="shared" si="153"/>
        <v/>
      </c>
      <c r="M3245" s="34">
        <f t="shared" si="154"/>
        <v>0</v>
      </c>
    </row>
    <row r="3246" spans="7:13" x14ac:dyDescent="0.25">
      <c r="G3246" s="10" t="str">
        <f t="shared" si="152"/>
        <v/>
      </c>
      <c r="H3246" t="str">
        <f t="shared" si="153"/>
        <v/>
      </c>
      <c r="M3246" s="34">
        <f t="shared" si="154"/>
        <v>0</v>
      </c>
    </row>
    <row r="3247" spans="7:13" x14ac:dyDescent="0.25">
      <c r="G3247" s="10" t="str">
        <f t="shared" si="152"/>
        <v/>
      </c>
      <c r="H3247" t="str">
        <f t="shared" si="153"/>
        <v/>
      </c>
      <c r="M3247" s="34">
        <f t="shared" si="154"/>
        <v>0</v>
      </c>
    </row>
    <row r="3248" spans="7:13" x14ac:dyDescent="0.25">
      <c r="G3248" s="10" t="str">
        <f t="shared" si="152"/>
        <v/>
      </c>
      <c r="H3248" t="str">
        <f t="shared" si="153"/>
        <v/>
      </c>
      <c r="M3248" s="34">
        <f t="shared" si="154"/>
        <v>0</v>
      </c>
    </row>
    <row r="3249" spans="7:13" x14ac:dyDescent="0.25">
      <c r="G3249" s="10" t="str">
        <f t="shared" si="152"/>
        <v/>
      </c>
      <c r="H3249" t="str">
        <f t="shared" si="153"/>
        <v/>
      </c>
      <c r="M3249" s="34">
        <f t="shared" si="154"/>
        <v>0</v>
      </c>
    </row>
    <row r="3250" spans="7:13" x14ac:dyDescent="0.25">
      <c r="G3250" s="10" t="str">
        <f t="shared" si="152"/>
        <v/>
      </c>
      <c r="H3250" t="str">
        <f t="shared" si="153"/>
        <v/>
      </c>
      <c r="M3250" s="34">
        <f t="shared" si="154"/>
        <v>0</v>
      </c>
    </row>
    <row r="3251" spans="7:13" x14ac:dyDescent="0.25">
      <c r="G3251" s="10" t="str">
        <f t="shared" si="152"/>
        <v/>
      </c>
      <c r="H3251" t="str">
        <f t="shared" si="153"/>
        <v/>
      </c>
      <c r="M3251" s="34">
        <f t="shared" si="154"/>
        <v>0</v>
      </c>
    </row>
    <row r="3252" spans="7:13" x14ac:dyDescent="0.25">
      <c r="G3252" s="10" t="str">
        <f t="shared" si="152"/>
        <v/>
      </c>
      <c r="H3252" t="str">
        <f t="shared" si="153"/>
        <v/>
      </c>
      <c r="M3252" s="34">
        <f t="shared" si="154"/>
        <v>0</v>
      </c>
    </row>
    <row r="3253" spans="7:13" x14ac:dyDescent="0.25">
      <c r="G3253" s="10" t="str">
        <f t="shared" si="152"/>
        <v/>
      </c>
      <c r="H3253" t="str">
        <f t="shared" si="153"/>
        <v/>
      </c>
      <c r="M3253" s="34">
        <f t="shared" si="154"/>
        <v>0</v>
      </c>
    </row>
    <row r="3254" spans="7:13" x14ac:dyDescent="0.25">
      <c r="G3254" s="10" t="str">
        <f t="shared" si="152"/>
        <v/>
      </c>
      <c r="H3254" t="str">
        <f t="shared" si="153"/>
        <v/>
      </c>
      <c r="M3254" s="34">
        <f t="shared" si="154"/>
        <v>0</v>
      </c>
    </row>
    <row r="3255" spans="7:13" x14ac:dyDescent="0.25">
      <c r="G3255" s="10" t="str">
        <f t="shared" si="152"/>
        <v/>
      </c>
      <c r="H3255" t="str">
        <f t="shared" si="153"/>
        <v/>
      </c>
      <c r="M3255" s="34">
        <f t="shared" si="154"/>
        <v>0</v>
      </c>
    </row>
    <row r="3256" spans="7:13" x14ac:dyDescent="0.25">
      <c r="G3256" s="10" t="str">
        <f t="shared" si="152"/>
        <v/>
      </c>
      <c r="H3256" t="str">
        <f t="shared" si="153"/>
        <v/>
      </c>
      <c r="M3256" s="34">
        <f t="shared" si="154"/>
        <v>0</v>
      </c>
    </row>
    <row r="3257" spans="7:13" x14ac:dyDescent="0.25">
      <c r="G3257" s="10" t="str">
        <f t="shared" si="152"/>
        <v/>
      </c>
      <c r="H3257" t="str">
        <f t="shared" si="153"/>
        <v/>
      </c>
      <c r="M3257" s="34">
        <f t="shared" si="154"/>
        <v>0</v>
      </c>
    </row>
    <row r="3258" spans="7:13" x14ac:dyDescent="0.25">
      <c r="G3258" s="10" t="str">
        <f t="shared" si="152"/>
        <v/>
      </c>
      <c r="H3258" t="str">
        <f t="shared" si="153"/>
        <v/>
      </c>
      <c r="M3258" s="34">
        <f t="shared" si="154"/>
        <v>0</v>
      </c>
    </row>
    <row r="3259" spans="7:13" x14ac:dyDescent="0.25">
      <c r="G3259" s="10" t="str">
        <f t="shared" si="152"/>
        <v/>
      </c>
      <c r="H3259" t="str">
        <f t="shared" si="153"/>
        <v/>
      </c>
      <c r="M3259" s="34">
        <f t="shared" si="154"/>
        <v>0</v>
      </c>
    </row>
    <row r="3260" spans="7:13" x14ac:dyDescent="0.25">
      <c r="G3260" s="10" t="str">
        <f t="shared" si="152"/>
        <v/>
      </c>
      <c r="H3260" t="str">
        <f t="shared" si="153"/>
        <v/>
      </c>
      <c r="M3260" s="34">
        <f t="shared" si="154"/>
        <v>0</v>
      </c>
    </row>
    <row r="3261" spans="7:13" x14ac:dyDescent="0.25">
      <c r="G3261" s="10" t="str">
        <f t="shared" si="152"/>
        <v/>
      </c>
      <c r="H3261" t="str">
        <f t="shared" si="153"/>
        <v/>
      </c>
      <c r="M3261" s="34">
        <f t="shared" si="154"/>
        <v>0</v>
      </c>
    </row>
    <row r="3262" spans="7:13" x14ac:dyDescent="0.25">
      <c r="G3262" s="10" t="str">
        <f t="shared" si="152"/>
        <v/>
      </c>
      <c r="H3262" t="str">
        <f t="shared" si="153"/>
        <v/>
      </c>
      <c r="M3262" s="34">
        <f t="shared" si="154"/>
        <v>0</v>
      </c>
    </row>
    <row r="3263" spans="7:13" x14ac:dyDescent="0.25">
      <c r="G3263" s="10" t="str">
        <f t="shared" si="152"/>
        <v/>
      </c>
      <c r="H3263" t="str">
        <f t="shared" si="153"/>
        <v/>
      </c>
      <c r="M3263" s="34">
        <f t="shared" si="154"/>
        <v>0</v>
      </c>
    </row>
    <row r="3264" spans="7:13" x14ac:dyDescent="0.25">
      <c r="G3264" s="10" t="str">
        <f t="shared" si="152"/>
        <v/>
      </c>
      <c r="H3264" t="str">
        <f t="shared" si="153"/>
        <v/>
      </c>
      <c r="M3264" s="34">
        <f t="shared" si="154"/>
        <v>0</v>
      </c>
    </row>
    <row r="3265" spans="7:13" x14ac:dyDescent="0.25">
      <c r="G3265" s="10" t="str">
        <f t="shared" si="152"/>
        <v/>
      </c>
      <c r="H3265" t="str">
        <f t="shared" si="153"/>
        <v/>
      </c>
      <c r="M3265" s="34">
        <f t="shared" si="154"/>
        <v>0</v>
      </c>
    </row>
    <row r="3266" spans="7:13" x14ac:dyDescent="0.25">
      <c r="G3266" s="10" t="str">
        <f t="shared" ref="G3266:G3329" si="155">IF(F3266&gt;0,"RECETTE",IF(F3266&lt;0,"DÉPENSE",""))</f>
        <v/>
      </c>
      <c r="H3266" t="str">
        <f t="shared" ref="H3266:H3329" si="156">+IF(ISNUMBER(D3266),D3266,"")</f>
        <v/>
      </c>
      <c r="M3266" s="34">
        <f t="shared" si="154"/>
        <v>0</v>
      </c>
    </row>
    <row r="3267" spans="7:13" x14ac:dyDescent="0.25">
      <c r="G3267" s="10" t="str">
        <f t="shared" si="155"/>
        <v/>
      </c>
      <c r="H3267" t="str">
        <f t="shared" si="156"/>
        <v/>
      </c>
      <c r="M3267" s="34">
        <f t="shared" ref="M3267:M3330" si="157">IF(AND(E3267="Chèque",G3267="RECETTE"),F3267,0)</f>
        <v>0</v>
      </c>
    </row>
    <row r="3268" spans="7:13" x14ac:dyDescent="0.25">
      <c r="G3268" s="10" t="str">
        <f t="shared" si="155"/>
        <v/>
      </c>
      <c r="H3268" t="str">
        <f t="shared" si="156"/>
        <v/>
      </c>
      <c r="M3268" s="34">
        <f t="shared" si="157"/>
        <v>0</v>
      </c>
    </row>
    <row r="3269" spans="7:13" x14ac:dyDescent="0.25">
      <c r="G3269" s="10" t="str">
        <f t="shared" si="155"/>
        <v/>
      </c>
      <c r="H3269" t="str">
        <f t="shared" si="156"/>
        <v/>
      </c>
      <c r="M3269" s="34">
        <f t="shared" si="157"/>
        <v>0</v>
      </c>
    </row>
    <row r="3270" spans="7:13" x14ac:dyDescent="0.25">
      <c r="G3270" s="10" t="str">
        <f t="shared" si="155"/>
        <v/>
      </c>
      <c r="H3270" t="str">
        <f t="shared" si="156"/>
        <v/>
      </c>
      <c r="M3270" s="34">
        <f t="shared" si="157"/>
        <v>0</v>
      </c>
    </row>
    <row r="3271" spans="7:13" x14ac:dyDescent="0.25">
      <c r="G3271" s="10" t="str">
        <f t="shared" si="155"/>
        <v/>
      </c>
      <c r="H3271" t="str">
        <f t="shared" si="156"/>
        <v/>
      </c>
      <c r="M3271" s="34">
        <f t="shared" si="157"/>
        <v>0</v>
      </c>
    </row>
    <row r="3272" spans="7:13" x14ac:dyDescent="0.25">
      <c r="G3272" s="10" t="str">
        <f t="shared" si="155"/>
        <v/>
      </c>
      <c r="H3272" t="str">
        <f t="shared" si="156"/>
        <v/>
      </c>
      <c r="M3272" s="34">
        <f t="shared" si="157"/>
        <v>0</v>
      </c>
    </row>
    <row r="3273" spans="7:13" x14ac:dyDescent="0.25">
      <c r="G3273" s="10" t="str">
        <f t="shared" si="155"/>
        <v/>
      </c>
      <c r="H3273" t="str">
        <f t="shared" si="156"/>
        <v/>
      </c>
      <c r="M3273" s="34">
        <f t="shared" si="157"/>
        <v>0</v>
      </c>
    </row>
    <row r="3274" spans="7:13" x14ac:dyDescent="0.25">
      <c r="G3274" s="10" t="str">
        <f t="shared" si="155"/>
        <v/>
      </c>
      <c r="H3274" t="str">
        <f t="shared" si="156"/>
        <v/>
      </c>
      <c r="M3274" s="34">
        <f t="shared" si="157"/>
        <v>0</v>
      </c>
    </row>
    <row r="3275" spans="7:13" x14ac:dyDescent="0.25">
      <c r="G3275" s="10" t="str">
        <f t="shared" si="155"/>
        <v/>
      </c>
      <c r="H3275" t="str">
        <f t="shared" si="156"/>
        <v/>
      </c>
      <c r="M3275" s="34">
        <f t="shared" si="157"/>
        <v>0</v>
      </c>
    </row>
    <row r="3276" spans="7:13" x14ac:dyDescent="0.25">
      <c r="G3276" s="10" t="str">
        <f t="shared" si="155"/>
        <v/>
      </c>
      <c r="H3276" t="str">
        <f t="shared" si="156"/>
        <v/>
      </c>
      <c r="M3276" s="34">
        <f t="shared" si="157"/>
        <v>0</v>
      </c>
    </row>
    <row r="3277" spans="7:13" x14ac:dyDescent="0.25">
      <c r="G3277" s="10" t="str">
        <f t="shared" si="155"/>
        <v/>
      </c>
      <c r="H3277" t="str">
        <f t="shared" si="156"/>
        <v/>
      </c>
      <c r="M3277" s="34">
        <f t="shared" si="157"/>
        <v>0</v>
      </c>
    </row>
    <row r="3278" spans="7:13" x14ac:dyDescent="0.25">
      <c r="G3278" s="10" t="str">
        <f t="shared" si="155"/>
        <v/>
      </c>
      <c r="H3278" t="str">
        <f t="shared" si="156"/>
        <v/>
      </c>
      <c r="M3278" s="34">
        <f t="shared" si="157"/>
        <v>0</v>
      </c>
    </row>
    <row r="3279" spans="7:13" x14ac:dyDescent="0.25">
      <c r="G3279" s="10" t="str">
        <f t="shared" si="155"/>
        <v/>
      </c>
      <c r="H3279" t="str">
        <f t="shared" si="156"/>
        <v/>
      </c>
      <c r="M3279" s="34">
        <f t="shared" si="157"/>
        <v>0</v>
      </c>
    </row>
    <row r="3280" spans="7:13" x14ac:dyDescent="0.25">
      <c r="G3280" s="10" t="str">
        <f t="shared" si="155"/>
        <v/>
      </c>
      <c r="H3280" t="str">
        <f t="shared" si="156"/>
        <v/>
      </c>
      <c r="M3280" s="34">
        <f t="shared" si="157"/>
        <v>0</v>
      </c>
    </row>
    <row r="3281" spans="7:13" x14ac:dyDescent="0.25">
      <c r="G3281" s="10" t="str">
        <f t="shared" si="155"/>
        <v/>
      </c>
      <c r="H3281" t="str">
        <f t="shared" si="156"/>
        <v/>
      </c>
      <c r="M3281" s="34">
        <f t="shared" si="157"/>
        <v>0</v>
      </c>
    </row>
    <row r="3282" spans="7:13" x14ac:dyDescent="0.25">
      <c r="G3282" s="10" t="str">
        <f t="shared" si="155"/>
        <v/>
      </c>
      <c r="H3282" t="str">
        <f t="shared" si="156"/>
        <v/>
      </c>
      <c r="M3282" s="34">
        <f t="shared" si="157"/>
        <v>0</v>
      </c>
    </row>
    <row r="3283" spans="7:13" x14ac:dyDescent="0.25">
      <c r="G3283" s="10" t="str">
        <f t="shared" si="155"/>
        <v/>
      </c>
      <c r="H3283" t="str">
        <f t="shared" si="156"/>
        <v/>
      </c>
      <c r="M3283" s="34">
        <f t="shared" si="157"/>
        <v>0</v>
      </c>
    </row>
    <row r="3284" spans="7:13" x14ac:dyDescent="0.25">
      <c r="G3284" s="10" t="str">
        <f t="shared" si="155"/>
        <v/>
      </c>
      <c r="H3284" t="str">
        <f t="shared" si="156"/>
        <v/>
      </c>
      <c r="M3284" s="34">
        <f t="shared" si="157"/>
        <v>0</v>
      </c>
    </row>
    <row r="3285" spans="7:13" x14ac:dyDescent="0.25">
      <c r="G3285" s="10" t="str">
        <f t="shared" si="155"/>
        <v/>
      </c>
      <c r="H3285" t="str">
        <f t="shared" si="156"/>
        <v/>
      </c>
      <c r="M3285" s="34">
        <f t="shared" si="157"/>
        <v>0</v>
      </c>
    </row>
    <row r="3286" spans="7:13" x14ac:dyDescent="0.25">
      <c r="G3286" s="10" t="str">
        <f t="shared" si="155"/>
        <v/>
      </c>
      <c r="H3286" t="str">
        <f t="shared" si="156"/>
        <v/>
      </c>
      <c r="M3286" s="34">
        <f t="shared" si="157"/>
        <v>0</v>
      </c>
    </row>
    <row r="3287" spans="7:13" x14ac:dyDescent="0.25">
      <c r="G3287" s="10" t="str">
        <f t="shared" si="155"/>
        <v/>
      </c>
      <c r="H3287" t="str">
        <f t="shared" si="156"/>
        <v/>
      </c>
      <c r="M3287" s="34">
        <f t="shared" si="157"/>
        <v>0</v>
      </c>
    </row>
    <row r="3288" spans="7:13" x14ac:dyDescent="0.25">
      <c r="G3288" s="10" t="str">
        <f t="shared" si="155"/>
        <v/>
      </c>
      <c r="H3288" t="str">
        <f t="shared" si="156"/>
        <v/>
      </c>
      <c r="M3288" s="34">
        <f t="shared" si="157"/>
        <v>0</v>
      </c>
    </row>
    <row r="3289" spans="7:13" x14ac:dyDescent="0.25">
      <c r="G3289" s="10" t="str">
        <f t="shared" si="155"/>
        <v/>
      </c>
      <c r="H3289" t="str">
        <f t="shared" si="156"/>
        <v/>
      </c>
      <c r="M3289" s="34">
        <f t="shared" si="157"/>
        <v>0</v>
      </c>
    </row>
    <row r="3290" spans="7:13" x14ac:dyDescent="0.25">
      <c r="G3290" s="10" t="str">
        <f t="shared" si="155"/>
        <v/>
      </c>
      <c r="H3290" t="str">
        <f t="shared" si="156"/>
        <v/>
      </c>
      <c r="M3290" s="34">
        <f t="shared" si="157"/>
        <v>0</v>
      </c>
    </row>
    <row r="3291" spans="7:13" x14ac:dyDescent="0.25">
      <c r="G3291" s="10" t="str">
        <f t="shared" si="155"/>
        <v/>
      </c>
      <c r="H3291" t="str">
        <f t="shared" si="156"/>
        <v/>
      </c>
      <c r="M3291" s="34">
        <f t="shared" si="157"/>
        <v>0</v>
      </c>
    </row>
    <row r="3292" spans="7:13" x14ac:dyDescent="0.25">
      <c r="G3292" s="10" t="str">
        <f t="shared" si="155"/>
        <v/>
      </c>
      <c r="H3292" t="str">
        <f t="shared" si="156"/>
        <v/>
      </c>
      <c r="M3292" s="34">
        <f t="shared" si="157"/>
        <v>0</v>
      </c>
    </row>
    <row r="3293" spans="7:13" x14ac:dyDescent="0.25">
      <c r="G3293" s="10" t="str">
        <f t="shared" si="155"/>
        <v/>
      </c>
      <c r="H3293" t="str">
        <f t="shared" si="156"/>
        <v/>
      </c>
      <c r="M3293" s="34">
        <f t="shared" si="157"/>
        <v>0</v>
      </c>
    </row>
    <row r="3294" spans="7:13" x14ac:dyDescent="0.25">
      <c r="G3294" s="10" t="str">
        <f t="shared" si="155"/>
        <v/>
      </c>
      <c r="H3294" t="str">
        <f t="shared" si="156"/>
        <v/>
      </c>
      <c r="M3294" s="34">
        <f t="shared" si="157"/>
        <v>0</v>
      </c>
    </row>
    <row r="3295" spans="7:13" x14ac:dyDescent="0.25">
      <c r="G3295" s="10" t="str">
        <f t="shared" si="155"/>
        <v/>
      </c>
      <c r="H3295" t="str">
        <f t="shared" si="156"/>
        <v/>
      </c>
      <c r="M3295" s="34">
        <f t="shared" si="157"/>
        <v>0</v>
      </c>
    </row>
    <row r="3296" spans="7:13" x14ac:dyDescent="0.25">
      <c r="G3296" s="10" t="str">
        <f t="shared" si="155"/>
        <v/>
      </c>
      <c r="H3296" t="str">
        <f t="shared" si="156"/>
        <v/>
      </c>
      <c r="M3296" s="34">
        <f t="shared" si="157"/>
        <v>0</v>
      </c>
    </row>
    <row r="3297" spans="7:13" x14ac:dyDescent="0.25">
      <c r="G3297" s="10" t="str">
        <f t="shared" si="155"/>
        <v/>
      </c>
      <c r="H3297" t="str">
        <f t="shared" si="156"/>
        <v/>
      </c>
      <c r="M3297" s="34">
        <f t="shared" si="157"/>
        <v>0</v>
      </c>
    </row>
    <row r="3298" spans="7:13" x14ac:dyDescent="0.25">
      <c r="G3298" s="10" t="str">
        <f t="shared" si="155"/>
        <v/>
      </c>
      <c r="H3298" t="str">
        <f t="shared" si="156"/>
        <v/>
      </c>
      <c r="M3298" s="34">
        <f t="shared" si="157"/>
        <v>0</v>
      </c>
    </row>
    <row r="3299" spans="7:13" x14ac:dyDescent="0.25">
      <c r="G3299" s="10" t="str">
        <f t="shared" si="155"/>
        <v/>
      </c>
      <c r="H3299" t="str">
        <f t="shared" si="156"/>
        <v/>
      </c>
      <c r="M3299" s="34">
        <f t="shared" si="157"/>
        <v>0</v>
      </c>
    </row>
    <row r="3300" spans="7:13" x14ac:dyDescent="0.25">
      <c r="G3300" s="10" t="str">
        <f t="shared" si="155"/>
        <v/>
      </c>
      <c r="H3300" t="str">
        <f t="shared" si="156"/>
        <v/>
      </c>
      <c r="M3300" s="34">
        <f t="shared" si="157"/>
        <v>0</v>
      </c>
    </row>
    <row r="3301" spans="7:13" x14ac:dyDescent="0.25">
      <c r="G3301" s="10" t="str">
        <f t="shared" si="155"/>
        <v/>
      </c>
      <c r="H3301" t="str">
        <f t="shared" si="156"/>
        <v/>
      </c>
      <c r="M3301" s="34">
        <f t="shared" si="157"/>
        <v>0</v>
      </c>
    </row>
    <row r="3302" spans="7:13" x14ac:dyDescent="0.25">
      <c r="G3302" s="10" t="str">
        <f t="shared" si="155"/>
        <v/>
      </c>
      <c r="H3302" t="str">
        <f t="shared" si="156"/>
        <v/>
      </c>
      <c r="M3302" s="34">
        <f t="shared" si="157"/>
        <v>0</v>
      </c>
    </row>
    <row r="3303" spans="7:13" x14ac:dyDescent="0.25">
      <c r="G3303" s="10" t="str">
        <f t="shared" si="155"/>
        <v/>
      </c>
      <c r="H3303" t="str">
        <f t="shared" si="156"/>
        <v/>
      </c>
      <c r="M3303" s="34">
        <f t="shared" si="157"/>
        <v>0</v>
      </c>
    </row>
    <row r="3304" spans="7:13" x14ac:dyDescent="0.25">
      <c r="G3304" s="10" t="str">
        <f t="shared" si="155"/>
        <v/>
      </c>
      <c r="H3304" t="str">
        <f t="shared" si="156"/>
        <v/>
      </c>
      <c r="M3304" s="34">
        <f t="shared" si="157"/>
        <v>0</v>
      </c>
    </row>
    <row r="3305" spans="7:13" x14ac:dyDescent="0.25">
      <c r="G3305" s="10" t="str">
        <f t="shared" si="155"/>
        <v/>
      </c>
      <c r="H3305" t="str">
        <f t="shared" si="156"/>
        <v/>
      </c>
      <c r="M3305" s="34">
        <f t="shared" si="157"/>
        <v>0</v>
      </c>
    </row>
    <row r="3306" spans="7:13" x14ac:dyDescent="0.25">
      <c r="G3306" s="10" t="str">
        <f t="shared" si="155"/>
        <v/>
      </c>
      <c r="H3306" t="str">
        <f t="shared" si="156"/>
        <v/>
      </c>
      <c r="M3306" s="34">
        <f t="shared" si="157"/>
        <v>0</v>
      </c>
    </row>
    <row r="3307" spans="7:13" x14ac:dyDescent="0.25">
      <c r="G3307" s="10" t="str">
        <f t="shared" si="155"/>
        <v/>
      </c>
      <c r="H3307" t="str">
        <f t="shared" si="156"/>
        <v/>
      </c>
      <c r="M3307" s="34">
        <f t="shared" si="157"/>
        <v>0</v>
      </c>
    </row>
    <row r="3308" spans="7:13" x14ac:dyDescent="0.25">
      <c r="G3308" s="10" t="str">
        <f t="shared" si="155"/>
        <v/>
      </c>
      <c r="H3308" t="str">
        <f t="shared" si="156"/>
        <v/>
      </c>
      <c r="M3308" s="34">
        <f t="shared" si="157"/>
        <v>0</v>
      </c>
    </row>
    <row r="3309" spans="7:13" x14ac:dyDescent="0.25">
      <c r="G3309" s="10" t="str">
        <f t="shared" si="155"/>
        <v/>
      </c>
      <c r="H3309" t="str">
        <f t="shared" si="156"/>
        <v/>
      </c>
      <c r="M3309" s="34">
        <f t="shared" si="157"/>
        <v>0</v>
      </c>
    </row>
    <row r="3310" spans="7:13" x14ac:dyDescent="0.25">
      <c r="G3310" s="10" t="str">
        <f t="shared" si="155"/>
        <v/>
      </c>
      <c r="H3310" t="str">
        <f t="shared" si="156"/>
        <v/>
      </c>
      <c r="M3310" s="34">
        <f t="shared" si="157"/>
        <v>0</v>
      </c>
    </row>
    <row r="3311" spans="7:13" x14ac:dyDescent="0.25">
      <c r="G3311" s="10" t="str">
        <f t="shared" si="155"/>
        <v/>
      </c>
      <c r="H3311" t="str">
        <f t="shared" si="156"/>
        <v/>
      </c>
      <c r="M3311" s="34">
        <f t="shared" si="157"/>
        <v>0</v>
      </c>
    </row>
    <row r="3312" spans="7:13" x14ac:dyDescent="0.25">
      <c r="G3312" s="10" t="str">
        <f t="shared" si="155"/>
        <v/>
      </c>
      <c r="H3312" t="str">
        <f t="shared" si="156"/>
        <v/>
      </c>
      <c r="M3312" s="34">
        <f t="shared" si="157"/>
        <v>0</v>
      </c>
    </row>
    <row r="3313" spans="7:13" x14ac:dyDescent="0.25">
      <c r="G3313" s="10" t="str">
        <f t="shared" si="155"/>
        <v/>
      </c>
      <c r="H3313" t="str">
        <f t="shared" si="156"/>
        <v/>
      </c>
      <c r="M3313" s="34">
        <f t="shared" si="157"/>
        <v>0</v>
      </c>
    </row>
    <row r="3314" spans="7:13" x14ac:dyDescent="0.25">
      <c r="G3314" s="10" t="str">
        <f t="shared" si="155"/>
        <v/>
      </c>
      <c r="H3314" t="str">
        <f t="shared" si="156"/>
        <v/>
      </c>
      <c r="M3314" s="34">
        <f t="shared" si="157"/>
        <v>0</v>
      </c>
    </row>
    <row r="3315" spans="7:13" x14ac:dyDescent="0.25">
      <c r="G3315" s="10" t="str">
        <f t="shared" si="155"/>
        <v/>
      </c>
      <c r="H3315" t="str">
        <f t="shared" si="156"/>
        <v/>
      </c>
      <c r="M3315" s="34">
        <f t="shared" si="157"/>
        <v>0</v>
      </c>
    </row>
    <row r="3316" spans="7:13" x14ac:dyDescent="0.25">
      <c r="G3316" s="10" t="str">
        <f t="shared" si="155"/>
        <v/>
      </c>
      <c r="H3316" t="str">
        <f t="shared" si="156"/>
        <v/>
      </c>
      <c r="M3316" s="34">
        <f t="shared" si="157"/>
        <v>0</v>
      </c>
    </row>
    <row r="3317" spans="7:13" x14ac:dyDescent="0.25">
      <c r="G3317" s="10" t="str">
        <f t="shared" si="155"/>
        <v/>
      </c>
      <c r="H3317" t="str">
        <f t="shared" si="156"/>
        <v/>
      </c>
      <c r="M3317" s="34">
        <f t="shared" si="157"/>
        <v>0</v>
      </c>
    </row>
    <row r="3318" spans="7:13" x14ac:dyDescent="0.25">
      <c r="G3318" s="10" t="str">
        <f t="shared" si="155"/>
        <v/>
      </c>
      <c r="H3318" t="str">
        <f t="shared" si="156"/>
        <v/>
      </c>
      <c r="M3318" s="34">
        <f t="shared" si="157"/>
        <v>0</v>
      </c>
    </row>
    <row r="3319" spans="7:13" x14ac:dyDescent="0.25">
      <c r="G3319" s="10" t="str">
        <f t="shared" si="155"/>
        <v/>
      </c>
      <c r="H3319" t="str">
        <f t="shared" si="156"/>
        <v/>
      </c>
      <c r="M3319" s="34">
        <f t="shared" si="157"/>
        <v>0</v>
      </c>
    </row>
    <row r="3320" spans="7:13" x14ac:dyDescent="0.25">
      <c r="G3320" s="10" t="str">
        <f t="shared" si="155"/>
        <v/>
      </c>
      <c r="H3320" t="str">
        <f t="shared" si="156"/>
        <v/>
      </c>
      <c r="M3320" s="34">
        <f t="shared" si="157"/>
        <v>0</v>
      </c>
    </row>
    <row r="3321" spans="7:13" x14ac:dyDescent="0.25">
      <c r="G3321" s="10" t="str">
        <f t="shared" si="155"/>
        <v/>
      </c>
      <c r="H3321" t="str">
        <f t="shared" si="156"/>
        <v/>
      </c>
      <c r="M3321" s="34">
        <f t="shared" si="157"/>
        <v>0</v>
      </c>
    </row>
    <row r="3322" spans="7:13" x14ac:dyDescent="0.25">
      <c r="G3322" s="10" t="str">
        <f t="shared" si="155"/>
        <v/>
      </c>
      <c r="H3322" t="str">
        <f t="shared" si="156"/>
        <v/>
      </c>
      <c r="M3322" s="34">
        <f t="shared" si="157"/>
        <v>0</v>
      </c>
    </row>
    <row r="3323" spans="7:13" x14ac:dyDescent="0.25">
      <c r="G3323" s="10" t="str">
        <f t="shared" si="155"/>
        <v/>
      </c>
      <c r="H3323" t="str">
        <f t="shared" si="156"/>
        <v/>
      </c>
      <c r="M3323" s="34">
        <f t="shared" si="157"/>
        <v>0</v>
      </c>
    </row>
    <row r="3324" spans="7:13" x14ac:dyDescent="0.25">
      <c r="G3324" s="10" t="str">
        <f t="shared" si="155"/>
        <v/>
      </c>
      <c r="H3324" t="str">
        <f t="shared" si="156"/>
        <v/>
      </c>
      <c r="M3324" s="34">
        <f t="shared" si="157"/>
        <v>0</v>
      </c>
    </row>
    <row r="3325" spans="7:13" x14ac:dyDescent="0.25">
      <c r="G3325" s="10" t="str">
        <f t="shared" si="155"/>
        <v/>
      </c>
      <c r="H3325" t="str">
        <f t="shared" si="156"/>
        <v/>
      </c>
      <c r="M3325" s="34">
        <f t="shared" si="157"/>
        <v>0</v>
      </c>
    </row>
    <row r="3326" spans="7:13" x14ac:dyDescent="0.25">
      <c r="G3326" s="10" t="str">
        <f t="shared" si="155"/>
        <v/>
      </c>
      <c r="H3326" t="str">
        <f t="shared" si="156"/>
        <v/>
      </c>
      <c r="M3326" s="34">
        <f t="shared" si="157"/>
        <v>0</v>
      </c>
    </row>
    <row r="3327" spans="7:13" x14ac:dyDescent="0.25">
      <c r="G3327" s="10" t="str">
        <f t="shared" si="155"/>
        <v/>
      </c>
      <c r="H3327" t="str">
        <f t="shared" si="156"/>
        <v/>
      </c>
      <c r="M3327" s="34">
        <f t="shared" si="157"/>
        <v>0</v>
      </c>
    </row>
    <row r="3328" spans="7:13" x14ac:dyDescent="0.25">
      <c r="G3328" s="10" t="str">
        <f t="shared" si="155"/>
        <v/>
      </c>
      <c r="H3328" t="str">
        <f t="shared" si="156"/>
        <v/>
      </c>
      <c r="M3328" s="34">
        <f t="shared" si="157"/>
        <v>0</v>
      </c>
    </row>
    <row r="3329" spans="7:13" x14ac:dyDescent="0.25">
      <c r="G3329" s="10" t="str">
        <f t="shared" si="155"/>
        <v/>
      </c>
      <c r="H3329" t="str">
        <f t="shared" si="156"/>
        <v/>
      </c>
      <c r="M3329" s="34">
        <f t="shared" si="157"/>
        <v>0</v>
      </c>
    </row>
    <row r="3330" spans="7:13" x14ac:dyDescent="0.25">
      <c r="G3330" s="10" t="str">
        <f t="shared" ref="G3330:G3393" si="158">IF(F3330&gt;0,"RECETTE",IF(F3330&lt;0,"DÉPENSE",""))</f>
        <v/>
      </c>
      <c r="H3330" t="str">
        <f t="shared" ref="H3330:H3393" si="159">+IF(ISNUMBER(D3330),D3330,"")</f>
        <v/>
      </c>
      <c r="M3330" s="34">
        <f t="shared" si="157"/>
        <v>0</v>
      </c>
    </row>
    <row r="3331" spans="7:13" x14ac:dyDescent="0.25">
      <c r="G3331" s="10" t="str">
        <f t="shared" si="158"/>
        <v/>
      </c>
      <c r="H3331" t="str">
        <f t="shared" si="159"/>
        <v/>
      </c>
      <c r="M3331" s="34">
        <f t="shared" ref="M3331:M3394" si="160">IF(AND(E3331="Chèque",G3331="RECETTE"),F3331,0)</f>
        <v>0</v>
      </c>
    </row>
    <row r="3332" spans="7:13" x14ac:dyDescent="0.25">
      <c r="G3332" s="10" t="str">
        <f t="shared" si="158"/>
        <v/>
      </c>
      <c r="H3332" t="str">
        <f t="shared" si="159"/>
        <v/>
      </c>
      <c r="M3332" s="34">
        <f t="shared" si="160"/>
        <v>0</v>
      </c>
    </row>
    <row r="3333" spans="7:13" x14ac:dyDescent="0.25">
      <c r="G3333" s="10" t="str">
        <f t="shared" si="158"/>
        <v/>
      </c>
      <c r="H3333" t="str">
        <f t="shared" si="159"/>
        <v/>
      </c>
      <c r="M3333" s="34">
        <f t="shared" si="160"/>
        <v>0</v>
      </c>
    </row>
    <row r="3334" spans="7:13" x14ac:dyDescent="0.25">
      <c r="G3334" s="10" t="str">
        <f t="shared" si="158"/>
        <v/>
      </c>
      <c r="H3334" t="str">
        <f t="shared" si="159"/>
        <v/>
      </c>
      <c r="M3334" s="34">
        <f t="shared" si="160"/>
        <v>0</v>
      </c>
    </row>
    <row r="3335" spans="7:13" x14ac:dyDescent="0.25">
      <c r="G3335" s="10" t="str">
        <f t="shared" si="158"/>
        <v/>
      </c>
      <c r="H3335" t="str">
        <f t="shared" si="159"/>
        <v/>
      </c>
      <c r="M3335" s="34">
        <f t="shared" si="160"/>
        <v>0</v>
      </c>
    </row>
    <row r="3336" spans="7:13" x14ac:dyDescent="0.25">
      <c r="G3336" s="10" t="str">
        <f t="shared" si="158"/>
        <v/>
      </c>
      <c r="H3336" t="str">
        <f t="shared" si="159"/>
        <v/>
      </c>
      <c r="M3336" s="34">
        <f t="shared" si="160"/>
        <v>0</v>
      </c>
    </row>
    <row r="3337" spans="7:13" x14ac:dyDescent="0.25">
      <c r="G3337" s="10" t="str">
        <f t="shared" si="158"/>
        <v/>
      </c>
      <c r="H3337" t="str">
        <f t="shared" si="159"/>
        <v/>
      </c>
      <c r="M3337" s="34">
        <f t="shared" si="160"/>
        <v>0</v>
      </c>
    </row>
    <row r="3338" spans="7:13" x14ac:dyDescent="0.25">
      <c r="G3338" s="10" t="str">
        <f t="shared" si="158"/>
        <v/>
      </c>
      <c r="H3338" t="str">
        <f t="shared" si="159"/>
        <v/>
      </c>
      <c r="M3338" s="34">
        <f t="shared" si="160"/>
        <v>0</v>
      </c>
    </row>
    <row r="3339" spans="7:13" x14ac:dyDescent="0.25">
      <c r="G3339" s="10" t="str">
        <f t="shared" si="158"/>
        <v/>
      </c>
      <c r="H3339" t="str">
        <f t="shared" si="159"/>
        <v/>
      </c>
      <c r="M3339" s="34">
        <f t="shared" si="160"/>
        <v>0</v>
      </c>
    </row>
    <row r="3340" spans="7:13" x14ac:dyDescent="0.25">
      <c r="G3340" s="10" t="str">
        <f t="shared" si="158"/>
        <v/>
      </c>
      <c r="H3340" t="str">
        <f t="shared" si="159"/>
        <v/>
      </c>
      <c r="M3340" s="34">
        <f t="shared" si="160"/>
        <v>0</v>
      </c>
    </row>
    <row r="3341" spans="7:13" x14ac:dyDescent="0.25">
      <c r="G3341" s="10" t="str">
        <f t="shared" si="158"/>
        <v/>
      </c>
      <c r="H3341" t="str">
        <f t="shared" si="159"/>
        <v/>
      </c>
      <c r="M3341" s="34">
        <f t="shared" si="160"/>
        <v>0</v>
      </c>
    </row>
    <row r="3342" spans="7:13" x14ac:dyDescent="0.25">
      <c r="G3342" s="10" t="str">
        <f t="shared" si="158"/>
        <v/>
      </c>
      <c r="H3342" t="str">
        <f t="shared" si="159"/>
        <v/>
      </c>
      <c r="M3342" s="34">
        <f t="shared" si="160"/>
        <v>0</v>
      </c>
    </row>
    <row r="3343" spans="7:13" x14ac:dyDescent="0.25">
      <c r="G3343" s="10" t="str">
        <f t="shared" si="158"/>
        <v/>
      </c>
      <c r="H3343" t="str">
        <f t="shared" si="159"/>
        <v/>
      </c>
      <c r="M3343" s="34">
        <f t="shared" si="160"/>
        <v>0</v>
      </c>
    </row>
    <row r="3344" spans="7:13" x14ac:dyDescent="0.25">
      <c r="G3344" s="10" t="str">
        <f t="shared" si="158"/>
        <v/>
      </c>
      <c r="H3344" t="str">
        <f t="shared" si="159"/>
        <v/>
      </c>
      <c r="M3344" s="34">
        <f t="shared" si="160"/>
        <v>0</v>
      </c>
    </row>
    <row r="3345" spans="7:13" x14ac:dyDescent="0.25">
      <c r="G3345" s="10" t="str">
        <f t="shared" si="158"/>
        <v/>
      </c>
      <c r="H3345" t="str">
        <f t="shared" si="159"/>
        <v/>
      </c>
      <c r="M3345" s="34">
        <f t="shared" si="160"/>
        <v>0</v>
      </c>
    </row>
    <row r="3346" spans="7:13" x14ac:dyDescent="0.25">
      <c r="G3346" s="10" t="str">
        <f t="shared" si="158"/>
        <v/>
      </c>
      <c r="H3346" t="str">
        <f t="shared" si="159"/>
        <v/>
      </c>
      <c r="M3346" s="34">
        <f t="shared" si="160"/>
        <v>0</v>
      </c>
    </row>
    <row r="3347" spans="7:13" x14ac:dyDescent="0.25">
      <c r="G3347" s="10" t="str">
        <f t="shared" si="158"/>
        <v/>
      </c>
      <c r="H3347" t="str">
        <f t="shared" si="159"/>
        <v/>
      </c>
      <c r="M3347" s="34">
        <f t="shared" si="160"/>
        <v>0</v>
      </c>
    </row>
    <row r="3348" spans="7:13" x14ac:dyDescent="0.25">
      <c r="G3348" s="10" t="str">
        <f t="shared" si="158"/>
        <v/>
      </c>
      <c r="H3348" t="str">
        <f t="shared" si="159"/>
        <v/>
      </c>
      <c r="M3348" s="34">
        <f t="shared" si="160"/>
        <v>0</v>
      </c>
    </row>
    <row r="3349" spans="7:13" x14ac:dyDescent="0.25">
      <c r="G3349" s="10" t="str">
        <f t="shared" si="158"/>
        <v/>
      </c>
      <c r="H3349" t="str">
        <f t="shared" si="159"/>
        <v/>
      </c>
      <c r="M3349" s="34">
        <f t="shared" si="160"/>
        <v>0</v>
      </c>
    </row>
    <row r="3350" spans="7:13" x14ac:dyDescent="0.25">
      <c r="G3350" s="10" t="str">
        <f t="shared" si="158"/>
        <v/>
      </c>
      <c r="H3350" t="str">
        <f t="shared" si="159"/>
        <v/>
      </c>
      <c r="M3350" s="34">
        <f t="shared" si="160"/>
        <v>0</v>
      </c>
    </row>
    <row r="3351" spans="7:13" x14ac:dyDescent="0.25">
      <c r="G3351" s="10" t="str">
        <f t="shared" si="158"/>
        <v/>
      </c>
      <c r="H3351" t="str">
        <f t="shared" si="159"/>
        <v/>
      </c>
      <c r="M3351" s="34">
        <f t="shared" si="160"/>
        <v>0</v>
      </c>
    </row>
    <row r="3352" spans="7:13" x14ac:dyDescent="0.25">
      <c r="G3352" s="10" t="str">
        <f t="shared" si="158"/>
        <v/>
      </c>
      <c r="H3352" t="str">
        <f t="shared" si="159"/>
        <v/>
      </c>
      <c r="M3352" s="34">
        <f t="shared" si="160"/>
        <v>0</v>
      </c>
    </row>
    <row r="3353" spans="7:13" x14ac:dyDescent="0.25">
      <c r="G3353" s="10" t="str">
        <f t="shared" si="158"/>
        <v/>
      </c>
      <c r="H3353" t="str">
        <f t="shared" si="159"/>
        <v/>
      </c>
      <c r="M3353" s="34">
        <f t="shared" si="160"/>
        <v>0</v>
      </c>
    </row>
    <row r="3354" spans="7:13" x14ac:dyDescent="0.25">
      <c r="G3354" s="10" t="str">
        <f t="shared" si="158"/>
        <v/>
      </c>
      <c r="H3354" t="str">
        <f t="shared" si="159"/>
        <v/>
      </c>
      <c r="M3354" s="34">
        <f t="shared" si="160"/>
        <v>0</v>
      </c>
    </row>
    <row r="3355" spans="7:13" x14ac:dyDescent="0.25">
      <c r="G3355" s="10" t="str">
        <f t="shared" si="158"/>
        <v/>
      </c>
      <c r="H3355" t="str">
        <f t="shared" si="159"/>
        <v/>
      </c>
      <c r="M3355" s="34">
        <f t="shared" si="160"/>
        <v>0</v>
      </c>
    </row>
    <row r="3356" spans="7:13" x14ac:dyDescent="0.25">
      <c r="G3356" s="10" t="str">
        <f t="shared" si="158"/>
        <v/>
      </c>
      <c r="H3356" t="str">
        <f t="shared" si="159"/>
        <v/>
      </c>
      <c r="M3356" s="34">
        <f t="shared" si="160"/>
        <v>0</v>
      </c>
    </row>
    <row r="3357" spans="7:13" x14ac:dyDescent="0.25">
      <c r="G3357" s="10" t="str">
        <f t="shared" si="158"/>
        <v/>
      </c>
      <c r="H3357" t="str">
        <f t="shared" si="159"/>
        <v/>
      </c>
      <c r="M3357" s="34">
        <f t="shared" si="160"/>
        <v>0</v>
      </c>
    </row>
    <row r="3358" spans="7:13" x14ac:dyDescent="0.25">
      <c r="G3358" s="10" t="str">
        <f t="shared" si="158"/>
        <v/>
      </c>
      <c r="H3358" t="str">
        <f t="shared" si="159"/>
        <v/>
      </c>
      <c r="M3358" s="34">
        <f t="shared" si="160"/>
        <v>0</v>
      </c>
    </row>
    <row r="3359" spans="7:13" x14ac:dyDescent="0.25">
      <c r="G3359" s="10" t="str">
        <f t="shared" si="158"/>
        <v/>
      </c>
      <c r="H3359" t="str">
        <f t="shared" si="159"/>
        <v/>
      </c>
      <c r="M3359" s="34">
        <f t="shared" si="160"/>
        <v>0</v>
      </c>
    </row>
    <row r="3360" spans="7:13" x14ac:dyDescent="0.25">
      <c r="G3360" s="10" t="str">
        <f t="shared" si="158"/>
        <v/>
      </c>
      <c r="H3360" t="str">
        <f t="shared" si="159"/>
        <v/>
      </c>
      <c r="M3360" s="34">
        <f t="shared" si="160"/>
        <v>0</v>
      </c>
    </row>
    <row r="3361" spans="7:13" x14ac:dyDescent="0.25">
      <c r="G3361" s="10" t="str">
        <f t="shared" si="158"/>
        <v/>
      </c>
      <c r="H3361" t="str">
        <f t="shared" si="159"/>
        <v/>
      </c>
      <c r="M3361" s="34">
        <f t="shared" si="160"/>
        <v>0</v>
      </c>
    </row>
    <row r="3362" spans="7:13" x14ac:dyDescent="0.25">
      <c r="G3362" s="10" t="str">
        <f t="shared" si="158"/>
        <v/>
      </c>
      <c r="H3362" t="str">
        <f t="shared" si="159"/>
        <v/>
      </c>
      <c r="M3362" s="34">
        <f t="shared" si="160"/>
        <v>0</v>
      </c>
    </row>
    <row r="3363" spans="7:13" x14ac:dyDescent="0.25">
      <c r="G3363" s="10" t="str">
        <f t="shared" si="158"/>
        <v/>
      </c>
      <c r="H3363" t="str">
        <f t="shared" si="159"/>
        <v/>
      </c>
      <c r="M3363" s="34">
        <f t="shared" si="160"/>
        <v>0</v>
      </c>
    </row>
    <row r="3364" spans="7:13" x14ac:dyDescent="0.25">
      <c r="G3364" s="10" t="str">
        <f t="shared" si="158"/>
        <v/>
      </c>
      <c r="H3364" t="str">
        <f t="shared" si="159"/>
        <v/>
      </c>
      <c r="M3364" s="34">
        <f t="shared" si="160"/>
        <v>0</v>
      </c>
    </row>
    <row r="3365" spans="7:13" x14ac:dyDescent="0.25">
      <c r="G3365" s="10" t="str">
        <f t="shared" si="158"/>
        <v/>
      </c>
      <c r="H3365" t="str">
        <f t="shared" si="159"/>
        <v/>
      </c>
      <c r="M3365" s="34">
        <f t="shared" si="160"/>
        <v>0</v>
      </c>
    </row>
    <row r="3366" spans="7:13" x14ac:dyDescent="0.25">
      <c r="G3366" s="10" t="str">
        <f t="shared" si="158"/>
        <v/>
      </c>
      <c r="H3366" t="str">
        <f t="shared" si="159"/>
        <v/>
      </c>
      <c r="M3366" s="34">
        <f t="shared" si="160"/>
        <v>0</v>
      </c>
    </row>
    <row r="3367" spans="7:13" x14ac:dyDescent="0.25">
      <c r="G3367" s="10" t="str">
        <f t="shared" si="158"/>
        <v/>
      </c>
      <c r="H3367" t="str">
        <f t="shared" si="159"/>
        <v/>
      </c>
      <c r="M3367" s="34">
        <f t="shared" si="160"/>
        <v>0</v>
      </c>
    </row>
    <row r="3368" spans="7:13" x14ac:dyDescent="0.25">
      <c r="G3368" s="10" t="str">
        <f t="shared" si="158"/>
        <v/>
      </c>
      <c r="H3368" t="str">
        <f t="shared" si="159"/>
        <v/>
      </c>
      <c r="M3368" s="34">
        <f t="shared" si="160"/>
        <v>0</v>
      </c>
    </row>
    <row r="3369" spans="7:13" x14ac:dyDescent="0.25">
      <c r="G3369" s="10" t="str">
        <f t="shared" si="158"/>
        <v/>
      </c>
      <c r="H3369" t="str">
        <f t="shared" si="159"/>
        <v/>
      </c>
      <c r="M3369" s="34">
        <f t="shared" si="160"/>
        <v>0</v>
      </c>
    </row>
    <row r="3370" spans="7:13" x14ac:dyDescent="0.25">
      <c r="G3370" s="10" t="str">
        <f t="shared" si="158"/>
        <v/>
      </c>
      <c r="H3370" t="str">
        <f t="shared" si="159"/>
        <v/>
      </c>
      <c r="M3370" s="34">
        <f t="shared" si="160"/>
        <v>0</v>
      </c>
    </row>
    <row r="3371" spans="7:13" x14ac:dyDescent="0.25">
      <c r="G3371" s="10" t="str">
        <f t="shared" si="158"/>
        <v/>
      </c>
      <c r="H3371" t="str">
        <f t="shared" si="159"/>
        <v/>
      </c>
      <c r="M3371" s="34">
        <f t="shared" si="160"/>
        <v>0</v>
      </c>
    </row>
    <row r="3372" spans="7:13" x14ac:dyDescent="0.25">
      <c r="G3372" s="10" t="str">
        <f t="shared" si="158"/>
        <v/>
      </c>
      <c r="H3372" t="str">
        <f t="shared" si="159"/>
        <v/>
      </c>
      <c r="M3372" s="34">
        <f t="shared" si="160"/>
        <v>0</v>
      </c>
    </row>
    <row r="3373" spans="7:13" x14ac:dyDescent="0.25">
      <c r="G3373" s="10" t="str">
        <f t="shared" si="158"/>
        <v/>
      </c>
      <c r="H3373" t="str">
        <f t="shared" si="159"/>
        <v/>
      </c>
      <c r="M3373" s="34">
        <f t="shared" si="160"/>
        <v>0</v>
      </c>
    </row>
    <row r="3374" spans="7:13" x14ac:dyDescent="0.25">
      <c r="G3374" s="10" t="str">
        <f t="shared" si="158"/>
        <v/>
      </c>
      <c r="H3374" t="str">
        <f t="shared" si="159"/>
        <v/>
      </c>
      <c r="M3374" s="34">
        <f t="shared" si="160"/>
        <v>0</v>
      </c>
    </row>
    <row r="3375" spans="7:13" x14ac:dyDescent="0.25">
      <c r="G3375" s="10" t="str">
        <f t="shared" si="158"/>
        <v/>
      </c>
      <c r="H3375" t="str">
        <f t="shared" si="159"/>
        <v/>
      </c>
      <c r="M3375" s="34">
        <f t="shared" si="160"/>
        <v>0</v>
      </c>
    </row>
    <row r="3376" spans="7:13" x14ac:dyDescent="0.25">
      <c r="G3376" s="10" t="str">
        <f t="shared" si="158"/>
        <v/>
      </c>
      <c r="H3376" t="str">
        <f t="shared" si="159"/>
        <v/>
      </c>
      <c r="M3376" s="34">
        <f t="shared" si="160"/>
        <v>0</v>
      </c>
    </row>
    <row r="3377" spans="7:13" x14ac:dyDescent="0.25">
      <c r="G3377" s="10" t="str">
        <f t="shared" si="158"/>
        <v/>
      </c>
      <c r="H3377" t="str">
        <f t="shared" si="159"/>
        <v/>
      </c>
      <c r="M3377" s="34">
        <f t="shared" si="160"/>
        <v>0</v>
      </c>
    </row>
    <row r="3378" spans="7:13" x14ac:dyDescent="0.25">
      <c r="G3378" s="10" t="str">
        <f t="shared" si="158"/>
        <v/>
      </c>
      <c r="H3378" t="str">
        <f t="shared" si="159"/>
        <v/>
      </c>
      <c r="M3378" s="34">
        <f t="shared" si="160"/>
        <v>0</v>
      </c>
    </row>
    <row r="3379" spans="7:13" x14ac:dyDescent="0.25">
      <c r="G3379" s="10" t="str">
        <f t="shared" si="158"/>
        <v/>
      </c>
      <c r="H3379" t="str">
        <f t="shared" si="159"/>
        <v/>
      </c>
      <c r="M3379" s="34">
        <f t="shared" si="160"/>
        <v>0</v>
      </c>
    </row>
    <row r="3380" spans="7:13" x14ac:dyDescent="0.25">
      <c r="G3380" s="10" t="str">
        <f t="shared" si="158"/>
        <v/>
      </c>
      <c r="H3380" t="str">
        <f t="shared" si="159"/>
        <v/>
      </c>
      <c r="M3380" s="34">
        <f t="shared" si="160"/>
        <v>0</v>
      </c>
    </row>
    <row r="3381" spans="7:13" x14ac:dyDescent="0.25">
      <c r="G3381" s="10" t="str">
        <f t="shared" si="158"/>
        <v/>
      </c>
      <c r="H3381" t="str">
        <f t="shared" si="159"/>
        <v/>
      </c>
      <c r="M3381" s="34">
        <f t="shared" si="160"/>
        <v>0</v>
      </c>
    </row>
    <row r="3382" spans="7:13" x14ac:dyDescent="0.25">
      <c r="G3382" s="10" t="str">
        <f t="shared" si="158"/>
        <v/>
      </c>
      <c r="H3382" t="str">
        <f t="shared" si="159"/>
        <v/>
      </c>
      <c r="M3382" s="34">
        <f t="shared" si="160"/>
        <v>0</v>
      </c>
    </row>
    <row r="3383" spans="7:13" x14ac:dyDescent="0.25">
      <c r="G3383" s="10" t="str">
        <f t="shared" si="158"/>
        <v/>
      </c>
      <c r="H3383" t="str">
        <f t="shared" si="159"/>
        <v/>
      </c>
      <c r="M3383" s="34">
        <f t="shared" si="160"/>
        <v>0</v>
      </c>
    </row>
    <row r="3384" spans="7:13" x14ac:dyDescent="0.25">
      <c r="G3384" s="10" t="str">
        <f t="shared" si="158"/>
        <v/>
      </c>
      <c r="H3384" t="str">
        <f t="shared" si="159"/>
        <v/>
      </c>
      <c r="M3384" s="34">
        <f t="shared" si="160"/>
        <v>0</v>
      </c>
    </row>
    <row r="3385" spans="7:13" x14ac:dyDescent="0.25">
      <c r="G3385" s="10" t="str">
        <f t="shared" si="158"/>
        <v/>
      </c>
      <c r="H3385" t="str">
        <f t="shared" si="159"/>
        <v/>
      </c>
      <c r="M3385" s="34">
        <f t="shared" si="160"/>
        <v>0</v>
      </c>
    </row>
    <row r="3386" spans="7:13" x14ac:dyDescent="0.25">
      <c r="G3386" s="10" t="str">
        <f t="shared" si="158"/>
        <v/>
      </c>
      <c r="H3386" t="str">
        <f t="shared" si="159"/>
        <v/>
      </c>
      <c r="M3386" s="34">
        <f t="shared" si="160"/>
        <v>0</v>
      </c>
    </row>
    <row r="3387" spans="7:13" x14ac:dyDescent="0.25">
      <c r="G3387" s="10" t="str">
        <f t="shared" si="158"/>
        <v/>
      </c>
      <c r="H3387" t="str">
        <f t="shared" si="159"/>
        <v/>
      </c>
      <c r="M3387" s="34">
        <f t="shared" si="160"/>
        <v>0</v>
      </c>
    </row>
    <row r="3388" spans="7:13" x14ac:dyDescent="0.25">
      <c r="G3388" s="10" t="str">
        <f t="shared" si="158"/>
        <v/>
      </c>
      <c r="H3388" t="str">
        <f t="shared" si="159"/>
        <v/>
      </c>
      <c r="M3388" s="34">
        <f t="shared" si="160"/>
        <v>0</v>
      </c>
    </row>
    <row r="3389" spans="7:13" x14ac:dyDescent="0.25">
      <c r="G3389" s="10" t="str">
        <f t="shared" si="158"/>
        <v/>
      </c>
      <c r="H3389" t="str">
        <f t="shared" si="159"/>
        <v/>
      </c>
      <c r="M3389" s="34">
        <f t="shared" si="160"/>
        <v>0</v>
      </c>
    </row>
    <row r="3390" spans="7:13" x14ac:dyDescent="0.25">
      <c r="G3390" s="10" t="str">
        <f t="shared" si="158"/>
        <v/>
      </c>
      <c r="H3390" t="str">
        <f t="shared" si="159"/>
        <v/>
      </c>
      <c r="M3390" s="34">
        <f t="shared" si="160"/>
        <v>0</v>
      </c>
    </row>
    <row r="3391" spans="7:13" x14ac:dyDescent="0.25">
      <c r="G3391" s="10" t="str">
        <f t="shared" si="158"/>
        <v/>
      </c>
      <c r="H3391" t="str">
        <f t="shared" si="159"/>
        <v/>
      </c>
      <c r="M3391" s="34">
        <f t="shared" si="160"/>
        <v>0</v>
      </c>
    </row>
    <row r="3392" spans="7:13" x14ac:dyDescent="0.25">
      <c r="G3392" s="10" t="str">
        <f t="shared" si="158"/>
        <v/>
      </c>
      <c r="H3392" t="str">
        <f t="shared" si="159"/>
        <v/>
      </c>
      <c r="M3392" s="34">
        <f t="shared" si="160"/>
        <v>0</v>
      </c>
    </row>
    <row r="3393" spans="7:13" x14ac:dyDescent="0.25">
      <c r="G3393" s="10" t="str">
        <f t="shared" si="158"/>
        <v/>
      </c>
      <c r="H3393" t="str">
        <f t="shared" si="159"/>
        <v/>
      </c>
      <c r="M3393" s="34">
        <f t="shared" si="160"/>
        <v>0</v>
      </c>
    </row>
    <row r="3394" spans="7:13" x14ac:dyDescent="0.25">
      <c r="G3394" s="10" t="str">
        <f t="shared" ref="G3394:G3457" si="161">IF(F3394&gt;0,"RECETTE",IF(F3394&lt;0,"DÉPENSE",""))</f>
        <v/>
      </c>
      <c r="H3394" t="str">
        <f t="shared" ref="H3394:H3457" si="162">+IF(ISNUMBER(D3394),D3394,"")</f>
        <v/>
      </c>
      <c r="M3394" s="34">
        <f t="shared" si="160"/>
        <v>0</v>
      </c>
    </row>
    <row r="3395" spans="7:13" x14ac:dyDescent="0.25">
      <c r="G3395" s="10" t="str">
        <f t="shared" si="161"/>
        <v/>
      </c>
      <c r="H3395" t="str">
        <f t="shared" si="162"/>
        <v/>
      </c>
      <c r="M3395" s="34">
        <f t="shared" ref="M3395:M3458" si="163">IF(AND(E3395="Chèque",G3395="RECETTE"),F3395,0)</f>
        <v>0</v>
      </c>
    </row>
    <row r="3396" spans="7:13" x14ac:dyDescent="0.25">
      <c r="G3396" s="10" t="str">
        <f t="shared" si="161"/>
        <v/>
      </c>
      <c r="H3396" t="str">
        <f t="shared" si="162"/>
        <v/>
      </c>
      <c r="M3396" s="34">
        <f t="shared" si="163"/>
        <v>0</v>
      </c>
    </row>
    <row r="3397" spans="7:13" x14ac:dyDescent="0.25">
      <c r="G3397" s="10" t="str">
        <f t="shared" si="161"/>
        <v/>
      </c>
      <c r="H3397" t="str">
        <f t="shared" si="162"/>
        <v/>
      </c>
      <c r="M3397" s="34">
        <f t="shared" si="163"/>
        <v>0</v>
      </c>
    </row>
    <row r="3398" spans="7:13" x14ac:dyDescent="0.25">
      <c r="G3398" s="10" t="str">
        <f t="shared" si="161"/>
        <v/>
      </c>
      <c r="H3398" t="str">
        <f t="shared" si="162"/>
        <v/>
      </c>
      <c r="M3398" s="34">
        <f t="shared" si="163"/>
        <v>0</v>
      </c>
    </row>
    <row r="3399" spans="7:13" x14ac:dyDescent="0.25">
      <c r="G3399" s="10" t="str">
        <f t="shared" si="161"/>
        <v/>
      </c>
      <c r="H3399" t="str">
        <f t="shared" si="162"/>
        <v/>
      </c>
      <c r="M3399" s="34">
        <f t="shared" si="163"/>
        <v>0</v>
      </c>
    </row>
    <row r="3400" spans="7:13" x14ac:dyDescent="0.25">
      <c r="G3400" s="10" t="str">
        <f t="shared" si="161"/>
        <v/>
      </c>
      <c r="H3400" t="str">
        <f t="shared" si="162"/>
        <v/>
      </c>
      <c r="M3400" s="34">
        <f t="shared" si="163"/>
        <v>0</v>
      </c>
    </row>
    <row r="3401" spans="7:13" x14ac:dyDescent="0.25">
      <c r="G3401" s="10" t="str">
        <f t="shared" si="161"/>
        <v/>
      </c>
      <c r="H3401" t="str">
        <f t="shared" si="162"/>
        <v/>
      </c>
      <c r="M3401" s="34">
        <f t="shared" si="163"/>
        <v>0</v>
      </c>
    </row>
    <row r="3402" spans="7:13" x14ac:dyDescent="0.25">
      <c r="G3402" s="10" t="str">
        <f t="shared" si="161"/>
        <v/>
      </c>
      <c r="H3402" t="str">
        <f t="shared" si="162"/>
        <v/>
      </c>
      <c r="M3402" s="34">
        <f t="shared" si="163"/>
        <v>0</v>
      </c>
    </row>
    <row r="3403" spans="7:13" x14ac:dyDescent="0.25">
      <c r="G3403" s="10" t="str">
        <f t="shared" si="161"/>
        <v/>
      </c>
      <c r="H3403" t="str">
        <f t="shared" si="162"/>
        <v/>
      </c>
      <c r="M3403" s="34">
        <f t="shared" si="163"/>
        <v>0</v>
      </c>
    </row>
    <row r="3404" spans="7:13" x14ac:dyDescent="0.25">
      <c r="G3404" s="10" t="str">
        <f t="shared" si="161"/>
        <v/>
      </c>
      <c r="H3404" t="str">
        <f t="shared" si="162"/>
        <v/>
      </c>
      <c r="M3404" s="34">
        <f t="shared" si="163"/>
        <v>0</v>
      </c>
    </row>
    <row r="3405" spans="7:13" x14ac:dyDescent="0.25">
      <c r="G3405" s="10" t="str">
        <f t="shared" si="161"/>
        <v/>
      </c>
      <c r="H3405" t="str">
        <f t="shared" si="162"/>
        <v/>
      </c>
      <c r="M3405" s="34">
        <f t="shared" si="163"/>
        <v>0</v>
      </c>
    </row>
    <row r="3406" spans="7:13" x14ac:dyDescent="0.25">
      <c r="G3406" s="10" t="str">
        <f t="shared" si="161"/>
        <v/>
      </c>
      <c r="H3406" t="str">
        <f t="shared" si="162"/>
        <v/>
      </c>
      <c r="M3406" s="34">
        <f t="shared" si="163"/>
        <v>0</v>
      </c>
    </row>
    <row r="3407" spans="7:13" x14ac:dyDescent="0.25">
      <c r="G3407" s="10" t="str">
        <f t="shared" si="161"/>
        <v/>
      </c>
      <c r="H3407" t="str">
        <f t="shared" si="162"/>
        <v/>
      </c>
      <c r="M3407" s="34">
        <f t="shared" si="163"/>
        <v>0</v>
      </c>
    </row>
    <row r="3408" spans="7:13" x14ac:dyDescent="0.25">
      <c r="G3408" s="10" t="str">
        <f t="shared" si="161"/>
        <v/>
      </c>
      <c r="H3408" t="str">
        <f t="shared" si="162"/>
        <v/>
      </c>
      <c r="M3408" s="34">
        <f t="shared" si="163"/>
        <v>0</v>
      </c>
    </row>
    <row r="3409" spans="7:13" x14ac:dyDescent="0.25">
      <c r="G3409" s="10" t="str">
        <f t="shared" si="161"/>
        <v/>
      </c>
      <c r="H3409" t="str">
        <f t="shared" si="162"/>
        <v/>
      </c>
      <c r="M3409" s="34">
        <f t="shared" si="163"/>
        <v>0</v>
      </c>
    </row>
    <row r="3410" spans="7:13" x14ac:dyDescent="0.25">
      <c r="G3410" s="10" t="str">
        <f t="shared" si="161"/>
        <v/>
      </c>
      <c r="H3410" t="str">
        <f t="shared" si="162"/>
        <v/>
      </c>
      <c r="M3410" s="34">
        <f t="shared" si="163"/>
        <v>0</v>
      </c>
    </row>
    <row r="3411" spans="7:13" x14ac:dyDescent="0.25">
      <c r="G3411" s="10" t="str">
        <f t="shared" si="161"/>
        <v/>
      </c>
      <c r="H3411" t="str">
        <f t="shared" si="162"/>
        <v/>
      </c>
      <c r="M3411" s="34">
        <f t="shared" si="163"/>
        <v>0</v>
      </c>
    </row>
    <row r="3412" spans="7:13" x14ac:dyDescent="0.25">
      <c r="G3412" s="10" t="str">
        <f t="shared" si="161"/>
        <v/>
      </c>
      <c r="H3412" t="str">
        <f t="shared" si="162"/>
        <v/>
      </c>
      <c r="M3412" s="34">
        <f t="shared" si="163"/>
        <v>0</v>
      </c>
    </row>
    <row r="3413" spans="7:13" x14ac:dyDescent="0.25">
      <c r="G3413" s="10" t="str">
        <f t="shared" si="161"/>
        <v/>
      </c>
      <c r="H3413" t="str">
        <f t="shared" si="162"/>
        <v/>
      </c>
      <c r="M3413" s="34">
        <f t="shared" si="163"/>
        <v>0</v>
      </c>
    </row>
    <row r="3414" spans="7:13" x14ac:dyDescent="0.25">
      <c r="G3414" s="10" t="str">
        <f t="shared" si="161"/>
        <v/>
      </c>
      <c r="H3414" t="str">
        <f t="shared" si="162"/>
        <v/>
      </c>
      <c r="M3414" s="34">
        <f t="shared" si="163"/>
        <v>0</v>
      </c>
    </row>
    <row r="3415" spans="7:13" x14ac:dyDescent="0.25">
      <c r="G3415" s="10" t="str">
        <f t="shared" si="161"/>
        <v/>
      </c>
      <c r="H3415" t="str">
        <f t="shared" si="162"/>
        <v/>
      </c>
      <c r="M3415" s="34">
        <f t="shared" si="163"/>
        <v>0</v>
      </c>
    </row>
    <row r="3416" spans="7:13" x14ac:dyDescent="0.25">
      <c r="G3416" s="10" t="str">
        <f t="shared" si="161"/>
        <v/>
      </c>
      <c r="H3416" t="str">
        <f t="shared" si="162"/>
        <v/>
      </c>
      <c r="M3416" s="34">
        <f t="shared" si="163"/>
        <v>0</v>
      </c>
    </row>
    <row r="3417" spans="7:13" x14ac:dyDescent="0.25">
      <c r="G3417" s="10" t="str">
        <f t="shared" si="161"/>
        <v/>
      </c>
      <c r="H3417" t="str">
        <f t="shared" si="162"/>
        <v/>
      </c>
      <c r="M3417" s="34">
        <f t="shared" si="163"/>
        <v>0</v>
      </c>
    </row>
    <row r="3418" spans="7:13" x14ac:dyDescent="0.25">
      <c r="G3418" s="10" t="str">
        <f t="shared" si="161"/>
        <v/>
      </c>
      <c r="H3418" t="str">
        <f t="shared" si="162"/>
        <v/>
      </c>
      <c r="M3418" s="34">
        <f t="shared" si="163"/>
        <v>0</v>
      </c>
    </row>
    <row r="3419" spans="7:13" x14ac:dyDescent="0.25">
      <c r="G3419" s="10" t="str">
        <f t="shared" si="161"/>
        <v/>
      </c>
      <c r="H3419" t="str">
        <f t="shared" si="162"/>
        <v/>
      </c>
      <c r="M3419" s="34">
        <f t="shared" si="163"/>
        <v>0</v>
      </c>
    </row>
    <row r="3420" spans="7:13" x14ac:dyDescent="0.25">
      <c r="G3420" s="10" t="str">
        <f t="shared" si="161"/>
        <v/>
      </c>
      <c r="H3420" t="str">
        <f t="shared" si="162"/>
        <v/>
      </c>
      <c r="M3420" s="34">
        <f t="shared" si="163"/>
        <v>0</v>
      </c>
    </row>
    <row r="3421" spans="7:13" x14ac:dyDescent="0.25">
      <c r="G3421" s="10" t="str">
        <f t="shared" si="161"/>
        <v/>
      </c>
      <c r="H3421" t="str">
        <f t="shared" si="162"/>
        <v/>
      </c>
      <c r="M3421" s="34">
        <f t="shared" si="163"/>
        <v>0</v>
      </c>
    </row>
    <row r="3422" spans="7:13" x14ac:dyDescent="0.25">
      <c r="G3422" s="10" t="str">
        <f t="shared" si="161"/>
        <v/>
      </c>
      <c r="H3422" t="str">
        <f t="shared" si="162"/>
        <v/>
      </c>
      <c r="M3422" s="34">
        <f t="shared" si="163"/>
        <v>0</v>
      </c>
    </row>
    <row r="3423" spans="7:13" x14ac:dyDescent="0.25">
      <c r="G3423" s="10" t="str">
        <f t="shared" si="161"/>
        <v/>
      </c>
      <c r="H3423" t="str">
        <f t="shared" si="162"/>
        <v/>
      </c>
      <c r="M3423" s="34">
        <f t="shared" si="163"/>
        <v>0</v>
      </c>
    </row>
    <row r="3424" spans="7:13" x14ac:dyDescent="0.25">
      <c r="G3424" s="10" t="str">
        <f t="shared" si="161"/>
        <v/>
      </c>
      <c r="H3424" t="str">
        <f t="shared" si="162"/>
        <v/>
      </c>
      <c r="M3424" s="34">
        <f t="shared" si="163"/>
        <v>0</v>
      </c>
    </row>
    <row r="3425" spans="7:13" x14ac:dyDescent="0.25">
      <c r="G3425" s="10" t="str">
        <f t="shared" si="161"/>
        <v/>
      </c>
      <c r="H3425" t="str">
        <f t="shared" si="162"/>
        <v/>
      </c>
      <c r="M3425" s="34">
        <f t="shared" si="163"/>
        <v>0</v>
      </c>
    </row>
    <row r="3426" spans="7:13" x14ac:dyDescent="0.25">
      <c r="G3426" s="10" t="str">
        <f t="shared" si="161"/>
        <v/>
      </c>
      <c r="H3426" t="str">
        <f t="shared" si="162"/>
        <v/>
      </c>
      <c r="M3426" s="34">
        <f t="shared" si="163"/>
        <v>0</v>
      </c>
    </row>
    <row r="3427" spans="7:13" x14ac:dyDescent="0.25">
      <c r="G3427" s="10" t="str">
        <f t="shared" si="161"/>
        <v/>
      </c>
      <c r="H3427" t="str">
        <f t="shared" si="162"/>
        <v/>
      </c>
      <c r="M3427" s="34">
        <f t="shared" si="163"/>
        <v>0</v>
      </c>
    </row>
    <row r="3428" spans="7:13" x14ac:dyDescent="0.25">
      <c r="G3428" s="10" t="str">
        <f t="shared" si="161"/>
        <v/>
      </c>
      <c r="H3428" t="str">
        <f t="shared" si="162"/>
        <v/>
      </c>
      <c r="M3428" s="34">
        <f t="shared" si="163"/>
        <v>0</v>
      </c>
    </row>
    <row r="3429" spans="7:13" x14ac:dyDescent="0.25">
      <c r="G3429" s="10" t="str">
        <f t="shared" si="161"/>
        <v/>
      </c>
      <c r="H3429" t="str">
        <f t="shared" si="162"/>
        <v/>
      </c>
      <c r="M3429" s="34">
        <f t="shared" si="163"/>
        <v>0</v>
      </c>
    </row>
    <row r="3430" spans="7:13" x14ac:dyDescent="0.25">
      <c r="G3430" s="10" t="str">
        <f t="shared" si="161"/>
        <v/>
      </c>
      <c r="H3430" t="str">
        <f t="shared" si="162"/>
        <v/>
      </c>
      <c r="M3430" s="34">
        <f t="shared" si="163"/>
        <v>0</v>
      </c>
    </row>
    <row r="3431" spans="7:13" x14ac:dyDescent="0.25">
      <c r="G3431" s="10" t="str">
        <f t="shared" si="161"/>
        <v/>
      </c>
      <c r="H3431" t="str">
        <f t="shared" si="162"/>
        <v/>
      </c>
      <c r="M3431" s="34">
        <f t="shared" si="163"/>
        <v>0</v>
      </c>
    </row>
    <row r="3432" spans="7:13" x14ac:dyDescent="0.25">
      <c r="G3432" s="10" t="str">
        <f t="shared" si="161"/>
        <v/>
      </c>
      <c r="H3432" t="str">
        <f t="shared" si="162"/>
        <v/>
      </c>
      <c r="M3432" s="34">
        <f t="shared" si="163"/>
        <v>0</v>
      </c>
    </row>
    <row r="3433" spans="7:13" x14ac:dyDescent="0.25">
      <c r="G3433" s="10" t="str">
        <f t="shared" si="161"/>
        <v/>
      </c>
      <c r="H3433" t="str">
        <f t="shared" si="162"/>
        <v/>
      </c>
      <c r="M3433" s="34">
        <f t="shared" si="163"/>
        <v>0</v>
      </c>
    </row>
    <row r="3434" spans="7:13" x14ac:dyDescent="0.25">
      <c r="G3434" s="10" t="str">
        <f t="shared" si="161"/>
        <v/>
      </c>
      <c r="H3434" t="str">
        <f t="shared" si="162"/>
        <v/>
      </c>
      <c r="M3434" s="34">
        <f t="shared" si="163"/>
        <v>0</v>
      </c>
    </row>
    <row r="3435" spans="7:13" x14ac:dyDescent="0.25">
      <c r="G3435" s="10" t="str">
        <f t="shared" si="161"/>
        <v/>
      </c>
      <c r="H3435" t="str">
        <f t="shared" si="162"/>
        <v/>
      </c>
      <c r="M3435" s="34">
        <f t="shared" si="163"/>
        <v>0</v>
      </c>
    </row>
    <row r="3436" spans="7:13" x14ac:dyDescent="0.25">
      <c r="G3436" s="10" t="str">
        <f t="shared" si="161"/>
        <v/>
      </c>
      <c r="H3436" t="str">
        <f t="shared" si="162"/>
        <v/>
      </c>
      <c r="M3436" s="34">
        <f t="shared" si="163"/>
        <v>0</v>
      </c>
    </row>
    <row r="3437" spans="7:13" x14ac:dyDescent="0.25">
      <c r="G3437" s="10" t="str">
        <f t="shared" si="161"/>
        <v/>
      </c>
      <c r="H3437" t="str">
        <f t="shared" si="162"/>
        <v/>
      </c>
      <c r="M3437" s="34">
        <f t="shared" si="163"/>
        <v>0</v>
      </c>
    </row>
    <row r="3438" spans="7:13" x14ac:dyDescent="0.25">
      <c r="G3438" s="10" t="str">
        <f t="shared" si="161"/>
        <v/>
      </c>
      <c r="H3438" t="str">
        <f t="shared" si="162"/>
        <v/>
      </c>
      <c r="M3438" s="34">
        <f t="shared" si="163"/>
        <v>0</v>
      </c>
    </row>
    <row r="3439" spans="7:13" x14ac:dyDescent="0.25">
      <c r="G3439" s="10" t="str">
        <f t="shared" si="161"/>
        <v/>
      </c>
      <c r="H3439" t="str">
        <f t="shared" si="162"/>
        <v/>
      </c>
      <c r="M3439" s="34">
        <f t="shared" si="163"/>
        <v>0</v>
      </c>
    </row>
    <row r="3440" spans="7:13" x14ac:dyDescent="0.25">
      <c r="G3440" s="10" t="str">
        <f t="shared" si="161"/>
        <v/>
      </c>
      <c r="H3440" t="str">
        <f t="shared" si="162"/>
        <v/>
      </c>
      <c r="M3440" s="34">
        <f t="shared" si="163"/>
        <v>0</v>
      </c>
    </row>
    <row r="3441" spans="7:13" x14ac:dyDescent="0.25">
      <c r="G3441" s="10" t="str">
        <f t="shared" si="161"/>
        <v/>
      </c>
      <c r="H3441" t="str">
        <f t="shared" si="162"/>
        <v/>
      </c>
      <c r="M3441" s="34">
        <f t="shared" si="163"/>
        <v>0</v>
      </c>
    </row>
    <row r="3442" spans="7:13" x14ac:dyDescent="0.25">
      <c r="G3442" s="10" t="str">
        <f t="shared" si="161"/>
        <v/>
      </c>
      <c r="H3442" t="str">
        <f t="shared" si="162"/>
        <v/>
      </c>
      <c r="M3442" s="34">
        <f t="shared" si="163"/>
        <v>0</v>
      </c>
    </row>
    <row r="3443" spans="7:13" x14ac:dyDescent="0.25">
      <c r="G3443" s="10" t="str">
        <f t="shared" si="161"/>
        <v/>
      </c>
      <c r="H3443" t="str">
        <f t="shared" si="162"/>
        <v/>
      </c>
      <c r="M3443" s="34">
        <f t="shared" si="163"/>
        <v>0</v>
      </c>
    </row>
    <row r="3444" spans="7:13" x14ac:dyDescent="0.25">
      <c r="G3444" s="10" t="str">
        <f t="shared" si="161"/>
        <v/>
      </c>
      <c r="H3444" t="str">
        <f t="shared" si="162"/>
        <v/>
      </c>
      <c r="M3444" s="34">
        <f t="shared" si="163"/>
        <v>0</v>
      </c>
    </row>
    <row r="3445" spans="7:13" x14ac:dyDescent="0.25">
      <c r="G3445" s="10" t="str">
        <f t="shared" si="161"/>
        <v/>
      </c>
      <c r="H3445" t="str">
        <f t="shared" si="162"/>
        <v/>
      </c>
      <c r="M3445" s="34">
        <f t="shared" si="163"/>
        <v>0</v>
      </c>
    </row>
    <row r="3446" spans="7:13" x14ac:dyDescent="0.25">
      <c r="G3446" s="10" t="str">
        <f t="shared" si="161"/>
        <v/>
      </c>
      <c r="H3446" t="str">
        <f t="shared" si="162"/>
        <v/>
      </c>
      <c r="M3446" s="34">
        <f t="shared" si="163"/>
        <v>0</v>
      </c>
    </row>
    <row r="3447" spans="7:13" x14ac:dyDescent="0.25">
      <c r="G3447" s="10" t="str">
        <f t="shared" si="161"/>
        <v/>
      </c>
      <c r="H3447" t="str">
        <f t="shared" si="162"/>
        <v/>
      </c>
      <c r="M3447" s="34">
        <f t="shared" si="163"/>
        <v>0</v>
      </c>
    </row>
    <row r="3448" spans="7:13" x14ac:dyDescent="0.25">
      <c r="G3448" s="10" t="str">
        <f t="shared" si="161"/>
        <v/>
      </c>
      <c r="H3448" t="str">
        <f t="shared" si="162"/>
        <v/>
      </c>
      <c r="M3448" s="34">
        <f t="shared" si="163"/>
        <v>0</v>
      </c>
    </row>
    <row r="3449" spans="7:13" x14ac:dyDescent="0.25">
      <c r="G3449" s="10" t="str">
        <f t="shared" si="161"/>
        <v/>
      </c>
      <c r="H3449" t="str">
        <f t="shared" si="162"/>
        <v/>
      </c>
      <c r="M3449" s="34">
        <f t="shared" si="163"/>
        <v>0</v>
      </c>
    </row>
    <row r="3450" spans="7:13" x14ac:dyDescent="0.25">
      <c r="G3450" s="10" t="str">
        <f t="shared" si="161"/>
        <v/>
      </c>
      <c r="H3450" t="str">
        <f t="shared" si="162"/>
        <v/>
      </c>
      <c r="M3450" s="34">
        <f t="shared" si="163"/>
        <v>0</v>
      </c>
    </row>
    <row r="3451" spans="7:13" x14ac:dyDescent="0.25">
      <c r="G3451" s="10" t="str">
        <f t="shared" si="161"/>
        <v/>
      </c>
      <c r="H3451" t="str">
        <f t="shared" si="162"/>
        <v/>
      </c>
      <c r="M3451" s="34">
        <f t="shared" si="163"/>
        <v>0</v>
      </c>
    </row>
    <row r="3452" spans="7:13" x14ac:dyDescent="0.25">
      <c r="G3452" s="10" t="str">
        <f t="shared" si="161"/>
        <v/>
      </c>
      <c r="H3452" t="str">
        <f t="shared" si="162"/>
        <v/>
      </c>
      <c r="M3452" s="34">
        <f t="shared" si="163"/>
        <v>0</v>
      </c>
    </row>
    <row r="3453" spans="7:13" x14ac:dyDescent="0.25">
      <c r="G3453" s="10" t="str">
        <f t="shared" si="161"/>
        <v/>
      </c>
      <c r="H3453" t="str">
        <f t="shared" si="162"/>
        <v/>
      </c>
      <c r="M3453" s="34">
        <f t="shared" si="163"/>
        <v>0</v>
      </c>
    </row>
    <row r="3454" spans="7:13" x14ac:dyDescent="0.25">
      <c r="G3454" s="10" t="str">
        <f t="shared" si="161"/>
        <v/>
      </c>
      <c r="H3454" t="str">
        <f t="shared" si="162"/>
        <v/>
      </c>
      <c r="M3454" s="34">
        <f t="shared" si="163"/>
        <v>0</v>
      </c>
    </row>
    <row r="3455" spans="7:13" x14ac:dyDescent="0.25">
      <c r="G3455" s="10" t="str">
        <f t="shared" si="161"/>
        <v/>
      </c>
      <c r="H3455" t="str">
        <f t="shared" si="162"/>
        <v/>
      </c>
      <c r="M3455" s="34">
        <f t="shared" si="163"/>
        <v>0</v>
      </c>
    </row>
    <row r="3456" spans="7:13" x14ac:dyDescent="0.25">
      <c r="G3456" s="10" t="str">
        <f t="shared" si="161"/>
        <v/>
      </c>
      <c r="H3456" t="str">
        <f t="shared" si="162"/>
        <v/>
      </c>
      <c r="M3456" s="34">
        <f t="shared" si="163"/>
        <v>0</v>
      </c>
    </row>
    <row r="3457" spans="7:13" x14ac:dyDescent="0.25">
      <c r="G3457" s="10" t="str">
        <f t="shared" si="161"/>
        <v/>
      </c>
      <c r="H3457" t="str">
        <f t="shared" si="162"/>
        <v/>
      </c>
      <c r="M3457" s="34">
        <f t="shared" si="163"/>
        <v>0</v>
      </c>
    </row>
    <row r="3458" spans="7:13" x14ac:dyDescent="0.25">
      <c r="G3458" s="10" t="str">
        <f t="shared" ref="G3458:G3521" si="164">IF(F3458&gt;0,"RECETTE",IF(F3458&lt;0,"DÉPENSE",""))</f>
        <v/>
      </c>
      <c r="H3458" t="str">
        <f t="shared" ref="H3458:H3521" si="165">+IF(ISNUMBER(D3458),D3458,"")</f>
        <v/>
      </c>
      <c r="M3458" s="34">
        <f t="shared" si="163"/>
        <v>0</v>
      </c>
    </row>
    <row r="3459" spans="7:13" x14ac:dyDescent="0.25">
      <c r="G3459" s="10" t="str">
        <f t="shared" si="164"/>
        <v/>
      </c>
      <c r="H3459" t="str">
        <f t="shared" si="165"/>
        <v/>
      </c>
      <c r="M3459" s="34">
        <f t="shared" ref="M3459:M3522" si="166">IF(AND(E3459="Chèque",G3459="RECETTE"),F3459,0)</f>
        <v>0</v>
      </c>
    </row>
    <row r="3460" spans="7:13" x14ac:dyDescent="0.25">
      <c r="G3460" s="10" t="str">
        <f t="shared" si="164"/>
        <v/>
      </c>
      <c r="H3460" t="str">
        <f t="shared" si="165"/>
        <v/>
      </c>
      <c r="M3460" s="34">
        <f t="shared" si="166"/>
        <v>0</v>
      </c>
    </row>
    <row r="3461" spans="7:13" x14ac:dyDescent="0.25">
      <c r="G3461" s="10" t="str">
        <f t="shared" si="164"/>
        <v/>
      </c>
      <c r="H3461" t="str">
        <f t="shared" si="165"/>
        <v/>
      </c>
      <c r="M3461" s="34">
        <f t="shared" si="166"/>
        <v>0</v>
      </c>
    </row>
    <row r="3462" spans="7:13" x14ac:dyDescent="0.25">
      <c r="G3462" s="10" t="str">
        <f t="shared" si="164"/>
        <v/>
      </c>
      <c r="H3462" t="str">
        <f t="shared" si="165"/>
        <v/>
      </c>
      <c r="M3462" s="34">
        <f t="shared" si="166"/>
        <v>0</v>
      </c>
    </row>
    <row r="3463" spans="7:13" x14ac:dyDescent="0.25">
      <c r="G3463" s="10" t="str">
        <f t="shared" si="164"/>
        <v/>
      </c>
      <c r="H3463" t="str">
        <f t="shared" si="165"/>
        <v/>
      </c>
      <c r="M3463" s="34">
        <f t="shared" si="166"/>
        <v>0</v>
      </c>
    </row>
    <row r="3464" spans="7:13" x14ac:dyDescent="0.25">
      <c r="G3464" s="10" t="str">
        <f t="shared" si="164"/>
        <v/>
      </c>
      <c r="H3464" t="str">
        <f t="shared" si="165"/>
        <v/>
      </c>
      <c r="M3464" s="34">
        <f t="shared" si="166"/>
        <v>0</v>
      </c>
    </row>
    <row r="3465" spans="7:13" x14ac:dyDescent="0.25">
      <c r="G3465" s="10" t="str">
        <f t="shared" si="164"/>
        <v/>
      </c>
      <c r="H3465" t="str">
        <f t="shared" si="165"/>
        <v/>
      </c>
      <c r="M3465" s="34">
        <f t="shared" si="166"/>
        <v>0</v>
      </c>
    </row>
    <row r="3466" spans="7:13" x14ac:dyDescent="0.25">
      <c r="G3466" s="10" t="str">
        <f t="shared" si="164"/>
        <v/>
      </c>
      <c r="H3466" t="str">
        <f t="shared" si="165"/>
        <v/>
      </c>
      <c r="M3466" s="34">
        <f t="shared" si="166"/>
        <v>0</v>
      </c>
    </row>
    <row r="3467" spans="7:13" x14ac:dyDescent="0.25">
      <c r="G3467" s="10" t="str">
        <f t="shared" si="164"/>
        <v/>
      </c>
      <c r="H3467" t="str">
        <f t="shared" si="165"/>
        <v/>
      </c>
      <c r="M3467" s="34">
        <f t="shared" si="166"/>
        <v>0</v>
      </c>
    </row>
    <row r="3468" spans="7:13" x14ac:dyDescent="0.25">
      <c r="G3468" s="10" t="str">
        <f t="shared" si="164"/>
        <v/>
      </c>
      <c r="H3468" t="str">
        <f t="shared" si="165"/>
        <v/>
      </c>
      <c r="M3468" s="34">
        <f t="shared" si="166"/>
        <v>0</v>
      </c>
    </row>
    <row r="3469" spans="7:13" x14ac:dyDescent="0.25">
      <c r="G3469" s="10" t="str">
        <f t="shared" si="164"/>
        <v/>
      </c>
      <c r="H3469" t="str">
        <f t="shared" si="165"/>
        <v/>
      </c>
      <c r="M3469" s="34">
        <f t="shared" si="166"/>
        <v>0</v>
      </c>
    </row>
    <row r="3470" spans="7:13" x14ac:dyDescent="0.25">
      <c r="G3470" s="10" t="str">
        <f t="shared" si="164"/>
        <v/>
      </c>
      <c r="H3470" t="str">
        <f t="shared" si="165"/>
        <v/>
      </c>
      <c r="M3470" s="34">
        <f t="shared" si="166"/>
        <v>0</v>
      </c>
    </row>
    <row r="3471" spans="7:13" x14ac:dyDescent="0.25">
      <c r="G3471" s="10" t="str">
        <f t="shared" si="164"/>
        <v/>
      </c>
      <c r="H3471" t="str">
        <f t="shared" si="165"/>
        <v/>
      </c>
      <c r="M3471" s="34">
        <f t="shared" si="166"/>
        <v>0</v>
      </c>
    </row>
    <row r="3472" spans="7:13" x14ac:dyDescent="0.25">
      <c r="G3472" s="10" t="str">
        <f t="shared" si="164"/>
        <v/>
      </c>
      <c r="H3472" t="str">
        <f t="shared" si="165"/>
        <v/>
      </c>
      <c r="M3472" s="34">
        <f t="shared" si="166"/>
        <v>0</v>
      </c>
    </row>
    <row r="3473" spans="7:13" x14ac:dyDescent="0.25">
      <c r="G3473" s="10" t="str">
        <f t="shared" si="164"/>
        <v/>
      </c>
      <c r="H3473" t="str">
        <f t="shared" si="165"/>
        <v/>
      </c>
      <c r="M3473" s="34">
        <f t="shared" si="166"/>
        <v>0</v>
      </c>
    </row>
    <row r="3474" spans="7:13" x14ac:dyDescent="0.25">
      <c r="G3474" s="10" t="str">
        <f t="shared" si="164"/>
        <v/>
      </c>
      <c r="H3474" t="str">
        <f t="shared" si="165"/>
        <v/>
      </c>
      <c r="M3474" s="34">
        <f t="shared" si="166"/>
        <v>0</v>
      </c>
    </row>
    <row r="3475" spans="7:13" x14ac:dyDescent="0.25">
      <c r="G3475" s="10" t="str">
        <f t="shared" si="164"/>
        <v/>
      </c>
      <c r="H3475" t="str">
        <f t="shared" si="165"/>
        <v/>
      </c>
      <c r="M3475" s="34">
        <f t="shared" si="166"/>
        <v>0</v>
      </c>
    </row>
    <row r="3476" spans="7:13" x14ac:dyDescent="0.25">
      <c r="G3476" s="10" t="str">
        <f t="shared" si="164"/>
        <v/>
      </c>
      <c r="H3476" t="str">
        <f t="shared" si="165"/>
        <v/>
      </c>
      <c r="M3476" s="34">
        <f t="shared" si="166"/>
        <v>0</v>
      </c>
    </row>
    <row r="3477" spans="7:13" x14ac:dyDescent="0.25">
      <c r="G3477" s="10" t="str">
        <f t="shared" si="164"/>
        <v/>
      </c>
      <c r="H3477" t="str">
        <f t="shared" si="165"/>
        <v/>
      </c>
      <c r="M3477" s="34">
        <f t="shared" si="166"/>
        <v>0</v>
      </c>
    </row>
    <row r="3478" spans="7:13" x14ac:dyDescent="0.25">
      <c r="G3478" s="10" t="str">
        <f t="shared" si="164"/>
        <v/>
      </c>
      <c r="H3478" t="str">
        <f t="shared" si="165"/>
        <v/>
      </c>
      <c r="M3478" s="34">
        <f t="shared" si="166"/>
        <v>0</v>
      </c>
    </row>
    <row r="3479" spans="7:13" x14ac:dyDescent="0.25">
      <c r="G3479" s="10" t="str">
        <f t="shared" si="164"/>
        <v/>
      </c>
      <c r="H3479" t="str">
        <f t="shared" si="165"/>
        <v/>
      </c>
      <c r="M3479" s="34">
        <f t="shared" si="166"/>
        <v>0</v>
      </c>
    </row>
    <row r="3480" spans="7:13" x14ac:dyDescent="0.25">
      <c r="G3480" s="10" t="str">
        <f t="shared" si="164"/>
        <v/>
      </c>
      <c r="H3480" t="str">
        <f t="shared" si="165"/>
        <v/>
      </c>
      <c r="M3480" s="34">
        <f t="shared" si="166"/>
        <v>0</v>
      </c>
    </row>
    <row r="3481" spans="7:13" x14ac:dyDescent="0.25">
      <c r="G3481" s="10" t="str">
        <f t="shared" si="164"/>
        <v/>
      </c>
      <c r="H3481" t="str">
        <f t="shared" si="165"/>
        <v/>
      </c>
      <c r="M3481" s="34">
        <f t="shared" si="166"/>
        <v>0</v>
      </c>
    </row>
    <row r="3482" spans="7:13" x14ac:dyDescent="0.25">
      <c r="G3482" s="10" t="str">
        <f t="shared" si="164"/>
        <v/>
      </c>
      <c r="H3482" t="str">
        <f t="shared" si="165"/>
        <v/>
      </c>
      <c r="M3482" s="34">
        <f t="shared" si="166"/>
        <v>0</v>
      </c>
    </row>
    <row r="3483" spans="7:13" x14ac:dyDescent="0.25">
      <c r="G3483" s="10" t="str">
        <f t="shared" si="164"/>
        <v/>
      </c>
      <c r="H3483" t="str">
        <f t="shared" si="165"/>
        <v/>
      </c>
      <c r="M3483" s="34">
        <f t="shared" si="166"/>
        <v>0</v>
      </c>
    </row>
    <row r="3484" spans="7:13" x14ac:dyDescent="0.25">
      <c r="G3484" s="10" t="str">
        <f t="shared" si="164"/>
        <v/>
      </c>
      <c r="H3484" t="str">
        <f t="shared" si="165"/>
        <v/>
      </c>
      <c r="M3484" s="34">
        <f t="shared" si="166"/>
        <v>0</v>
      </c>
    </row>
    <row r="3485" spans="7:13" x14ac:dyDescent="0.25">
      <c r="G3485" s="10" t="str">
        <f t="shared" si="164"/>
        <v/>
      </c>
      <c r="H3485" t="str">
        <f t="shared" si="165"/>
        <v/>
      </c>
      <c r="M3485" s="34">
        <f t="shared" si="166"/>
        <v>0</v>
      </c>
    </row>
    <row r="3486" spans="7:13" x14ac:dyDescent="0.25">
      <c r="G3486" s="10" t="str">
        <f t="shared" si="164"/>
        <v/>
      </c>
      <c r="H3486" t="str">
        <f t="shared" si="165"/>
        <v/>
      </c>
      <c r="M3486" s="34">
        <f t="shared" si="166"/>
        <v>0</v>
      </c>
    </row>
    <row r="3487" spans="7:13" x14ac:dyDescent="0.25">
      <c r="G3487" s="10" t="str">
        <f t="shared" si="164"/>
        <v/>
      </c>
      <c r="H3487" t="str">
        <f t="shared" si="165"/>
        <v/>
      </c>
      <c r="M3487" s="34">
        <f t="shared" si="166"/>
        <v>0</v>
      </c>
    </row>
    <row r="3488" spans="7:13" x14ac:dyDescent="0.25">
      <c r="G3488" s="10" t="str">
        <f t="shared" si="164"/>
        <v/>
      </c>
      <c r="H3488" t="str">
        <f t="shared" si="165"/>
        <v/>
      </c>
      <c r="M3488" s="34">
        <f t="shared" si="166"/>
        <v>0</v>
      </c>
    </row>
    <row r="3489" spans="7:13" x14ac:dyDescent="0.25">
      <c r="G3489" s="10" t="str">
        <f t="shared" si="164"/>
        <v/>
      </c>
      <c r="H3489" t="str">
        <f t="shared" si="165"/>
        <v/>
      </c>
      <c r="M3489" s="34">
        <f t="shared" si="166"/>
        <v>0</v>
      </c>
    </row>
    <row r="3490" spans="7:13" x14ac:dyDescent="0.25">
      <c r="G3490" s="10" t="str">
        <f t="shared" si="164"/>
        <v/>
      </c>
      <c r="H3490" t="str">
        <f t="shared" si="165"/>
        <v/>
      </c>
      <c r="M3490" s="34">
        <f t="shared" si="166"/>
        <v>0</v>
      </c>
    </row>
    <row r="3491" spans="7:13" x14ac:dyDescent="0.25">
      <c r="G3491" s="10" t="str">
        <f t="shared" si="164"/>
        <v/>
      </c>
      <c r="H3491" t="str">
        <f t="shared" si="165"/>
        <v/>
      </c>
      <c r="M3491" s="34">
        <f t="shared" si="166"/>
        <v>0</v>
      </c>
    </row>
    <row r="3492" spans="7:13" x14ac:dyDescent="0.25">
      <c r="G3492" s="10" t="str">
        <f t="shared" si="164"/>
        <v/>
      </c>
      <c r="H3492" t="str">
        <f t="shared" si="165"/>
        <v/>
      </c>
      <c r="M3492" s="34">
        <f t="shared" si="166"/>
        <v>0</v>
      </c>
    </row>
    <row r="3493" spans="7:13" x14ac:dyDescent="0.25">
      <c r="G3493" s="10" t="str">
        <f t="shared" si="164"/>
        <v/>
      </c>
      <c r="H3493" t="str">
        <f t="shared" si="165"/>
        <v/>
      </c>
      <c r="M3493" s="34">
        <f t="shared" si="166"/>
        <v>0</v>
      </c>
    </row>
    <row r="3494" spans="7:13" x14ac:dyDescent="0.25">
      <c r="G3494" s="10" t="str">
        <f t="shared" si="164"/>
        <v/>
      </c>
      <c r="H3494" t="str">
        <f t="shared" si="165"/>
        <v/>
      </c>
      <c r="M3494" s="34">
        <f t="shared" si="166"/>
        <v>0</v>
      </c>
    </row>
    <row r="3495" spans="7:13" x14ac:dyDescent="0.25">
      <c r="G3495" s="10" t="str">
        <f t="shared" si="164"/>
        <v/>
      </c>
      <c r="H3495" t="str">
        <f t="shared" si="165"/>
        <v/>
      </c>
      <c r="M3495" s="34">
        <f t="shared" si="166"/>
        <v>0</v>
      </c>
    </row>
    <row r="3496" spans="7:13" x14ac:dyDescent="0.25">
      <c r="G3496" s="10" t="str">
        <f t="shared" si="164"/>
        <v/>
      </c>
      <c r="H3496" t="str">
        <f t="shared" si="165"/>
        <v/>
      </c>
      <c r="M3496" s="34">
        <f t="shared" si="166"/>
        <v>0</v>
      </c>
    </row>
    <row r="3497" spans="7:13" x14ac:dyDescent="0.25">
      <c r="G3497" s="10" t="str">
        <f t="shared" si="164"/>
        <v/>
      </c>
      <c r="H3497" t="str">
        <f t="shared" si="165"/>
        <v/>
      </c>
      <c r="M3497" s="34">
        <f t="shared" si="166"/>
        <v>0</v>
      </c>
    </row>
    <row r="3498" spans="7:13" x14ac:dyDescent="0.25">
      <c r="G3498" s="10" t="str">
        <f t="shared" si="164"/>
        <v/>
      </c>
      <c r="H3498" t="str">
        <f t="shared" si="165"/>
        <v/>
      </c>
      <c r="M3498" s="34">
        <f t="shared" si="166"/>
        <v>0</v>
      </c>
    </row>
    <row r="3499" spans="7:13" x14ac:dyDescent="0.25">
      <c r="G3499" s="10" t="str">
        <f t="shared" si="164"/>
        <v/>
      </c>
      <c r="H3499" t="str">
        <f t="shared" si="165"/>
        <v/>
      </c>
      <c r="M3499" s="34">
        <f t="shared" si="166"/>
        <v>0</v>
      </c>
    </row>
    <row r="3500" spans="7:13" x14ac:dyDescent="0.25">
      <c r="G3500" s="10" t="str">
        <f t="shared" si="164"/>
        <v/>
      </c>
      <c r="H3500" t="str">
        <f t="shared" si="165"/>
        <v/>
      </c>
      <c r="M3500" s="34">
        <f t="shared" si="166"/>
        <v>0</v>
      </c>
    </row>
    <row r="3501" spans="7:13" x14ac:dyDescent="0.25">
      <c r="G3501" s="10" t="str">
        <f t="shared" si="164"/>
        <v/>
      </c>
      <c r="H3501" t="str">
        <f t="shared" si="165"/>
        <v/>
      </c>
      <c r="M3501" s="34">
        <f t="shared" si="166"/>
        <v>0</v>
      </c>
    </row>
    <row r="3502" spans="7:13" x14ac:dyDescent="0.25">
      <c r="G3502" s="10" t="str">
        <f t="shared" si="164"/>
        <v/>
      </c>
      <c r="H3502" t="str">
        <f t="shared" si="165"/>
        <v/>
      </c>
      <c r="M3502" s="34">
        <f t="shared" si="166"/>
        <v>0</v>
      </c>
    </row>
    <row r="3503" spans="7:13" x14ac:dyDescent="0.25">
      <c r="G3503" s="10" t="str">
        <f t="shared" si="164"/>
        <v/>
      </c>
      <c r="H3503" t="str">
        <f t="shared" si="165"/>
        <v/>
      </c>
      <c r="M3503" s="34">
        <f t="shared" si="166"/>
        <v>0</v>
      </c>
    </row>
    <row r="3504" spans="7:13" x14ac:dyDescent="0.25">
      <c r="G3504" s="10" t="str">
        <f t="shared" si="164"/>
        <v/>
      </c>
      <c r="H3504" t="str">
        <f t="shared" si="165"/>
        <v/>
      </c>
      <c r="M3504" s="34">
        <f t="shared" si="166"/>
        <v>0</v>
      </c>
    </row>
    <row r="3505" spans="7:13" x14ac:dyDescent="0.25">
      <c r="G3505" s="10" t="str">
        <f t="shared" si="164"/>
        <v/>
      </c>
      <c r="H3505" t="str">
        <f t="shared" si="165"/>
        <v/>
      </c>
      <c r="M3505" s="34">
        <f t="shared" si="166"/>
        <v>0</v>
      </c>
    </row>
    <row r="3506" spans="7:13" x14ac:dyDescent="0.25">
      <c r="G3506" s="10" t="str">
        <f t="shared" si="164"/>
        <v/>
      </c>
      <c r="H3506" t="str">
        <f t="shared" si="165"/>
        <v/>
      </c>
      <c r="M3506" s="34">
        <f t="shared" si="166"/>
        <v>0</v>
      </c>
    </row>
    <row r="3507" spans="7:13" x14ac:dyDescent="0.25">
      <c r="G3507" s="10" t="str">
        <f t="shared" si="164"/>
        <v/>
      </c>
      <c r="H3507" t="str">
        <f t="shared" si="165"/>
        <v/>
      </c>
      <c r="M3507" s="34">
        <f t="shared" si="166"/>
        <v>0</v>
      </c>
    </row>
    <row r="3508" spans="7:13" x14ac:dyDescent="0.25">
      <c r="G3508" s="10" t="str">
        <f t="shared" si="164"/>
        <v/>
      </c>
      <c r="H3508" t="str">
        <f t="shared" si="165"/>
        <v/>
      </c>
      <c r="M3508" s="34">
        <f t="shared" si="166"/>
        <v>0</v>
      </c>
    </row>
    <row r="3509" spans="7:13" x14ac:dyDescent="0.25">
      <c r="G3509" s="10" t="str">
        <f t="shared" si="164"/>
        <v/>
      </c>
      <c r="H3509" t="str">
        <f t="shared" si="165"/>
        <v/>
      </c>
      <c r="M3509" s="34">
        <f t="shared" si="166"/>
        <v>0</v>
      </c>
    </row>
    <row r="3510" spans="7:13" x14ac:dyDescent="0.25">
      <c r="G3510" s="10" t="str">
        <f t="shared" si="164"/>
        <v/>
      </c>
      <c r="H3510" t="str">
        <f t="shared" si="165"/>
        <v/>
      </c>
      <c r="M3510" s="34">
        <f t="shared" si="166"/>
        <v>0</v>
      </c>
    </row>
    <row r="3511" spans="7:13" x14ac:dyDescent="0.25">
      <c r="G3511" s="10" t="str">
        <f t="shared" si="164"/>
        <v/>
      </c>
      <c r="H3511" t="str">
        <f t="shared" si="165"/>
        <v/>
      </c>
      <c r="M3511" s="34">
        <f t="shared" si="166"/>
        <v>0</v>
      </c>
    </row>
    <row r="3512" spans="7:13" x14ac:dyDescent="0.25">
      <c r="G3512" s="10" t="str">
        <f t="shared" si="164"/>
        <v/>
      </c>
      <c r="H3512" t="str">
        <f t="shared" si="165"/>
        <v/>
      </c>
      <c r="M3512" s="34">
        <f t="shared" si="166"/>
        <v>0</v>
      </c>
    </row>
    <row r="3513" spans="7:13" x14ac:dyDescent="0.25">
      <c r="G3513" s="10" t="str">
        <f t="shared" si="164"/>
        <v/>
      </c>
      <c r="H3513" t="str">
        <f t="shared" si="165"/>
        <v/>
      </c>
      <c r="M3513" s="34">
        <f t="shared" si="166"/>
        <v>0</v>
      </c>
    </row>
    <row r="3514" spans="7:13" x14ac:dyDescent="0.25">
      <c r="G3514" s="10" t="str">
        <f t="shared" si="164"/>
        <v/>
      </c>
      <c r="H3514" t="str">
        <f t="shared" si="165"/>
        <v/>
      </c>
      <c r="M3514" s="34">
        <f t="shared" si="166"/>
        <v>0</v>
      </c>
    </row>
    <row r="3515" spans="7:13" x14ac:dyDescent="0.25">
      <c r="G3515" s="10" t="str">
        <f t="shared" si="164"/>
        <v/>
      </c>
      <c r="H3515" t="str">
        <f t="shared" si="165"/>
        <v/>
      </c>
      <c r="M3515" s="34">
        <f t="shared" si="166"/>
        <v>0</v>
      </c>
    </row>
    <row r="3516" spans="7:13" x14ac:dyDescent="0.25">
      <c r="G3516" s="10" t="str">
        <f t="shared" si="164"/>
        <v/>
      </c>
      <c r="H3516" t="str">
        <f t="shared" si="165"/>
        <v/>
      </c>
      <c r="M3516" s="34">
        <f t="shared" si="166"/>
        <v>0</v>
      </c>
    </row>
    <row r="3517" spans="7:13" x14ac:dyDescent="0.25">
      <c r="G3517" s="10" t="str">
        <f t="shared" si="164"/>
        <v/>
      </c>
      <c r="H3517" t="str">
        <f t="shared" si="165"/>
        <v/>
      </c>
      <c r="M3517" s="34">
        <f t="shared" si="166"/>
        <v>0</v>
      </c>
    </row>
    <row r="3518" spans="7:13" x14ac:dyDescent="0.25">
      <c r="G3518" s="10" t="str">
        <f t="shared" si="164"/>
        <v/>
      </c>
      <c r="H3518" t="str">
        <f t="shared" si="165"/>
        <v/>
      </c>
      <c r="M3518" s="34">
        <f t="shared" si="166"/>
        <v>0</v>
      </c>
    </row>
    <row r="3519" spans="7:13" x14ac:dyDescent="0.25">
      <c r="G3519" s="10" t="str">
        <f t="shared" si="164"/>
        <v/>
      </c>
      <c r="H3519" t="str">
        <f t="shared" si="165"/>
        <v/>
      </c>
      <c r="M3519" s="34">
        <f t="shared" si="166"/>
        <v>0</v>
      </c>
    </row>
    <row r="3520" spans="7:13" x14ac:dyDescent="0.25">
      <c r="G3520" s="10" t="str">
        <f t="shared" si="164"/>
        <v/>
      </c>
      <c r="H3520" t="str">
        <f t="shared" si="165"/>
        <v/>
      </c>
      <c r="M3520" s="34">
        <f t="shared" si="166"/>
        <v>0</v>
      </c>
    </row>
    <row r="3521" spans="7:13" x14ac:dyDescent="0.25">
      <c r="G3521" s="10" t="str">
        <f t="shared" si="164"/>
        <v/>
      </c>
      <c r="H3521" t="str">
        <f t="shared" si="165"/>
        <v/>
      </c>
      <c r="M3521" s="34">
        <f t="shared" si="166"/>
        <v>0</v>
      </c>
    </row>
    <row r="3522" spans="7:13" x14ac:dyDescent="0.25">
      <c r="G3522" s="10" t="str">
        <f t="shared" ref="G3522:G3585" si="167">IF(F3522&gt;0,"RECETTE",IF(F3522&lt;0,"DÉPENSE",""))</f>
        <v/>
      </c>
      <c r="H3522" t="str">
        <f t="shared" ref="H3522:H3585" si="168">+IF(ISNUMBER(D3522),D3522,"")</f>
        <v/>
      </c>
      <c r="M3522" s="34">
        <f t="shared" si="166"/>
        <v>0</v>
      </c>
    </row>
    <row r="3523" spans="7:13" x14ac:dyDescent="0.25">
      <c r="G3523" s="10" t="str">
        <f t="shared" si="167"/>
        <v/>
      </c>
      <c r="H3523" t="str">
        <f t="shared" si="168"/>
        <v/>
      </c>
      <c r="M3523" s="34">
        <f t="shared" ref="M3523:M3586" si="169">IF(AND(E3523="Chèque",G3523="RECETTE"),F3523,0)</f>
        <v>0</v>
      </c>
    </row>
    <row r="3524" spans="7:13" x14ac:dyDescent="0.25">
      <c r="G3524" s="10" t="str">
        <f t="shared" si="167"/>
        <v/>
      </c>
      <c r="H3524" t="str">
        <f t="shared" si="168"/>
        <v/>
      </c>
      <c r="M3524" s="34">
        <f t="shared" si="169"/>
        <v>0</v>
      </c>
    </row>
    <row r="3525" spans="7:13" x14ac:dyDescent="0.25">
      <c r="G3525" s="10" t="str">
        <f t="shared" si="167"/>
        <v/>
      </c>
      <c r="H3525" t="str">
        <f t="shared" si="168"/>
        <v/>
      </c>
      <c r="M3525" s="34">
        <f t="shared" si="169"/>
        <v>0</v>
      </c>
    </row>
    <row r="3526" spans="7:13" x14ac:dyDescent="0.25">
      <c r="G3526" s="10" t="str">
        <f t="shared" si="167"/>
        <v/>
      </c>
      <c r="H3526" t="str">
        <f t="shared" si="168"/>
        <v/>
      </c>
      <c r="M3526" s="34">
        <f t="shared" si="169"/>
        <v>0</v>
      </c>
    </row>
    <row r="3527" spans="7:13" x14ac:dyDescent="0.25">
      <c r="G3527" s="10" t="str">
        <f t="shared" si="167"/>
        <v/>
      </c>
      <c r="H3527" t="str">
        <f t="shared" si="168"/>
        <v/>
      </c>
      <c r="M3527" s="34">
        <f t="shared" si="169"/>
        <v>0</v>
      </c>
    </row>
    <row r="3528" spans="7:13" x14ac:dyDescent="0.25">
      <c r="G3528" s="10" t="str">
        <f t="shared" si="167"/>
        <v/>
      </c>
      <c r="H3528" t="str">
        <f t="shared" si="168"/>
        <v/>
      </c>
      <c r="M3528" s="34">
        <f t="shared" si="169"/>
        <v>0</v>
      </c>
    </row>
    <row r="3529" spans="7:13" x14ac:dyDescent="0.25">
      <c r="G3529" s="10" t="str">
        <f t="shared" si="167"/>
        <v/>
      </c>
      <c r="H3529" t="str">
        <f t="shared" si="168"/>
        <v/>
      </c>
      <c r="M3529" s="34">
        <f t="shared" si="169"/>
        <v>0</v>
      </c>
    </row>
    <row r="3530" spans="7:13" x14ac:dyDescent="0.25">
      <c r="G3530" s="10" t="str">
        <f t="shared" si="167"/>
        <v/>
      </c>
      <c r="H3530" t="str">
        <f t="shared" si="168"/>
        <v/>
      </c>
      <c r="M3530" s="34">
        <f t="shared" si="169"/>
        <v>0</v>
      </c>
    </row>
    <row r="3531" spans="7:13" x14ac:dyDescent="0.25">
      <c r="G3531" s="10" t="str">
        <f t="shared" si="167"/>
        <v/>
      </c>
      <c r="H3531" t="str">
        <f t="shared" si="168"/>
        <v/>
      </c>
      <c r="M3531" s="34">
        <f t="shared" si="169"/>
        <v>0</v>
      </c>
    </row>
    <row r="3532" spans="7:13" x14ac:dyDescent="0.25">
      <c r="G3532" s="10" t="str">
        <f t="shared" si="167"/>
        <v/>
      </c>
      <c r="H3532" t="str">
        <f t="shared" si="168"/>
        <v/>
      </c>
      <c r="M3532" s="34">
        <f t="shared" si="169"/>
        <v>0</v>
      </c>
    </row>
    <row r="3533" spans="7:13" x14ac:dyDescent="0.25">
      <c r="G3533" s="10" t="str">
        <f t="shared" si="167"/>
        <v/>
      </c>
      <c r="H3533" t="str">
        <f t="shared" si="168"/>
        <v/>
      </c>
      <c r="M3533" s="34">
        <f t="shared" si="169"/>
        <v>0</v>
      </c>
    </row>
    <row r="3534" spans="7:13" x14ac:dyDescent="0.25">
      <c r="G3534" s="10" t="str">
        <f t="shared" si="167"/>
        <v/>
      </c>
      <c r="H3534" t="str">
        <f t="shared" si="168"/>
        <v/>
      </c>
      <c r="M3534" s="34">
        <f t="shared" si="169"/>
        <v>0</v>
      </c>
    </row>
    <row r="3535" spans="7:13" x14ac:dyDescent="0.25">
      <c r="G3535" s="10" t="str">
        <f t="shared" si="167"/>
        <v/>
      </c>
      <c r="H3535" t="str">
        <f t="shared" si="168"/>
        <v/>
      </c>
      <c r="M3535" s="34">
        <f t="shared" si="169"/>
        <v>0</v>
      </c>
    </row>
    <row r="3536" spans="7:13" x14ac:dyDescent="0.25">
      <c r="G3536" s="10" t="str">
        <f t="shared" si="167"/>
        <v/>
      </c>
      <c r="H3536" t="str">
        <f t="shared" si="168"/>
        <v/>
      </c>
      <c r="M3536" s="34">
        <f t="shared" si="169"/>
        <v>0</v>
      </c>
    </row>
    <row r="3537" spans="7:13" x14ac:dyDescent="0.25">
      <c r="G3537" s="10" t="str">
        <f t="shared" si="167"/>
        <v/>
      </c>
      <c r="H3537" t="str">
        <f t="shared" si="168"/>
        <v/>
      </c>
      <c r="M3537" s="34">
        <f t="shared" si="169"/>
        <v>0</v>
      </c>
    </row>
    <row r="3538" spans="7:13" x14ac:dyDescent="0.25">
      <c r="G3538" s="10" t="str">
        <f t="shared" si="167"/>
        <v/>
      </c>
      <c r="H3538" t="str">
        <f t="shared" si="168"/>
        <v/>
      </c>
      <c r="M3538" s="34">
        <f t="shared" si="169"/>
        <v>0</v>
      </c>
    </row>
    <row r="3539" spans="7:13" x14ac:dyDescent="0.25">
      <c r="G3539" s="10" t="str">
        <f t="shared" si="167"/>
        <v/>
      </c>
      <c r="H3539" t="str">
        <f t="shared" si="168"/>
        <v/>
      </c>
      <c r="M3539" s="34">
        <f t="shared" si="169"/>
        <v>0</v>
      </c>
    </row>
    <row r="3540" spans="7:13" x14ac:dyDescent="0.25">
      <c r="G3540" s="10" t="str">
        <f t="shared" si="167"/>
        <v/>
      </c>
      <c r="H3540" t="str">
        <f t="shared" si="168"/>
        <v/>
      </c>
      <c r="M3540" s="34">
        <f t="shared" si="169"/>
        <v>0</v>
      </c>
    </row>
    <row r="3541" spans="7:13" x14ac:dyDescent="0.25">
      <c r="G3541" s="10" t="str">
        <f t="shared" si="167"/>
        <v/>
      </c>
      <c r="H3541" t="str">
        <f t="shared" si="168"/>
        <v/>
      </c>
      <c r="M3541" s="34">
        <f t="shared" si="169"/>
        <v>0</v>
      </c>
    </row>
    <row r="3542" spans="7:13" x14ac:dyDescent="0.25">
      <c r="G3542" s="10" t="str">
        <f t="shared" si="167"/>
        <v/>
      </c>
      <c r="H3542" t="str">
        <f t="shared" si="168"/>
        <v/>
      </c>
      <c r="M3542" s="34">
        <f t="shared" si="169"/>
        <v>0</v>
      </c>
    </row>
    <row r="3543" spans="7:13" x14ac:dyDescent="0.25">
      <c r="G3543" s="10" t="str">
        <f t="shared" si="167"/>
        <v/>
      </c>
      <c r="H3543" t="str">
        <f t="shared" si="168"/>
        <v/>
      </c>
      <c r="M3543" s="34">
        <f t="shared" si="169"/>
        <v>0</v>
      </c>
    </row>
    <row r="3544" spans="7:13" x14ac:dyDescent="0.25">
      <c r="G3544" s="10" t="str">
        <f t="shared" si="167"/>
        <v/>
      </c>
      <c r="H3544" t="str">
        <f t="shared" si="168"/>
        <v/>
      </c>
      <c r="M3544" s="34">
        <f t="shared" si="169"/>
        <v>0</v>
      </c>
    </row>
    <row r="3545" spans="7:13" x14ac:dyDescent="0.25">
      <c r="G3545" s="10" t="str">
        <f t="shared" si="167"/>
        <v/>
      </c>
      <c r="H3545" t="str">
        <f t="shared" si="168"/>
        <v/>
      </c>
      <c r="M3545" s="34">
        <f t="shared" si="169"/>
        <v>0</v>
      </c>
    </row>
    <row r="3546" spans="7:13" x14ac:dyDescent="0.25">
      <c r="G3546" s="10" t="str">
        <f t="shared" si="167"/>
        <v/>
      </c>
      <c r="H3546" t="str">
        <f t="shared" si="168"/>
        <v/>
      </c>
      <c r="M3546" s="34">
        <f t="shared" si="169"/>
        <v>0</v>
      </c>
    </row>
    <row r="3547" spans="7:13" x14ac:dyDescent="0.25">
      <c r="G3547" s="10" t="str">
        <f t="shared" si="167"/>
        <v/>
      </c>
      <c r="H3547" t="str">
        <f t="shared" si="168"/>
        <v/>
      </c>
      <c r="M3547" s="34">
        <f t="shared" si="169"/>
        <v>0</v>
      </c>
    </row>
    <row r="3548" spans="7:13" x14ac:dyDescent="0.25">
      <c r="G3548" s="10" t="str">
        <f t="shared" si="167"/>
        <v/>
      </c>
      <c r="H3548" t="str">
        <f t="shared" si="168"/>
        <v/>
      </c>
      <c r="M3548" s="34">
        <f t="shared" si="169"/>
        <v>0</v>
      </c>
    </row>
    <row r="3549" spans="7:13" x14ac:dyDescent="0.25">
      <c r="G3549" s="10" t="str">
        <f t="shared" si="167"/>
        <v/>
      </c>
      <c r="H3549" t="str">
        <f t="shared" si="168"/>
        <v/>
      </c>
      <c r="M3549" s="34">
        <f t="shared" si="169"/>
        <v>0</v>
      </c>
    </row>
    <row r="3550" spans="7:13" x14ac:dyDescent="0.25">
      <c r="G3550" s="10" t="str">
        <f t="shared" si="167"/>
        <v/>
      </c>
      <c r="H3550" t="str">
        <f t="shared" si="168"/>
        <v/>
      </c>
      <c r="M3550" s="34">
        <f t="shared" si="169"/>
        <v>0</v>
      </c>
    </row>
    <row r="3551" spans="7:13" x14ac:dyDescent="0.25">
      <c r="G3551" s="10" t="str">
        <f t="shared" si="167"/>
        <v/>
      </c>
      <c r="H3551" t="str">
        <f t="shared" si="168"/>
        <v/>
      </c>
      <c r="M3551" s="34">
        <f t="shared" si="169"/>
        <v>0</v>
      </c>
    </row>
    <row r="3552" spans="7:13" x14ac:dyDescent="0.25">
      <c r="G3552" s="10" t="str">
        <f t="shared" si="167"/>
        <v/>
      </c>
      <c r="H3552" t="str">
        <f t="shared" si="168"/>
        <v/>
      </c>
      <c r="M3552" s="34">
        <f t="shared" si="169"/>
        <v>0</v>
      </c>
    </row>
    <row r="3553" spans="7:13" x14ac:dyDescent="0.25">
      <c r="G3553" s="10" t="str">
        <f t="shared" si="167"/>
        <v/>
      </c>
      <c r="H3553" t="str">
        <f t="shared" si="168"/>
        <v/>
      </c>
      <c r="M3553" s="34">
        <f t="shared" si="169"/>
        <v>0</v>
      </c>
    </row>
    <row r="3554" spans="7:13" x14ac:dyDescent="0.25">
      <c r="G3554" s="10" t="str">
        <f t="shared" si="167"/>
        <v/>
      </c>
      <c r="H3554" t="str">
        <f t="shared" si="168"/>
        <v/>
      </c>
      <c r="M3554" s="34">
        <f t="shared" si="169"/>
        <v>0</v>
      </c>
    </row>
    <row r="3555" spans="7:13" x14ac:dyDescent="0.25">
      <c r="G3555" s="10" t="str">
        <f t="shared" si="167"/>
        <v/>
      </c>
      <c r="H3555" t="str">
        <f t="shared" si="168"/>
        <v/>
      </c>
      <c r="M3555" s="34">
        <f t="shared" si="169"/>
        <v>0</v>
      </c>
    </row>
    <row r="3556" spans="7:13" x14ac:dyDescent="0.25">
      <c r="G3556" s="10" t="str">
        <f t="shared" si="167"/>
        <v/>
      </c>
      <c r="H3556" t="str">
        <f t="shared" si="168"/>
        <v/>
      </c>
      <c r="M3556" s="34">
        <f t="shared" si="169"/>
        <v>0</v>
      </c>
    </row>
    <row r="3557" spans="7:13" x14ac:dyDescent="0.25">
      <c r="G3557" s="10" t="str">
        <f t="shared" si="167"/>
        <v/>
      </c>
      <c r="H3557" t="str">
        <f t="shared" si="168"/>
        <v/>
      </c>
      <c r="M3557" s="34">
        <f t="shared" si="169"/>
        <v>0</v>
      </c>
    </row>
    <row r="3558" spans="7:13" x14ac:dyDescent="0.25">
      <c r="G3558" s="10" t="str">
        <f t="shared" si="167"/>
        <v/>
      </c>
      <c r="H3558" t="str">
        <f t="shared" si="168"/>
        <v/>
      </c>
      <c r="M3558" s="34">
        <f t="shared" si="169"/>
        <v>0</v>
      </c>
    </row>
    <row r="3559" spans="7:13" x14ac:dyDescent="0.25">
      <c r="G3559" s="10" t="str">
        <f t="shared" si="167"/>
        <v/>
      </c>
      <c r="H3559" t="str">
        <f t="shared" si="168"/>
        <v/>
      </c>
      <c r="M3559" s="34">
        <f t="shared" si="169"/>
        <v>0</v>
      </c>
    </row>
    <row r="3560" spans="7:13" x14ac:dyDescent="0.25">
      <c r="G3560" s="10" t="str">
        <f t="shared" si="167"/>
        <v/>
      </c>
      <c r="H3560" t="str">
        <f t="shared" si="168"/>
        <v/>
      </c>
      <c r="M3560" s="34">
        <f t="shared" si="169"/>
        <v>0</v>
      </c>
    </row>
    <row r="3561" spans="7:13" x14ac:dyDescent="0.25">
      <c r="G3561" s="10" t="str">
        <f t="shared" si="167"/>
        <v/>
      </c>
      <c r="H3561" t="str">
        <f t="shared" si="168"/>
        <v/>
      </c>
      <c r="M3561" s="34">
        <f t="shared" si="169"/>
        <v>0</v>
      </c>
    </row>
    <row r="3562" spans="7:13" x14ac:dyDescent="0.25">
      <c r="G3562" s="10" t="str">
        <f t="shared" si="167"/>
        <v/>
      </c>
      <c r="H3562" t="str">
        <f t="shared" si="168"/>
        <v/>
      </c>
      <c r="M3562" s="34">
        <f t="shared" si="169"/>
        <v>0</v>
      </c>
    </row>
    <row r="3563" spans="7:13" x14ac:dyDescent="0.25">
      <c r="G3563" s="10" t="str">
        <f t="shared" si="167"/>
        <v/>
      </c>
      <c r="H3563" t="str">
        <f t="shared" si="168"/>
        <v/>
      </c>
      <c r="M3563" s="34">
        <f t="shared" si="169"/>
        <v>0</v>
      </c>
    </row>
    <row r="3564" spans="7:13" x14ac:dyDescent="0.25">
      <c r="G3564" s="10" t="str">
        <f t="shared" si="167"/>
        <v/>
      </c>
      <c r="H3564" t="str">
        <f t="shared" si="168"/>
        <v/>
      </c>
      <c r="M3564" s="34">
        <f t="shared" si="169"/>
        <v>0</v>
      </c>
    </row>
    <row r="3565" spans="7:13" x14ac:dyDescent="0.25">
      <c r="G3565" s="10" t="str">
        <f t="shared" si="167"/>
        <v/>
      </c>
      <c r="H3565" t="str">
        <f t="shared" si="168"/>
        <v/>
      </c>
      <c r="M3565" s="34">
        <f t="shared" si="169"/>
        <v>0</v>
      </c>
    </row>
    <row r="3566" spans="7:13" x14ac:dyDescent="0.25">
      <c r="G3566" s="10" t="str">
        <f t="shared" si="167"/>
        <v/>
      </c>
      <c r="H3566" t="str">
        <f t="shared" si="168"/>
        <v/>
      </c>
      <c r="M3566" s="34">
        <f t="shared" si="169"/>
        <v>0</v>
      </c>
    </row>
    <row r="3567" spans="7:13" x14ac:dyDescent="0.25">
      <c r="G3567" s="10" t="str">
        <f t="shared" si="167"/>
        <v/>
      </c>
      <c r="H3567" t="str">
        <f t="shared" si="168"/>
        <v/>
      </c>
      <c r="M3567" s="34">
        <f t="shared" si="169"/>
        <v>0</v>
      </c>
    </row>
    <row r="3568" spans="7:13" x14ac:dyDescent="0.25">
      <c r="G3568" s="10" t="str">
        <f t="shared" si="167"/>
        <v/>
      </c>
      <c r="H3568" t="str">
        <f t="shared" si="168"/>
        <v/>
      </c>
      <c r="M3568" s="34">
        <f t="shared" si="169"/>
        <v>0</v>
      </c>
    </row>
    <row r="3569" spans="7:13" x14ac:dyDescent="0.25">
      <c r="G3569" s="10" t="str">
        <f t="shared" si="167"/>
        <v/>
      </c>
      <c r="H3569" t="str">
        <f t="shared" si="168"/>
        <v/>
      </c>
      <c r="M3569" s="34">
        <f t="shared" si="169"/>
        <v>0</v>
      </c>
    </row>
    <row r="3570" spans="7:13" x14ac:dyDescent="0.25">
      <c r="G3570" s="10" t="str">
        <f t="shared" si="167"/>
        <v/>
      </c>
      <c r="H3570" t="str">
        <f t="shared" si="168"/>
        <v/>
      </c>
      <c r="M3570" s="34">
        <f t="shared" si="169"/>
        <v>0</v>
      </c>
    </row>
    <row r="3571" spans="7:13" x14ac:dyDescent="0.25">
      <c r="G3571" s="10" t="str">
        <f t="shared" si="167"/>
        <v/>
      </c>
      <c r="H3571" t="str">
        <f t="shared" si="168"/>
        <v/>
      </c>
      <c r="M3571" s="34">
        <f t="shared" si="169"/>
        <v>0</v>
      </c>
    </row>
    <row r="3572" spans="7:13" x14ac:dyDescent="0.25">
      <c r="G3572" s="10" t="str">
        <f t="shared" si="167"/>
        <v/>
      </c>
      <c r="H3572" t="str">
        <f t="shared" si="168"/>
        <v/>
      </c>
      <c r="M3572" s="34">
        <f t="shared" si="169"/>
        <v>0</v>
      </c>
    </row>
    <row r="3573" spans="7:13" x14ac:dyDescent="0.25">
      <c r="G3573" s="10" t="str">
        <f t="shared" si="167"/>
        <v/>
      </c>
      <c r="H3573" t="str">
        <f t="shared" si="168"/>
        <v/>
      </c>
      <c r="M3573" s="34">
        <f t="shared" si="169"/>
        <v>0</v>
      </c>
    </row>
    <row r="3574" spans="7:13" x14ac:dyDescent="0.25">
      <c r="G3574" s="10" t="str">
        <f t="shared" si="167"/>
        <v/>
      </c>
      <c r="H3574" t="str">
        <f t="shared" si="168"/>
        <v/>
      </c>
      <c r="M3574" s="34">
        <f t="shared" si="169"/>
        <v>0</v>
      </c>
    </row>
    <row r="3575" spans="7:13" x14ac:dyDescent="0.25">
      <c r="G3575" s="10" t="str">
        <f t="shared" si="167"/>
        <v/>
      </c>
      <c r="H3575" t="str">
        <f t="shared" si="168"/>
        <v/>
      </c>
      <c r="M3575" s="34">
        <f t="shared" si="169"/>
        <v>0</v>
      </c>
    </row>
    <row r="3576" spans="7:13" x14ac:dyDescent="0.25">
      <c r="G3576" s="10" t="str">
        <f t="shared" si="167"/>
        <v/>
      </c>
      <c r="H3576" t="str">
        <f t="shared" si="168"/>
        <v/>
      </c>
      <c r="M3576" s="34">
        <f t="shared" si="169"/>
        <v>0</v>
      </c>
    </row>
    <row r="3577" spans="7:13" x14ac:dyDescent="0.25">
      <c r="G3577" s="10" t="str">
        <f t="shared" si="167"/>
        <v/>
      </c>
      <c r="H3577" t="str">
        <f t="shared" si="168"/>
        <v/>
      </c>
      <c r="M3577" s="34">
        <f t="shared" si="169"/>
        <v>0</v>
      </c>
    </row>
    <row r="3578" spans="7:13" x14ac:dyDescent="0.25">
      <c r="G3578" s="10" t="str">
        <f t="shared" si="167"/>
        <v/>
      </c>
      <c r="H3578" t="str">
        <f t="shared" si="168"/>
        <v/>
      </c>
      <c r="M3578" s="34">
        <f t="shared" si="169"/>
        <v>0</v>
      </c>
    </row>
    <row r="3579" spans="7:13" x14ac:dyDescent="0.25">
      <c r="G3579" s="10" t="str">
        <f t="shared" si="167"/>
        <v/>
      </c>
      <c r="H3579" t="str">
        <f t="shared" si="168"/>
        <v/>
      </c>
      <c r="M3579" s="34">
        <f t="shared" si="169"/>
        <v>0</v>
      </c>
    </row>
    <row r="3580" spans="7:13" x14ac:dyDescent="0.25">
      <c r="G3580" s="10" t="str">
        <f t="shared" si="167"/>
        <v/>
      </c>
      <c r="H3580" t="str">
        <f t="shared" si="168"/>
        <v/>
      </c>
      <c r="M3580" s="34">
        <f t="shared" si="169"/>
        <v>0</v>
      </c>
    </row>
    <row r="3581" spans="7:13" x14ac:dyDescent="0.25">
      <c r="G3581" s="10" t="str">
        <f t="shared" si="167"/>
        <v/>
      </c>
      <c r="H3581" t="str">
        <f t="shared" si="168"/>
        <v/>
      </c>
      <c r="M3581" s="34">
        <f t="shared" si="169"/>
        <v>0</v>
      </c>
    </row>
    <row r="3582" spans="7:13" x14ac:dyDescent="0.25">
      <c r="G3582" s="10" t="str">
        <f t="shared" si="167"/>
        <v/>
      </c>
      <c r="H3582" t="str">
        <f t="shared" si="168"/>
        <v/>
      </c>
      <c r="M3582" s="34">
        <f t="shared" si="169"/>
        <v>0</v>
      </c>
    </row>
    <row r="3583" spans="7:13" x14ac:dyDescent="0.25">
      <c r="G3583" s="10" t="str">
        <f t="shared" si="167"/>
        <v/>
      </c>
      <c r="H3583" t="str">
        <f t="shared" si="168"/>
        <v/>
      </c>
      <c r="M3583" s="34">
        <f t="shared" si="169"/>
        <v>0</v>
      </c>
    </row>
    <row r="3584" spans="7:13" x14ac:dyDescent="0.25">
      <c r="G3584" s="10" t="str">
        <f t="shared" si="167"/>
        <v/>
      </c>
      <c r="H3584" t="str">
        <f t="shared" si="168"/>
        <v/>
      </c>
      <c r="M3584" s="34">
        <f t="shared" si="169"/>
        <v>0</v>
      </c>
    </row>
    <row r="3585" spans="7:13" x14ac:dyDescent="0.25">
      <c r="G3585" s="10" t="str">
        <f t="shared" si="167"/>
        <v/>
      </c>
      <c r="H3585" t="str">
        <f t="shared" si="168"/>
        <v/>
      </c>
      <c r="M3585" s="34">
        <f t="shared" si="169"/>
        <v>0</v>
      </c>
    </row>
    <row r="3586" spans="7:13" x14ac:dyDescent="0.25">
      <c r="G3586" s="10" t="str">
        <f t="shared" ref="G3586:G3649" si="170">IF(F3586&gt;0,"RECETTE",IF(F3586&lt;0,"DÉPENSE",""))</f>
        <v/>
      </c>
      <c r="H3586" t="str">
        <f t="shared" ref="H3586:H3649" si="171">+IF(ISNUMBER(D3586),D3586,"")</f>
        <v/>
      </c>
      <c r="M3586" s="34">
        <f t="shared" si="169"/>
        <v>0</v>
      </c>
    </row>
    <row r="3587" spans="7:13" x14ac:dyDescent="0.25">
      <c r="G3587" s="10" t="str">
        <f t="shared" si="170"/>
        <v/>
      </c>
      <c r="H3587" t="str">
        <f t="shared" si="171"/>
        <v/>
      </c>
      <c r="M3587" s="34">
        <f t="shared" ref="M3587:M3650" si="172">IF(AND(E3587="Chèque",G3587="RECETTE"),F3587,0)</f>
        <v>0</v>
      </c>
    </row>
    <row r="3588" spans="7:13" x14ac:dyDescent="0.25">
      <c r="G3588" s="10" t="str">
        <f t="shared" si="170"/>
        <v/>
      </c>
      <c r="H3588" t="str">
        <f t="shared" si="171"/>
        <v/>
      </c>
      <c r="M3588" s="34">
        <f t="shared" si="172"/>
        <v>0</v>
      </c>
    </row>
    <row r="3589" spans="7:13" x14ac:dyDescent="0.25">
      <c r="G3589" s="10" t="str">
        <f t="shared" si="170"/>
        <v/>
      </c>
      <c r="H3589" t="str">
        <f t="shared" si="171"/>
        <v/>
      </c>
      <c r="M3589" s="34">
        <f t="shared" si="172"/>
        <v>0</v>
      </c>
    </row>
    <row r="3590" spans="7:13" x14ac:dyDescent="0.25">
      <c r="G3590" s="10" t="str">
        <f t="shared" si="170"/>
        <v/>
      </c>
      <c r="H3590" t="str">
        <f t="shared" si="171"/>
        <v/>
      </c>
      <c r="M3590" s="34">
        <f t="shared" si="172"/>
        <v>0</v>
      </c>
    </row>
    <row r="3591" spans="7:13" x14ac:dyDescent="0.25">
      <c r="G3591" s="10" t="str">
        <f t="shared" si="170"/>
        <v/>
      </c>
      <c r="H3591" t="str">
        <f t="shared" si="171"/>
        <v/>
      </c>
      <c r="M3591" s="34">
        <f t="shared" si="172"/>
        <v>0</v>
      </c>
    </row>
    <row r="3592" spans="7:13" x14ac:dyDescent="0.25">
      <c r="G3592" s="10" t="str">
        <f t="shared" si="170"/>
        <v/>
      </c>
      <c r="H3592" t="str">
        <f t="shared" si="171"/>
        <v/>
      </c>
      <c r="M3592" s="34">
        <f t="shared" si="172"/>
        <v>0</v>
      </c>
    </row>
    <row r="3593" spans="7:13" x14ac:dyDescent="0.25">
      <c r="G3593" s="10" t="str">
        <f t="shared" si="170"/>
        <v/>
      </c>
      <c r="H3593" t="str">
        <f t="shared" si="171"/>
        <v/>
      </c>
      <c r="M3593" s="34">
        <f t="shared" si="172"/>
        <v>0</v>
      </c>
    </row>
    <row r="3594" spans="7:13" x14ac:dyDescent="0.25">
      <c r="G3594" s="10" t="str">
        <f t="shared" si="170"/>
        <v/>
      </c>
      <c r="H3594" t="str">
        <f t="shared" si="171"/>
        <v/>
      </c>
      <c r="M3594" s="34">
        <f t="shared" si="172"/>
        <v>0</v>
      </c>
    </row>
    <row r="3595" spans="7:13" x14ac:dyDescent="0.25">
      <c r="G3595" s="10" t="str">
        <f t="shared" si="170"/>
        <v/>
      </c>
      <c r="H3595" t="str">
        <f t="shared" si="171"/>
        <v/>
      </c>
      <c r="M3595" s="34">
        <f t="shared" si="172"/>
        <v>0</v>
      </c>
    </row>
    <row r="3596" spans="7:13" x14ac:dyDescent="0.25">
      <c r="G3596" s="10" t="str">
        <f t="shared" si="170"/>
        <v/>
      </c>
      <c r="H3596" t="str">
        <f t="shared" si="171"/>
        <v/>
      </c>
      <c r="M3596" s="34">
        <f t="shared" si="172"/>
        <v>0</v>
      </c>
    </row>
    <row r="3597" spans="7:13" x14ac:dyDescent="0.25">
      <c r="G3597" s="10" t="str">
        <f t="shared" si="170"/>
        <v/>
      </c>
      <c r="H3597" t="str">
        <f t="shared" si="171"/>
        <v/>
      </c>
      <c r="M3597" s="34">
        <f t="shared" si="172"/>
        <v>0</v>
      </c>
    </row>
    <row r="3598" spans="7:13" x14ac:dyDescent="0.25">
      <c r="G3598" s="10" t="str">
        <f t="shared" si="170"/>
        <v/>
      </c>
      <c r="H3598" t="str">
        <f t="shared" si="171"/>
        <v/>
      </c>
      <c r="M3598" s="34">
        <f t="shared" si="172"/>
        <v>0</v>
      </c>
    </row>
    <row r="3599" spans="7:13" x14ac:dyDescent="0.25">
      <c r="G3599" s="10" t="str">
        <f t="shared" si="170"/>
        <v/>
      </c>
      <c r="H3599" t="str">
        <f t="shared" si="171"/>
        <v/>
      </c>
      <c r="M3599" s="34">
        <f t="shared" si="172"/>
        <v>0</v>
      </c>
    </row>
    <row r="3600" spans="7:13" x14ac:dyDescent="0.25">
      <c r="G3600" s="10" t="str">
        <f t="shared" si="170"/>
        <v/>
      </c>
      <c r="H3600" t="str">
        <f t="shared" si="171"/>
        <v/>
      </c>
      <c r="M3600" s="34">
        <f t="shared" si="172"/>
        <v>0</v>
      </c>
    </row>
    <row r="3601" spans="7:13" x14ac:dyDescent="0.25">
      <c r="G3601" s="10" t="str">
        <f t="shared" si="170"/>
        <v/>
      </c>
      <c r="H3601" t="str">
        <f t="shared" si="171"/>
        <v/>
      </c>
      <c r="M3601" s="34">
        <f t="shared" si="172"/>
        <v>0</v>
      </c>
    </row>
    <row r="3602" spans="7:13" x14ac:dyDescent="0.25">
      <c r="G3602" s="10" t="str">
        <f t="shared" si="170"/>
        <v/>
      </c>
      <c r="H3602" t="str">
        <f t="shared" si="171"/>
        <v/>
      </c>
      <c r="M3602" s="34">
        <f t="shared" si="172"/>
        <v>0</v>
      </c>
    </row>
    <row r="3603" spans="7:13" x14ac:dyDescent="0.25">
      <c r="G3603" s="10" t="str">
        <f t="shared" si="170"/>
        <v/>
      </c>
      <c r="H3603" t="str">
        <f t="shared" si="171"/>
        <v/>
      </c>
      <c r="M3603" s="34">
        <f t="shared" si="172"/>
        <v>0</v>
      </c>
    </row>
    <row r="3604" spans="7:13" x14ac:dyDescent="0.25">
      <c r="G3604" s="10" t="str">
        <f t="shared" si="170"/>
        <v/>
      </c>
      <c r="H3604" t="str">
        <f t="shared" si="171"/>
        <v/>
      </c>
      <c r="M3604" s="34">
        <f t="shared" si="172"/>
        <v>0</v>
      </c>
    </row>
    <row r="3605" spans="7:13" x14ac:dyDescent="0.25">
      <c r="G3605" s="10" t="str">
        <f t="shared" si="170"/>
        <v/>
      </c>
      <c r="H3605" t="str">
        <f t="shared" si="171"/>
        <v/>
      </c>
      <c r="M3605" s="34">
        <f t="shared" si="172"/>
        <v>0</v>
      </c>
    </row>
    <row r="3606" spans="7:13" x14ac:dyDescent="0.25">
      <c r="G3606" s="10" t="str">
        <f t="shared" si="170"/>
        <v/>
      </c>
      <c r="H3606" t="str">
        <f t="shared" si="171"/>
        <v/>
      </c>
      <c r="M3606" s="34">
        <f t="shared" si="172"/>
        <v>0</v>
      </c>
    </row>
    <row r="3607" spans="7:13" x14ac:dyDescent="0.25">
      <c r="G3607" s="10" t="str">
        <f t="shared" si="170"/>
        <v/>
      </c>
      <c r="H3607" t="str">
        <f t="shared" si="171"/>
        <v/>
      </c>
      <c r="M3607" s="34">
        <f t="shared" si="172"/>
        <v>0</v>
      </c>
    </row>
    <row r="3608" spans="7:13" x14ac:dyDescent="0.25">
      <c r="G3608" s="10" t="str">
        <f t="shared" si="170"/>
        <v/>
      </c>
      <c r="H3608" t="str">
        <f t="shared" si="171"/>
        <v/>
      </c>
      <c r="M3608" s="34">
        <f t="shared" si="172"/>
        <v>0</v>
      </c>
    </row>
    <row r="3609" spans="7:13" x14ac:dyDescent="0.25">
      <c r="G3609" s="10" t="str">
        <f t="shared" si="170"/>
        <v/>
      </c>
      <c r="H3609" t="str">
        <f t="shared" si="171"/>
        <v/>
      </c>
      <c r="M3609" s="34">
        <f t="shared" si="172"/>
        <v>0</v>
      </c>
    </row>
    <row r="3610" spans="7:13" x14ac:dyDescent="0.25">
      <c r="G3610" s="10" t="str">
        <f t="shared" si="170"/>
        <v/>
      </c>
      <c r="H3610" t="str">
        <f t="shared" si="171"/>
        <v/>
      </c>
      <c r="M3610" s="34">
        <f t="shared" si="172"/>
        <v>0</v>
      </c>
    </row>
    <row r="3611" spans="7:13" x14ac:dyDescent="0.25">
      <c r="G3611" s="10" t="str">
        <f t="shared" si="170"/>
        <v/>
      </c>
      <c r="H3611" t="str">
        <f t="shared" si="171"/>
        <v/>
      </c>
      <c r="M3611" s="34">
        <f t="shared" si="172"/>
        <v>0</v>
      </c>
    </row>
    <row r="3612" spans="7:13" x14ac:dyDescent="0.25">
      <c r="G3612" s="10" t="str">
        <f t="shared" si="170"/>
        <v/>
      </c>
      <c r="H3612" t="str">
        <f t="shared" si="171"/>
        <v/>
      </c>
      <c r="M3612" s="34">
        <f t="shared" si="172"/>
        <v>0</v>
      </c>
    </row>
    <row r="3613" spans="7:13" x14ac:dyDescent="0.25">
      <c r="G3613" s="10" t="str">
        <f t="shared" si="170"/>
        <v/>
      </c>
      <c r="H3613" t="str">
        <f t="shared" si="171"/>
        <v/>
      </c>
      <c r="M3613" s="34">
        <f t="shared" si="172"/>
        <v>0</v>
      </c>
    </row>
    <row r="3614" spans="7:13" x14ac:dyDescent="0.25">
      <c r="G3614" s="10" t="str">
        <f t="shared" si="170"/>
        <v/>
      </c>
      <c r="H3614" t="str">
        <f t="shared" si="171"/>
        <v/>
      </c>
      <c r="M3614" s="34">
        <f t="shared" si="172"/>
        <v>0</v>
      </c>
    </row>
    <row r="3615" spans="7:13" x14ac:dyDescent="0.25">
      <c r="G3615" s="10" t="str">
        <f t="shared" si="170"/>
        <v/>
      </c>
      <c r="H3615" t="str">
        <f t="shared" si="171"/>
        <v/>
      </c>
      <c r="M3615" s="34">
        <f t="shared" si="172"/>
        <v>0</v>
      </c>
    </row>
    <row r="3616" spans="7:13" x14ac:dyDescent="0.25">
      <c r="G3616" s="10" t="str">
        <f t="shared" si="170"/>
        <v/>
      </c>
      <c r="H3616" t="str">
        <f t="shared" si="171"/>
        <v/>
      </c>
      <c r="M3616" s="34">
        <f t="shared" si="172"/>
        <v>0</v>
      </c>
    </row>
    <row r="3617" spans="7:13" x14ac:dyDescent="0.25">
      <c r="G3617" s="10" t="str">
        <f t="shared" si="170"/>
        <v/>
      </c>
      <c r="H3617" t="str">
        <f t="shared" si="171"/>
        <v/>
      </c>
      <c r="M3617" s="34">
        <f t="shared" si="172"/>
        <v>0</v>
      </c>
    </row>
    <row r="3618" spans="7:13" x14ac:dyDescent="0.25">
      <c r="G3618" s="10" t="str">
        <f t="shared" si="170"/>
        <v/>
      </c>
      <c r="H3618" t="str">
        <f t="shared" si="171"/>
        <v/>
      </c>
      <c r="M3618" s="34">
        <f t="shared" si="172"/>
        <v>0</v>
      </c>
    </row>
    <row r="3619" spans="7:13" x14ac:dyDescent="0.25">
      <c r="G3619" s="10" t="str">
        <f t="shared" si="170"/>
        <v/>
      </c>
      <c r="H3619" t="str">
        <f t="shared" si="171"/>
        <v/>
      </c>
      <c r="M3619" s="34">
        <f t="shared" si="172"/>
        <v>0</v>
      </c>
    </row>
    <row r="3620" spans="7:13" x14ac:dyDescent="0.25">
      <c r="G3620" s="10" t="str">
        <f t="shared" si="170"/>
        <v/>
      </c>
      <c r="H3620" t="str">
        <f t="shared" si="171"/>
        <v/>
      </c>
      <c r="M3620" s="34">
        <f t="shared" si="172"/>
        <v>0</v>
      </c>
    </row>
    <row r="3621" spans="7:13" x14ac:dyDescent="0.25">
      <c r="G3621" s="10" t="str">
        <f t="shared" si="170"/>
        <v/>
      </c>
      <c r="H3621" t="str">
        <f t="shared" si="171"/>
        <v/>
      </c>
      <c r="M3621" s="34">
        <f t="shared" si="172"/>
        <v>0</v>
      </c>
    </row>
    <row r="3622" spans="7:13" x14ac:dyDescent="0.25">
      <c r="G3622" s="10" t="str">
        <f t="shared" si="170"/>
        <v/>
      </c>
      <c r="H3622" t="str">
        <f t="shared" si="171"/>
        <v/>
      </c>
      <c r="M3622" s="34">
        <f t="shared" si="172"/>
        <v>0</v>
      </c>
    </row>
    <row r="3623" spans="7:13" x14ac:dyDescent="0.25">
      <c r="G3623" s="10" t="str">
        <f t="shared" si="170"/>
        <v/>
      </c>
      <c r="H3623" t="str">
        <f t="shared" si="171"/>
        <v/>
      </c>
      <c r="M3623" s="34">
        <f t="shared" si="172"/>
        <v>0</v>
      </c>
    </row>
    <row r="3624" spans="7:13" x14ac:dyDescent="0.25">
      <c r="G3624" s="10" t="str">
        <f t="shared" si="170"/>
        <v/>
      </c>
      <c r="H3624" t="str">
        <f t="shared" si="171"/>
        <v/>
      </c>
      <c r="M3624" s="34">
        <f t="shared" si="172"/>
        <v>0</v>
      </c>
    </row>
    <row r="3625" spans="7:13" x14ac:dyDescent="0.25">
      <c r="G3625" s="10" t="str">
        <f t="shared" si="170"/>
        <v/>
      </c>
      <c r="H3625" t="str">
        <f t="shared" si="171"/>
        <v/>
      </c>
      <c r="M3625" s="34">
        <f t="shared" si="172"/>
        <v>0</v>
      </c>
    </row>
    <row r="3626" spans="7:13" x14ac:dyDescent="0.25">
      <c r="G3626" s="10" t="str">
        <f t="shared" si="170"/>
        <v/>
      </c>
      <c r="H3626" t="str">
        <f t="shared" si="171"/>
        <v/>
      </c>
      <c r="M3626" s="34">
        <f t="shared" si="172"/>
        <v>0</v>
      </c>
    </row>
    <row r="3627" spans="7:13" x14ac:dyDescent="0.25">
      <c r="G3627" s="10" t="str">
        <f t="shared" si="170"/>
        <v/>
      </c>
      <c r="H3627" t="str">
        <f t="shared" si="171"/>
        <v/>
      </c>
      <c r="M3627" s="34">
        <f t="shared" si="172"/>
        <v>0</v>
      </c>
    </row>
    <row r="3628" spans="7:13" x14ac:dyDescent="0.25">
      <c r="G3628" s="10" t="str">
        <f t="shared" si="170"/>
        <v/>
      </c>
      <c r="H3628" t="str">
        <f t="shared" si="171"/>
        <v/>
      </c>
      <c r="M3628" s="34">
        <f t="shared" si="172"/>
        <v>0</v>
      </c>
    </row>
    <row r="3629" spans="7:13" x14ac:dyDescent="0.25">
      <c r="G3629" s="10" t="str">
        <f t="shared" si="170"/>
        <v/>
      </c>
      <c r="H3629" t="str">
        <f t="shared" si="171"/>
        <v/>
      </c>
      <c r="M3629" s="34">
        <f t="shared" si="172"/>
        <v>0</v>
      </c>
    </row>
    <row r="3630" spans="7:13" x14ac:dyDescent="0.25">
      <c r="G3630" s="10" t="str">
        <f t="shared" si="170"/>
        <v/>
      </c>
      <c r="H3630" t="str">
        <f t="shared" si="171"/>
        <v/>
      </c>
      <c r="M3630" s="34">
        <f t="shared" si="172"/>
        <v>0</v>
      </c>
    </row>
    <row r="3631" spans="7:13" x14ac:dyDescent="0.25">
      <c r="G3631" s="10" t="str">
        <f t="shared" si="170"/>
        <v/>
      </c>
      <c r="H3631" t="str">
        <f t="shared" si="171"/>
        <v/>
      </c>
      <c r="M3631" s="34">
        <f t="shared" si="172"/>
        <v>0</v>
      </c>
    </row>
    <row r="3632" spans="7:13" x14ac:dyDescent="0.25">
      <c r="G3632" s="10" t="str">
        <f t="shared" si="170"/>
        <v/>
      </c>
      <c r="H3632" t="str">
        <f t="shared" si="171"/>
        <v/>
      </c>
      <c r="M3632" s="34">
        <f t="shared" si="172"/>
        <v>0</v>
      </c>
    </row>
    <row r="3633" spans="7:13" x14ac:dyDescent="0.25">
      <c r="G3633" s="10" t="str">
        <f t="shared" si="170"/>
        <v/>
      </c>
      <c r="H3633" t="str">
        <f t="shared" si="171"/>
        <v/>
      </c>
      <c r="M3633" s="34">
        <f t="shared" si="172"/>
        <v>0</v>
      </c>
    </row>
    <row r="3634" spans="7:13" x14ac:dyDescent="0.25">
      <c r="G3634" s="10" t="str">
        <f t="shared" si="170"/>
        <v/>
      </c>
      <c r="H3634" t="str">
        <f t="shared" si="171"/>
        <v/>
      </c>
      <c r="M3634" s="34">
        <f t="shared" si="172"/>
        <v>0</v>
      </c>
    </row>
    <row r="3635" spans="7:13" x14ac:dyDescent="0.25">
      <c r="G3635" s="10" t="str">
        <f t="shared" si="170"/>
        <v/>
      </c>
      <c r="H3635" t="str">
        <f t="shared" si="171"/>
        <v/>
      </c>
      <c r="M3635" s="34">
        <f t="shared" si="172"/>
        <v>0</v>
      </c>
    </row>
    <row r="3636" spans="7:13" x14ac:dyDescent="0.25">
      <c r="G3636" s="10" t="str">
        <f t="shared" si="170"/>
        <v/>
      </c>
      <c r="H3636" t="str">
        <f t="shared" si="171"/>
        <v/>
      </c>
      <c r="M3636" s="34">
        <f t="shared" si="172"/>
        <v>0</v>
      </c>
    </row>
    <row r="3637" spans="7:13" x14ac:dyDescent="0.25">
      <c r="G3637" s="10" t="str">
        <f t="shared" si="170"/>
        <v/>
      </c>
      <c r="H3637" t="str">
        <f t="shared" si="171"/>
        <v/>
      </c>
      <c r="M3637" s="34">
        <f t="shared" si="172"/>
        <v>0</v>
      </c>
    </row>
    <row r="3638" spans="7:13" x14ac:dyDescent="0.25">
      <c r="G3638" s="10" t="str">
        <f t="shared" si="170"/>
        <v/>
      </c>
      <c r="H3638" t="str">
        <f t="shared" si="171"/>
        <v/>
      </c>
      <c r="M3638" s="34">
        <f t="shared" si="172"/>
        <v>0</v>
      </c>
    </row>
    <row r="3639" spans="7:13" x14ac:dyDescent="0.25">
      <c r="G3639" s="10" t="str">
        <f t="shared" si="170"/>
        <v/>
      </c>
      <c r="H3639" t="str">
        <f t="shared" si="171"/>
        <v/>
      </c>
      <c r="M3639" s="34">
        <f t="shared" si="172"/>
        <v>0</v>
      </c>
    </row>
    <row r="3640" spans="7:13" x14ac:dyDescent="0.25">
      <c r="G3640" s="10" t="str">
        <f t="shared" si="170"/>
        <v/>
      </c>
      <c r="H3640" t="str">
        <f t="shared" si="171"/>
        <v/>
      </c>
      <c r="M3640" s="34">
        <f t="shared" si="172"/>
        <v>0</v>
      </c>
    </row>
    <row r="3641" spans="7:13" x14ac:dyDescent="0.25">
      <c r="G3641" s="10" t="str">
        <f t="shared" si="170"/>
        <v/>
      </c>
      <c r="H3641" t="str">
        <f t="shared" si="171"/>
        <v/>
      </c>
      <c r="M3641" s="34">
        <f t="shared" si="172"/>
        <v>0</v>
      </c>
    </row>
    <row r="3642" spans="7:13" x14ac:dyDescent="0.25">
      <c r="G3642" s="10" t="str">
        <f t="shared" si="170"/>
        <v/>
      </c>
      <c r="H3642" t="str">
        <f t="shared" si="171"/>
        <v/>
      </c>
      <c r="M3642" s="34">
        <f t="shared" si="172"/>
        <v>0</v>
      </c>
    </row>
    <row r="3643" spans="7:13" x14ac:dyDescent="0.25">
      <c r="G3643" s="10" t="str">
        <f t="shared" si="170"/>
        <v/>
      </c>
      <c r="H3643" t="str">
        <f t="shared" si="171"/>
        <v/>
      </c>
      <c r="M3643" s="34">
        <f t="shared" si="172"/>
        <v>0</v>
      </c>
    </row>
    <row r="3644" spans="7:13" x14ac:dyDescent="0.25">
      <c r="G3644" s="10" t="str">
        <f t="shared" si="170"/>
        <v/>
      </c>
      <c r="H3644" t="str">
        <f t="shared" si="171"/>
        <v/>
      </c>
      <c r="M3644" s="34">
        <f t="shared" si="172"/>
        <v>0</v>
      </c>
    </row>
    <row r="3645" spans="7:13" x14ac:dyDescent="0.25">
      <c r="G3645" s="10" t="str">
        <f t="shared" si="170"/>
        <v/>
      </c>
      <c r="H3645" t="str">
        <f t="shared" si="171"/>
        <v/>
      </c>
      <c r="M3645" s="34">
        <f t="shared" si="172"/>
        <v>0</v>
      </c>
    </row>
    <row r="3646" spans="7:13" x14ac:dyDescent="0.25">
      <c r="G3646" s="10" t="str">
        <f t="shared" si="170"/>
        <v/>
      </c>
      <c r="H3646" t="str">
        <f t="shared" si="171"/>
        <v/>
      </c>
      <c r="M3646" s="34">
        <f t="shared" si="172"/>
        <v>0</v>
      </c>
    </row>
    <row r="3647" spans="7:13" x14ac:dyDescent="0.25">
      <c r="G3647" s="10" t="str">
        <f t="shared" si="170"/>
        <v/>
      </c>
      <c r="H3647" t="str">
        <f t="shared" si="171"/>
        <v/>
      </c>
      <c r="M3647" s="34">
        <f t="shared" si="172"/>
        <v>0</v>
      </c>
    </row>
    <row r="3648" spans="7:13" x14ac:dyDescent="0.25">
      <c r="G3648" s="10" t="str">
        <f t="shared" si="170"/>
        <v/>
      </c>
      <c r="H3648" t="str">
        <f t="shared" si="171"/>
        <v/>
      </c>
      <c r="M3648" s="34">
        <f t="shared" si="172"/>
        <v>0</v>
      </c>
    </row>
    <row r="3649" spans="7:13" x14ac:dyDescent="0.25">
      <c r="G3649" s="10" t="str">
        <f t="shared" si="170"/>
        <v/>
      </c>
      <c r="H3649" t="str">
        <f t="shared" si="171"/>
        <v/>
      </c>
      <c r="M3649" s="34">
        <f t="shared" si="172"/>
        <v>0</v>
      </c>
    </row>
    <row r="3650" spans="7:13" x14ac:dyDescent="0.25">
      <c r="G3650" s="10" t="str">
        <f t="shared" ref="G3650:G3713" si="173">IF(F3650&gt;0,"RECETTE",IF(F3650&lt;0,"DÉPENSE",""))</f>
        <v/>
      </c>
      <c r="H3650" t="str">
        <f t="shared" ref="H3650:H3713" si="174">+IF(ISNUMBER(D3650),D3650,"")</f>
        <v/>
      </c>
      <c r="M3650" s="34">
        <f t="shared" si="172"/>
        <v>0</v>
      </c>
    </row>
    <row r="3651" spans="7:13" x14ac:dyDescent="0.25">
      <c r="G3651" s="10" t="str">
        <f t="shared" si="173"/>
        <v/>
      </c>
      <c r="H3651" t="str">
        <f t="shared" si="174"/>
        <v/>
      </c>
      <c r="M3651" s="34">
        <f t="shared" ref="M3651:M3714" si="175">IF(AND(E3651="Chèque",G3651="RECETTE"),F3651,0)</f>
        <v>0</v>
      </c>
    </row>
    <row r="3652" spans="7:13" x14ac:dyDescent="0.25">
      <c r="G3652" s="10" t="str">
        <f t="shared" si="173"/>
        <v/>
      </c>
      <c r="H3652" t="str">
        <f t="shared" si="174"/>
        <v/>
      </c>
      <c r="M3652" s="34">
        <f t="shared" si="175"/>
        <v>0</v>
      </c>
    </row>
    <row r="3653" spans="7:13" x14ac:dyDescent="0.25">
      <c r="G3653" s="10" t="str">
        <f t="shared" si="173"/>
        <v/>
      </c>
      <c r="H3653" t="str">
        <f t="shared" si="174"/>
        <v/>
      </c>
      <c r="M3653" s="34">
        <f t="shared" si="175"/>
        <v>0</v>
      </c>
    </row>
    <row r="3654" spans="7:13" x14ac:dyDescent="0.25">
      <c r="G3654" s="10" t="str">
        <f t="shared" si="173"/>
        <v/>
      </c>
      <c r="H3654" t="str">
        <f t="shared" si="174"/>
        <v/>
      </c>
      <c r="M3654" s="34">
        <f t="shared" si="175"/>
        <v>0</v>
      </c>
    </row>
    <row r="3655" spans="7:13" x14ac:dyDescent="0.25">
      <c r="G3655" s="10" t="str">
        <f t="shared" si="173"/>
        <v/>
      </c>
      <c r="H3655" t="str">
        <f t="shared" si="174"/>
        <v/>
      </c>
      <c r="M3655" s="34">
        <f t="shared" si="175"/>
        <v>0</v>
      </c>
    </row>
    <row r="3656" spans="7:13" x14ac:dyDescent="0.25">
      <c r="G3656" s="10" t="str">
        <f t="shared" si="173"/>
        <v/>
      </c>
      <c r="H3656" t="str">
        <f t="shared" si="174"/>
        <v/>
      </c>
      <c r="M3656" s="34">
        <f t="shared" si="175"/>
        <v>0</v>
      </c>
    </row>
    <row r="3657" spans="7:13" x14ac:dyDescent="0.25">
      <c r="G3657" s="10" t="str">
        <f t="shared" si="173"/>
        <v/>
      </c>
      <c r="H3657" t="str">
        <f t="shared" si="174"/>
        <v/>
      </c>
      <c r="M3657" s="34">
        <f t="shared" si="175"/>
        <v>0</v>
      </c>
    </row>
    <row r="3658" spans="7:13" x14ac:dyDescent="0.25">
      <c r="G3658" s="10" t="str">
        <f t="shared" si="173"/>
        <v/>
      </c>
      <c r="H3658" t="str">
        <f t="shared" si="174"/>
        <v/>
      </c>
      <c r="M3658" s="34">
        <f t="shared" si="175"/>
        <v>0</v>
      </c>
    </row>
    <row r="3659" spans="7:13" x14ac:dyDescent="0.25">
      <c r="G3659" s="10" t="str">
        <f t="shared" si="173"/>
        <v/>
      </c>
      <c r="H3659" t="str">
        <f t="shared" si="174"/>
        <v/>
      </c>
      <c r="M3659" s="34">
        <f t="shared" si="175"/>
        <v>0</v>
      </c>
    </row>
    <row r="3660" spans="7:13" x14ac:dyDescent="0.25">
      <c r="G3660" s="10" t="str">
        <f t="shared" si="173"/>
        <v/>
      </c>
      <c r="H3660" t="str">
        <f t="shared" si="174"/>
        <v/>
      </c>
      <c r="M3660" s="34">
        <f t="shared" si="175"/>
        <v>0</v>
      </c>
    </row>
    <row r="3661" spans="7:13" x14ac:dyDescent="0.25">
      <c r="G3661" s="10" t="str">
        <f t="shared" si="173"/>
        <v/>
      </c>
      <c r="H3661" t="str">
        <f t="shared" si="174"/>
        <v/>
      </c>
      <c r="M3661" s="34">
        <f t="shared" si="175"/>
        <v>0</v>
      </c>
    </row>
    <row r="3662" spans="7:13" x14ac:dyDescent="0.25">
      <c r="G3662" s="10" t="str">
        <f t="shared" si="173"/>
        <v/>
      </c>
      <c r="H3662" t="str">
        <f t="shared" si="174"/>
        <v/>
      </c>
      <c r="M3662" s="34">
        <f t="shared" si="175"/>
        <v>0</v>
      </c>
    </row>
    <row r="3663" spans="7:13" x14ac:dyDescent="0.25">
      <c r="G3663" s="10" t="str">
        <f t="shared" si="173"/>
        <v/>
      </c>
      <c r="H3663" t="str">
        <f t="shared" si="174"/>
        <v/>
      </c>
      <c r="M3663" s="34">
        <f t="shared" si="175"/>
        <v>0</v>
      </c>
    </row>
    <row r="3664" spans="7:13" x14ac:dyDescent="0.25">
      <c r="G3664" s="10" t="str">
        <f t="shared" si="173"/>
        <v/>
      </c>
      <c r="H3664" t="str">
        <f t="shared" si="174"/>
        <v/>
      </c>
      <c r="M3664" s="34">
        <f t="shared" si="175"/>
        <v>0</v>
      </c>
    </row>
    <row r="3665" spans="7:13" x14ac:dyDescent="0.25">
      <c r="G3665" s="10" t="str">
        <f t="shared" si="173"/>
        <v/>
      </c>
      <c r="H3665" t="str">
        <f t="shared" si="174"/>
        <v/>
      </c>
      <c r="M3665" s="34">
        <f t="shared" si="175"/>
        <v>0</v>
      </c>
    </row>
    <row r="3666" spans="7:13" x14ac:dyDescent="0.25">
      <c r="G3666" s="10" t="str">
        <f t="shared" si="173"/>
        <v/>
      </c>
      <c r="H3666" t="str">
        <f t="shared" si="174"/>
        <v/>
      </c>
      <c r="M3666" s="34">
        <f t="shared" si="175"/>
        <v>0</v>
      </c>
    </row>
    <row r="3667" spans="7:13" x14ac:dyDescent="0.25">
      <c r="G3667" s="10" t="str">
        <f t="shared" si="173"/>
        <v/>
      </c>
      <c r="H3667" t="str">
        <f t="shared" si="174"/>
        <v/>
      </c>
      <c r="M3667" s="34">
        <f t="shared" si="175"/>
        <v>0</v>
      </c>
    </row>
    <row r="3668" spans="7:13" x14ac:dyDescent="0.25">
      <c r="G3668" s="10" t="str">
        <f t="shared" si="173"/>
        <v/>
      </c>
      <c r="H3668" t="str">
        <f t="shared" si="174"/>
        <v/>
      </c>
      <c r="M3668" s="34">
        <f t="shared" si="175"/>
        <v>0</v>
      </c>
    </row>
    <row r="3669" spans="7:13" x14ac:dyDescent="0.25">
      <c r="G3669" s="10" t="str">
        <f t="shared" si="173"/>
        <v/>
      </c>
      <c r="H3669" t="str">
        <f t="shared" si="174"/>
        <v/>
      </c>
      <c r="M3669" s="34">
        <f t="shared" si="175"/>
        <v>0</v>
      </c>
    </row>
    <row r="3670" spans="7:13" x14ac:dyDescent="0.25">
      <c r="G3670" s="10" t="str">
        <f t="shared" si="173"/>
        <v/>
      </c>
      <c r="H3670" t="str">
        <f t="shared" si="174"/>
        <v/>
      </c>
      <c r="M3670" s="34">
        <f t="shared" si="175"/>
        <v>0</v>
      </c>
    </row>
    <row r="3671" spans="7:13" x14ac:dyDescent="0.25">
      <c r="G3671" s="10" t="str">
        <f t="shared" si="173"/>
        <v/>
      </c>
      <c r="H3671" t="str">
        <f t="shared" si="174"/>
        <v/>
      </c>
      <c r="M3671" s="34">
        <f t="shared" si="175"/>
        <v>0</v>
      </c>
    </row>
    <row r="3672" spans="7:13" x14ac:dyDescent="0.25">
      <c r="G3672" s="10" t="str">
        <f t="shared" si="173"/>
        <v/>
      </c>
      <c r="H3672" t="str">
        <f t="shared" si="174"/>
        <v/>
      </c>
      <c r="M3672" s="34">
        <f t="shared" si="175"/>
        <v>0</v>
      </c>
    </row>
    <row r="3673" spans="7:13" x14ac:dyDescent="0.25">
      <c r="G3673" s="10" t="str">
        <f t="shared" si="173"/>
        <v/>
      </c>
      <c r="H3673" t="str">
        <f t="shared" si="174"/>
        <v/>
      </c>
      <c r="M3673" s="34">
        <f t="shared" si="175"/>
        <v>0</v>
      </c>
    </row>
    <row r="3674" spans="7:13" x14ac:dyDescent="0.25">
      <c r="G3674" s="10" t="str">
        <f t="shared" si="173"/>
        <v/>
      </c>
      <c r="H3674" t="str">
        <f t="shared" si="174"/>
        <v/>
      </c>
      <c r="M3674" s="34">
        <f t="shared" si="175"/>
        <v>0</v>
      </c>
    </row>
    <row r="3675" spans="7:13" x14ac:dyDescent="0.25">
      <c r="G3675" s="10" t="str">
        <f t="shared" si="173"/>
        <v/>
      </c>
      <c r="H3675" t="str">
        <f t="shared" si="174"/>
        <v/>
      </c>
      <c r="M3675" s="34">
        <f t="shared" si="175"/>
        <v>0</v>
      </c>
    </row>
    <row r="3676" spans="7:13" x14ac:dyDescent="0.25">
      <c r="G3676" s="10" t="str">
        <f t="shared" si="173"/>
        <v/>
      </c>
      <c r="H3676" t="str">
        <f t="shared" si="174"/>
        <v/>
      </c>
      <c r="M3676" s="34">
        <f t="shared" si="175"/>
        <v>0</v>
      </c>
    </row>
    <row r="3677" spans="7:13" x14ac:dyDescent="0.25">
      <c r="G3677" s="10" t="str">
        <f t="shared" si="173"/>
        <v/>
      </c>
      <c r="H3677" t="str">
        <f t="shared" si="174"/>
        <v/>
      </c>
      <c r="M3677" s="34">
        <f t="shared" si="175"/>
        <v>0</v>
      </c>
    </row>
    <row r="3678" spans="7:13" x14ac:dyDescent="0.25">
      <c r="G3678" s="10" t="str">
        <f t="shared" si="173"/>
        <v/>
      </c>
      <c r="H3678" t="str">
        <f t="shared" si="174"/>
        <v/>
      </c>
      <c r="M3678" s="34">
        <f t="shared" si="175"/>
        <v>0</v>
      </c>
    </row>
    <row r="3679" spans="7:13" x14ac:dyDescent="0.25">
      <c r="G3679" s="10" t="str">
        <f t="shared" si="173"/>
        <v/>
      </c>
      <c r="H3679" t="str">
        <f t="shared" si="174"/>
        <v/>
      </c>
      <c r="M3679" s="34">
        <f t="shared" si="175"/>
        <v>0</v>
      </c>
    </row>
    <row r="3680" spans="7:13" x14ac:dyDescent="0.25">
      <c r="G3680" s="10" t="str">
        <f t="shared" si="173"/>
        <v/>
      </c>
      <c r="H3680" t="str">
        <f t="shared" si="174"/>
        <v/>
      </c>
      <c r="M3680" s="34">
        <f t="shared" si="175"/>
        <v>0</v>
      </c>
    </row>
    <row r="3681" spans="7:13" x14ac:dyDescent="0.25">
      <c r="G3681" s="10" t="str">
        <f t="shared" si="173"/>
        <v/>
      </c>
      <c r="H3681" t="str">
        <f t="shared" si="174"/>
        <v/>
      </c>
      <c r="M3681" s="34">
        <f t="shared" si="175"/>
        <v>0</v>
      </c>
    </row>
    <row r="3682" spans="7:13" x14ac:dyDescent="0.25">
      <c r="G3682" s="10" t="str">
        <f t="shared" si="173"/>
        <v/>
      </c>
      <c r="H3682" t="str">
        <f t="shared" si="174"/>
        <v/>
      </c>
      <c r="M3682" s="34">
        <f t="shared" si="175"/>
        <v>0</v>
      </c>
    </row>
    <row r="3683" spans="7:13" x14ac:dyDescent="0.25">
      <c r="G3683" s="10" t="str">
        <f t="shared" si="173"/>
        <v/>
      </c>
      <c r="H3683" t="str">
        <f t="shared" si="174"/>
        <v/>
      </c>
      <c r="M3683" s="34">
        <f t="shared" si="175"/>
        <v>0</v>
      </c>
    </row>
    <row r="3684" spans="7:13" x14ac:dyDescent="0.25">
      <c r="G3684" s="10" t="str">
        <f t="shared" si="173"/>
        <v/>
      </c>
      <c r="H3684" t="str">
        <f t="shared" si="174"/>
        <v/>
      </c>
      <c r="M3684" s="34">
        <f t="shared" si="175"/>
        <v>0</v>
      </c>
    </row>
    <row r="3685" spans="7:13" x14ac:dyDescent="0.25">
      <c r="G3685" s="10" t="str">
        <f t="shared" si="173"/>
        <v/>
      </c>
      <c r="H3685" t="str">
        <f t="shared" si="174"/>
        <v/>
      </c>
      <c r="M3685" s="34">
        <f t="shared" si="175"/>
        <v>0</v>
      </c>
    </row>
    <row r="3686" spans="7:13" x14ac:dyDescent="0.25">
      <c r="G3686" s="10" t="str">
        <f t="shared" si="173"/>
        <v/>
      </c>
      <c r="H3686" t="str">
        <f t="shared" si="174"/>
        <v/>
      </c>
      <c r="M3686" s="34">
        <f t="shared" si="175"/>
        <v>0</v>
      </c>
    </row>
    <row r="3687" spans="7:13" x14ac:dyDescent="0.25">
      <c r="G3687" s="10" t="str">
        <f t="shared" si="173"/>
        <v/>
      </c>
      <c r="H3687" t="str">
        <f t="shared" si="174"/>
        <v/>
      </c>
      <c r="M3687" s="34">
        <f t="shared" si="175"/>
        <v>0</v>
      </c>
    </row>
    <row r="3688" spans="7:13" x14ac:dyDescent="0.25">
      <c r="G3688" s="10" t="str">
        <f t="shared" si="173"/>
        <v/>
      </c>
      <c r="H3688" t="str">
        <f t="shared" si="174"/>
        <v/>
      </c>
      <c r="M3688" s="34">
        <f t="shared" si="175"/>
        <v>0</v>
      </c>
    </row>
    <row r="3689" spans="7:13" x14ac:dyDescent="0.25">
      <c r="G3689" s="10" t="str">
        <f t="shared" si="173"/>
        <v/>
      </c>
      <c r="H3689" t="str">
        <f t="shared" si="174"/>
        <v/>
      </c>
      <c r="M3689" s="34">
        <f t="shared" si="175"/>
        <v>0</v>
      </c>
    </row>
    <row r="3690" spans="7:13" x14ac:dyDescent="0.25">
      <c r="G3690" s="10" t="str">
        <f t="shared" si="173"/>
        <v/>
      </c>
      <c r="H3690" t="str">
        <f t="shared" si="174"/>
        <v/>
      </c>
      <c r="M3690" s="34">
        <f t="shared" si="175"/>
        <v>0</v>
      </c>
    </row>
    <row r="3691" spans="7:13" x14ac:dyDescent="0.25">
      <c r="G3691" s="10" t="str">
        <f t="shared" si="173"/>
        <v/>
      </c>
      <c r="H3691" t="str">
        <f t="shared" si="174"/>
        <v/>
      </c>
      <c r="M3691" s="34">
        <f t="shared" si="175"/>
        <v>0</v>
      </c>
    </row>
    <row r="3692" spans="7:13" x14ac:dyDescent="0.25">
      <c r="G3692" s="10" t="str">
        <f t="shared" si="173"/>
        <v/>
      </c>
      <c r="H3692" t="str">
        <f t="shared" si="174"/>
        <v/>
      </c>
      <c r="M3692" s="34">
        <f t="shared" si="175"/>
        <v>0</v>
      </c>
    </row>
    <row r="3693" spans="7:13" x14ac:dyDescent="0.25">
      <c r="G3693" s="10" t="str">
        <f t="shared" si="173"/>
        <v/>
      </c>
      <c r="H3693" t="str">
        <f t="shared" si="174"/>
        <v/>
      </c>
      <c r="M3693" s="34">
        <f t="shared" si="175"/>
        <v>0</v>
      </c>
    </row>
    <row r="3694" spans="7:13" x14ac:dyDescent="0.25">
      <c r="G3694" s="10" t="str">
        <f t="shared" si="173"/>
        <v/>
      </c>
      <c r="H3694" t="str">
        <f t="shared" si="174"/>
        <v/>
      </c>
      <c r="M3694" s="34">
        <f t="shared" si="175"/>
        <v>0</v>
      </c>
    </row>
    <row r="3695" spans="7:13" x14ac:dyDescent="0.25">
      <c r="G3695" s="10" t="str">
        <f t="shared" si="173"/>
        <v/>
      </c>
      <c r="H3695" t="str">
        <f t="shared" si="174"/>
        <v/>
      </c>
      <c r="M3695" s="34">
        <f t="shared" si="175"/>
        <v>0</v>
      </c>
    </row>
    <row r="3696" spans="7:13" x14ac:dyDescent="0.25">
      <c r="G3696" s="10" t="str">
        <f t="shared" si="173"/>
        <v/>
      </c>
      <c r="H3696" t="str">
        <f t="shared" si="174"/>
        <v/>
      </c>
      <c r="M3696" s="34">
        <f t="shared" si="175"/>
        <v>0</v>
      </c>
    </row>
    <row r="3697" spans="7:13" x14ac:dyDescent="0.25">
      <c r="G3697" s="10" t="str">
        <f t="shared" si="173"/>
        <v/>
      </c>
      <c r="H3697" t="str">
        <f t="shared" si="174"/>
        <v/>
      </c>
      <c r="M3697" s="34">
        <f t="shared" si="175"/>
        <v>0</v>
      </c>
    </row>
    <row r="3698" spans="7:13" x14ac:dyDescent="0.25">
      <c r="G3698" s="10" t="str">
        <f t="shared" si="173"/>
        <v/>
      </c>
      <c r="H3698" t="str">
        <f t="shared" si="174"/>
        <v/>
      </c>
      <c r="M3698" s="34">
        <f t="shared" si="175"/>
        <v>0</v>
      </c>
    </row>
    <row r="3699" spans="7:13" x14ac:dyDescent="0.25">
      <c r="G3699" s="10" t="str">
        <f t="shared" si="173"/>
        <v/>
      </c>
      <c r="H3699" t="str">
        <f t="shared" si="174"/>
        <v/>
      </c>
      <c r="M3699" s="34">
        <f t="shared" si="175"/>
        <v>0</v>
      </c>
    </row>
    <row r="3700" spans="7:13" x14ac:dyDescent="0.25">
      <c r="G3700" s="10" t="str">
        <f t="shared" si="173"/>
        <v/>
      </c>
      <c r="H3700" t="str">
        <f t="shared" si="174"/>
        <v/>
      </c>
      <c r="M3700" s="34">
        <f t="shared" si="175"/>
        <v>0</v>
      </c>
    </row>
    <row r="3701" spans="7:13" x14ac:dyDescent="0.25">
      <c r="G3701" s="10" t="str">
        <f t="shared" si="173"/>
        <v/>
      </c>
      <c r="H3701" t="str">
        <f t="shared" si="174"/>
        <v/>
      </c>
      <c r="M3701" s="34">
        <f t="shared" si="175"/>
        <v>0</v>
      </c>
    </row>
    <row r="3702" spans="7:13" x14ac:dyDescent="0.25">
      <c r="G3702" s="10" t="str">
        <f t="shared" si="173"/>
        <v/>
      </c>
      <c r="H3702" t="str">
        <f t="shared" si="174"/>
        <v/>
      </c>
      <c r="M3702" s="34">
        <f t="shared" si="175"/>
        <v>0</v>
      </c>
    </row>
    <row r="3703" spans="7:13" x14ac:dyDescent="0.25">
      <c r="G3703" s="10" t="str">
        <f t="shared" si="173"/>
        <v/>
      </c>
      <c r="H3703" t="str">
        <f t="shared" si="174"/>
        <v/>
      </c>
      <c r="M3703" s="34">
        <f t="shared" si="175"/>
        <v>0</v>
      </c>
    </row>
    <row r="3704" spans="7:13" x14ac:dyDescent="0.25">
      <c r="G3704" s="10" t="str">
        <f t="shared" si="173"/>
        <v/>
      </c>
      <c r="H3704" t="str">
        <f t="shared" si="174"/>
        <v/>
      </c>
      <c r="M3704" s="34">
        <f t="shared" si="175"/>
        <v>0</v>
      </c>
    </row>
    <row r="3705" spans="7:13" x14ac:dyDescent="0.25">
      <c r="G3705" s="10" t="str">
        <f t="shared" si="173"/>
        <v/>
      </c>
      <c r="H3705" t="str">
        <f t="shared" si="174"/>
        <v/>
      </c>
      <c r="M3705" s="34">
        <f t="shared" si="175"/>
        <v>0</v>
      </c>
    </row>
    <row r="3706" spans="7:13" x14ac:dyDescent="0.25">
      <c r="G3706" s="10" t="str">
        <f t="shared" si="173"/>
        <v/>
      </c>
      <c r="H3706" t="str">
        <f t="shared" si="174"/>
        <v/>
      </c>
      <c r="M3706" s="34">
        <f t="shared" si="175"/>
        <v>0</v>
      </c>
    </row>
    <row r="3707" spans="7:13" x14ac:dyDescent="0.25">
      <c r="G3707" s="10" t="str">
        <f t="shared" si="173"/>
        <v/>
      </c>
      <c r="H3707" t="str">
        <f t="shared" si="174"/>
        <v/>
      </c>
      <c r="M3707" s="34">
        <f t="shared" si="175"/>
        <v>0</v>
      </c>
    </row>
    <row r="3708" spans="7:13" x14ac:dyDescent="0.25">
      <c r="G3708" s="10" t="str">
        <f t="shared" si="173"/>
        <v/>
      </c>
      <c r="H3708" t="str">
        <f t="shared" si="174"/>
        <v/>
      </c>
      <c r="M3708" s="34">
        <f t="shared" si="175"/>
        <v>0</v>
      </c>
    </row>
    <row r="3709" spans="7:13" x14ac:dyDescent="0.25">
      <c r="G3709" s="10" t="str">
        <f t="shared" si="173"/>
        <v/>
      </c>
      <c r="H3709" t="str">
        <f t="shared" si="174"/>
        <v/>
      </c>
      <c r="M3709" s="34">
        <f t="shared" si="175"/>
        <v>0</v>
      </c>
    </row>
    <row r="3710" spans="7:13" x14ac:dyDescent="0.25">
      <c r="G3710" s="10" t="str">
        <f t="shared" si="173"/>
        <v/>
      </c>
      <c r="H3710" t="str">
        <f t="shared" si="174"/>
        <v/>
      </c>
      <c r="M3710" s="34">
        <f t="shared" si="175"/>
        <v>0</v>
      </c>
    </row>
    <row r="3711" spans="7:13" x14ac:dyDescent="0.25">
      <c r="G3711" s="10" t="str">
        <f t="shared" si="173"/>
        <v/>
      </c>
      <c r="H3711" t="str">
        <f t="shared" si="174"/>
        <v/>
      </c>
      <c r="M3711" s="34">
        <f t="shared" si="175"/>
        <v>0</v>
      </c>
    </row>
    <row r="3712" spans="7:13" x14ac:dyDescent="0.25">
      <c r="G3712" s="10" t="str">
        <f t="shared" si="173"/>
        <v/>
      </c>
      <c r="H3712" t="str">
        <f t="shared" si="174"/>
        <v/>
      </c>
      <c r="M3712" s="34">
        <f t="shared" si="175"/>
        <v>0</v>
      </c>
    </row>
    <row r="3713" spans="7:13" x14ac:dyDescent="0.25">
      <c r="G3713" s="10" t="str">
        <f t="shared" si="173"/>
        <v/>
      </c>
      <c r="H3713" t="str">
        <f t="shared" si="174"/>
        <v/>
      </c>
      <c r="M3713" s="34">
        <f t="shared" si="175"/>
        <v>0</v>
      </c>
    </row>
    <row r="3714" spans="7:13" x14ac:dyDescent="0.25">
      <c r="G3714" s="10" t="str">
        <f t="shared" ref="G3714:G3777" si="176">IF(F3714&gt;0,"RECETTE",IF(F3714&lt;0,"DÉPENSE",""))</f>
        <v/>
      </c>
      <c r="H3714" t="str">
        <f t="shared" ref="H3714:H3777" si="177">+IF(ISNUMBER(D3714),D3714,"")</f>
        <v/>
      </c>
      <c r="M3714" s="34">
        <f t="shared" si="175"/>
        <v>0</v>
      </c>
    </row>
    <row r="3715" spans="7:13" x14ac:dyDescent="0.25">
      <c r="G3715" s="10" t="str">
        <f t="shared" si="176"/>
        <v/>
      </c>
      <c r="H3715" t="str">
        <f t="shared" si="177"/>
        <v/>
      </c>
      <c r="M3715" s="34">
        <f t="shared" ref="M3715:M3778" si="178">IF(AND(E3715="Chèque",G3715="RECETTE"),F3715,0)</f>
        <v>0</v>
      </c>
    </row>
    <row r="3716" spans="7:13" x14ac:dyDescent="0.25">
      <c r="G3716" s="10" t="str">
        <f t="shared" si="176"/>
        <v/>
      </c>
      <c r="H3716" t="str">
        <f t="shared" si="177"/>
        <v/>
      </c>
      <c r="M3716" s="34">
        <f t="shared" si="178"/>
        <v>0</v>
      </c>
    </row>
    <row r="3717" spans="7:13" x14ac:dyDescent="0.25">
      <c r="G3717" s="10" t="str">
        <f t="shared" si="176"/>
        <v/>
      </c>
      <c r="H3717" t="str">
        <f t="shared" si="177"/>
        <v/>
      </c>
      <c r="M3717" s="34">
        <f t="shared" si="178"/>
        <v>0</v>
      </c>
    </row>
    <row r="3718" spans="7:13" x14ac:dyDescent="0.25">
      <c r="G3718" s="10" t="str">
        <f t="shared" si="176"/>
        <v/>
      </c>
      <c r="H3718" t="str">
        <f t="shared" si="177"/>
        <v/>
      </c>
      <c r="M3718" s="34">
        <f t="shared" si="178"/>
        <v>0</v>
      </c>
    </row>
    <row r="3719" spans="7:13" x14ac:dyDescent="0.25">
      <c r="G3719" s="10" t="str">
        <f t="shared" si="176"/>
        <v/>
      </c>
      <c r="H3719" t="str">
        <f t="shared" si="177"/>
        <v/>
      </c>
      <c r="M3719" s="34">
        <f t="shared" si="178"/>
        <v>0</v>
      </c>
    </row>
    <row r="3720" spans="7:13" x14ac:dyDescent="0.25">
      <c r="G3720" s="10" t="str">
        <f t="shared" si="176"/>
        <v/>
      </c>
      <c r="H3720" t="str">
        <f t="shared" si="177"/>
        <v/>
      </c>
      <c r="M3720" s="34">
        <f t="shared" si="178"/>
        <v>0</v>
      </c>
    </row>
    <row r="3721" spans="7:13" x14ac:dyDescent="0.25">
      <c r="G3721" s="10" t="str">
        <f t="shared" si="176"/>
        <v/>
      </c>
      <c r="H3721" t="str">
        <f t="shared" si="177"/>
        <v/>
      </c>
      <c r="M3721" s="34">
        <f t="shared" si="178"/>
        <v>0</v>
      </c>
    </row>
    <row r="3722" spans="7:13" x14ac:dyDescent="0.25">
      <c r="G3722" s="10" t="str">
        <f t="shared" si="176"/>
        <v/>
      </c>
      <c r="H3722" t="str">
        <f t="shared" si="177"/>
        <v/>
      </c>
      <c r="M3722" s="34">
        <f t="shared" si="178"/>
        <v>0</v>
      </c>
    </row>
    <row r="3723" spans="7:13" x14ac:dyDescent="0.25">
      <c r="G3723" s="10" t="str">
        <f t="shared" si="176"/>
        <v/>
      </c>
      <c r="H3723" t="str">
        <f t="shared" si="177"/>
        <v/>
      </c>
      <c r="M3723" s="34">
        <f t="shared" si="178"/>
        <v>0</v>
      </c>
    </row>
    <row r="3724" spans="7:13" x14ac:dyDescent="0.25">
      <c r="G3724" s="10" t="str">
        <f t="shared" si="176"/>
        <v/>
      </c>
      <c r="H3724" t="str">
        <f t="shared" si="177"/>
        <v/>
      </c>
      <c r="M3724" s="34">
        <f t="shared" si="178"/>
        <v>0</v>
      </c>
    </row>
    <row r="3725" spans="7:13" x14ac:dyDescent="0.25">
      <c r="G3725" s="10" t="str">
        <f t="shared" si="176"/>
        <v/>
      </c>
      <c r="H3725" t="str">
        <f t="shared" si="177"/>
        <v/>
      </c>
      <c r="M3725" s="34">
        <f t="shared" si="178"/>
        <v>0</v>
      </c>
    </row>
    <row r="3726" spans="7:13" x14ac:dyDescent="0.25">
      <c r="G3726" s="10" t="str">
        <f t="shared" si="176"/>
        <v/>
      </c>
      <c r="H3726" t="str">
        <f t="shared" si="177"/>
        <v/>
      </c>
      <c r="M3726" s="34">
        <f t="shared" si="178"/>
        <v>0</v>
      </c>
    </row>
    <row r="3727" spans="7:13" x14ac:dyDescent="0.25">
      <c r="G3727" s="10" t="str">
        <f t="shared" si="176"/>
        <v/>
      </c>
      <c r="H3727" t="str">
        <f t="shared" si="177"/>
        <v/>
      </c>
      <c r="M3727" s="34">
        <f t="shared" si="178"/>
        <v>0</v>
      </c>
    </row>
    <row r="3728" spans="7:13" x14ac:dyDescent="0.25">
      <c r="G3728" s="10" t="str">
        <f t="shared" si="176"/>
        <v/>
      </c>
      <c r="H3728" t="str">
        <f t="shared" si="177"/>
        <v/>
      </c>
      <c r="M3728" s="34">
        <f t="shared" si="178"/>
        <v>0</v>
      </c>
    </row>
    <row r="3729" spans="7:13" x14ac:dyDescent="0.25">
      <c r="G3729" s="10" t="str">
        <f t="shared" si="176"/>
        <v/>
      </c>
      <c r="H3729" t="str">
        <f t="shared" si="177"/>
        <v/>
      </c>
      <c r="M3729" s="34">
        <f t="shared" si="178"/>
        <v>0</v>
      </c>
    </row>
    <row r="3730" spans="7:13" x14ac:dyDescent="0.25">
      <c r="G3730" s="10" t="str">
        <f t="shared" si="176"/>
        <v/>
      </c>
      <c r="H3730" t="str">
        <f t="shared" si="177"/>
        <v/>
      </c>
      <c r="M3730" s="34">
        <f t="shared" si="178"/>
        <v>0</v>
      </c>
    </row>
    <row r="3731" spans="7:13" x14ac:dyDescent="0.25">
      <c r="G3731" s="10" t="str">
        <f t="shared" si="176"/>
        <v/>
      </c>
      <c r="H3731" t="str">
        <f t="shared" si="177"/>
        <v/>
      </c>
      <c r="M3731" s="34">
        <f t="shared" si="178"/>
        <v>0</v>
      </c>
    </row>
    <row r="3732" spans="7:13" x14ac:dyDescent="0.25">
      <c r="G3732" s="10" t="str">
        <f t="shared" si="176"/>
        <v/>
      </c>
      <c r="H3732" t="str">
        <f t="shared" si="177"/>
        <v/>
      </c>
      <c r="M3732" s="34">
        <f t="shared" si="178"/>
        <v>0</v>
      </c>
    </row>
    <row r="3733" spans="7:13" x14ac:dyDescent="0.25">
      <c r="G3733" s="10" t="str">
        <f t="shared" si="176"/>
        <v/>
      </c>
      <c r="H3733" t="str">
        <f t="shared" si="177"/>
        <v/>
      </c>
      <c r="M3733" s="34">
        <f t="shared" si="178"/>
        <v>0</v>
      </c>
    </row>
    <row r="3734" spans="7:13" x14ac:dyDescent="0.25">
      <c r="G3734" s="10" t="str">
        <f t="shared" si="176"/>
        <v/>
      </c>
      <c r="H3734" t="str">
        <f t="shared" si="177"/>
        <v/>
      </c>
      <c r="M3734" s="34">
        <f t="shared" si="178"/>
        <v>0</v>
      </c>
    </row>
    <row r="3735" spans="7:13" x14ac:dyDescent="0.25">
      <c r="G3735" s="10" t="str">
        <f t="shared" si="176"/>
        <v/>
      </c>
      <c r="H3735" t="str">
        <f t="shared" si="177"/>
        <v/>
      </c>
      <c r="M3735" s="34">
        <f t="shared" si="178"/>
        <v>0</v>
      </c>
    </row>
    <row r="3736" spans="7:13" x14ac:dyDescent="0.25">
      <c r="G3736" s="10" t="str">
        <f t="shared" si="176"/>
        <v/>
      </c>
      <c r="H3736" t="str">
        <f t="shared" si="177"/>
        <v/>
      </c>
      <c r="M3736" s="34">
        <f t="shared" si="178"/>
        <v>0</v>
      </c>
    </row>
    <row r="3737" spans="7:13" x14ac:dyDescent="0.25">
      <c r="G3737" s="10" t="str">
        <f t="shared" si="176"/>
        <v/>
      </c>
      <c r="H3737" t="str">
        <f t="shared" si="177"/>
        <v/>
      </c>
      <c r="M3737" s="34">
        <f t="shared" si="178"/>
        <v>0</v>
      </c>
    </row>
    <row r="3738" spans="7:13" x14ac:dyDescent="0.25">
      <c r="G3738" s="10" t="str">
        <f t="shared" si="176"/>
        <v/>
      </c>
      <c r="H3738" t="str">
        <f t="shared" si="177"/>
        <v/>
      </c>
      <c r="M3738" s="34">
        <f t="shared" si="178"/>
        <v>0</v>
      </c>
    </row>
    <row r="3739" spans="7:13" x14ac:dyDescent="0.25">
      <c r="G3739" s="10" t="str">
        <f t="shared" si="176"/>
        <v/>
      </c>
      <c r="H3739" t="str">
        <f t="shared" si="177"/>
        <v/>
      </c>
      <c r="M3739" s="34">
        <f t="shared" si="178"/>
        <v>0</v>
      </c>
    </row>
    <row r="3740" spans="7:13" x14ac:dyDescent="0.25">
      <c r="G3740" s="10" t="str">
        <f t="shared" si="176"/>
        <v/>
      </c>
      <c r="H3740" t="str">
        <f t="shared" si="177"/>
        <v/>
      </c>
      <c r="M3740" s="34">
        <f t="shared" si="178"/>
        <v>0</v>
      </c>
    </row>
    <row r="3741" spans="7:13" x14ac:dyDescent="0.25">
      <c r="G3741" s="10" t="str">
        <f t="shared" si="176"/>
        <v/>
      </c>
      <c r="H3741" t="str">
        <f t="shared" si="177"/>
        <v/>
      </c>
      <c r="M3741" s="34">
        <f t="shared" si="178"/>
        <v>0</v>
      </c>
    </row>
    <row r="3742" spans="7:13" x14ac:dyDescent="0.25">
      <c r="G3742" s="10" t="str">
        <f t="shared" si="176"/>
        <v/>
      </c>
      <c r="H3742" t="str">
        <f t="shared" si="177"/>
        <v/>
      </c>
      <c r="M3742" s="34">
        <f t="shared" si="178"/>
        <v>0</v>
      </c>
    </row>
    <row r="3743" spans="7:13" x14ac:dyDescent="0.25">
      <c r="G3743" s="10" t="str">
        <f t="shared" si="176"/>
        <v/>
      </c>
      <c r="H3743" t="str">
        <f t="shared" si="177"/>
        <v/>
      </c>
      <c r="M3743" s="34">
        <f t="shared" si="178"/>
        <v>0</v>
      </c>
    </row>
    <row r="3744" spans="7:13" x14ac:dyDescent="0.25">
      <c r="G3744" s="10" t="str">
        <f t="shared" si="176"/>
        <v/>
      </c>
      <c r="H3744" t="str">
        <f t="shared" si="177"/>
        <v/>
      </c>
      <c r="M3744" s="34">
        <f t="shared" si="178"/>
        <v>0</v>
      </c>
    </row>
    <row r="3745" spans="7:13" x14ac:dyDescent="0.25">
      <c r="G3745" s="10" t="str">
        <f t="shared" si="176"/>
        <v/>
      </c>
      <c r="H3745" t="str">
        <f t="shared" si="177"/>
        <v/>
      </c>
      <c r="M3745" s="34">
        <f t="shared" si="178"/>
        <v>0</v>
      </c>
    </row>
    <row r="3746" spans="7:13" x14ac:dyDescent="0.25">
      <c r="G3746" s="10" t="str">
        <f t="shared" si="176"/>
        <v/>
      </c>
      <c r="H3746" t="str">
        <f t="shared" si="177"/>
        <v/>
      </c>
      <c r="M3746" s="34">
        <f t="shared" si="178"/>
        <v>0</v>
      </c>
    </row>
    <row r="3747" spans="7:13" x14ac:dyDescent="0.25">
      <c r="G3747" s="10" t="str">
        <f t="shared" si="176"/>
        <v/>
      </c>
      <c r="H3747" t="str">
        <f t="shared" si="177"/>
        <v/>
      </c>
      <c r="M3747" s="34">
        <f t="shared" si="178"/>
        <v>0</v>
      </c>
    </row>
    <row r="3748" spans="7:13" x14ac:dyDescent="0.25">
      <c r="G3748" s="10" t="str">
        <f t="shared" si="176"/>
        <v/>
      </c>
      <c r="H3748" t="str">
        <f t="shared" si="177"/>
        <v/>
      </c>
      <c r="M3748" s="34">
        <f t="shared" si="178"/>
        <v>0</v>
      </c>
    </row>
    <row r="3749" spans="7:13" x14ac:dyDescent="0.25">
      <c r="G3749" s="10" t="str">
        <f t="shared" si="176"/>
        <v/>
      </c>
      <c r="H3749" t="str">
        <f t="shared" si="177"/>
        <v/>
      </c>
      <c r="M3749" s="34">
        <f t="shared" si="178"/>
        <v>0</v>
      </c>
    </row>
    <row r="3750" spans="7:13" x14ac:dyDescent="0.25">
      <c r="G3750" s="10" t="str">
        <f t="shared" si="176"/>
        <v/>
      </c>
      <c r="H3750" t="str">
        <f t="shared" si="177"/>
        <v/>
      </c>
      <c r="M3750" s="34">
        <f t="shared" si="178"/>
        <v>0</v>
      </c>
    </row>
    <row r="3751" spans="7:13" x14ac:dyDescent="0.25">
      <c r="G3751" s="10" t="str">
        <f t="shared" si="176"/>
        <v/>
      </c>
      <c r="H3751" t="str">
        <f t="shared" si="177"/>
        <v/>
      </c>
      <c r="M3751" s="34">
        <f t="shared" si="178"/>
        <v>0</v>
      </c>
    </row>
    <row r="3752" spans="7:13" x14ac:dyDescent="0.25">
      <c r="G3752" s="10" t="str">
        <f t="shared" si="176"/>
        <v/>
      </c>
      <c r="H3752" t="str">
        <f t="shared" si="177"/>
        <v/>
      </c>
      <c r="M3752" s="34">
        <f t="shared" si="178"/>
        <v>0</v>
      </c>
    </row>
    <row r="3753" spans="7:13" x14ac:dyDescent="0.25">
      <c r="G3753" s="10" t="str">
        <f t="shared" si="176"/>
        <v/>
      </c>
      <c r="H3753" t="str">
        <f t="shared" si="177"/>
        <v/>
      </c>
      <c r="M3753" s="34">
        <f t="shared" si="178"/>
        <v>0</v>
      </c>
    </row>
    <row r="3754" spans="7:13" x14ac:dyDescent="0.25">
      <c r="G3754" s="10" t="str">
        <f t="shared" si="176"/>
        <v/>
      </c>
      <c r="H3754" t="str">
        <f t="shared" si="177"/>
        <v/>
      </c>
      <c r="M3754" s="34">
        <f t="shared" si="178"/>
        <v>0</v>
      </c>
    </row>
    <row r="3755" spans="7:13" x14ac:dyDescent="0.25">
      <c r="G3755" s="10" t="str">
        <f t="shared" si="176"/>
        <v/>
      </c>
      <c r="H3755" t="str">
        <f t="shared" si="177"/>
        <v/>
      </c>
      <c r="M3755" s="34">
        <f t="shared" si="178"/>
        <v>0</v>
      </c>
    </row>
    <row r="3756" spans="7:13" x14ac:dyDescent="0.25">
      <c r="G3756" s="10" t="str">
        <f t="shared" si="176"/>
        <v/>
      </c>
      <c r="H3756" t="str">
        <f t="shared" si="177"/>
        <v/>
      </c>
      <c r="M3756" s="34">
        <f t="shared" si="178"/>
        <v>0</v>
      </c>
    </row>
    <row r="3757" spans="7:13" x14ac:dyDescent="0.25">
      <c r="G3757" s="10" t="str">
        <f t="shared" si="176"/>
        <v/>
      </c>
      <c r="H3757" t="str">
        <f t="shared" si="177"/>
        <v/>
      </c>
      <c r="M3757" s="34">
        <f t="shared" si="178"/>
        <v>0</v>
      </c>
    </row>
    <row r="3758" spans="7:13" x14ac:dyDescent="0.25">
      <c r="G3758" s="10" t="str">
        <f t="shared" si="176"/>
        <v/>
      </c>
      <c r="H3758" t="str">
        <f t="shared" si="177"/>
        <v/>
      </c>
      <c r="M3758" s="34">
        <f t="shared" si="178"/>
        <v>0</v>
      </c>
    </row>
    <row r="3759" spans="7:13" x14ac:dyDescent="0.25">
      <c r="G3759" s="10" t="str">
        <f t="shared" si="176"/>
        <v/>
      </c>
      <c r="H3759" t="str">
        <f t="shared" si="177"/>
        <v/>
      </c>
      <c r="M3759" s="34">
        <f t="shared" si="178"/>
        <v>0</v>
      </c>
    </row>
    <row r="3760" spans="7:13" x14ac:dyDescent="0.25">
      <c r="G3760" s="10" t="str">
        <f t="shared" si="176"/>
        <v/>
      </c>
      <c r="H3760" t="str">
        <f t="shared" si="177"/>
        <v/>
      </c>
      <c r="M3760" s="34">
        <f t="shared" si="178"/>
        <v>0</v>
      </c>
    </row>
    <row r="3761" spans="7:13" x14ac:dyDescent="0.25">
      <c r="G3761" s="10" t="str">
        <f t="shared" si="176"/>
        <v/>
      </c>
      <c r="H3761" t="str">
        <f t="shared" si="177"/>
        <v/>
      </c>
      <c r="M3761" s="34">
        <f t="shared" si="178"/>
        <v>0</v>
      </c>
    </row>
    <row r="3762" spans="7:13" x14ac:dyDescent="0.25">
      <c r="G3762" s="10" t="str">
        <f t="shared" si="176"/>
        <v/>
      </c>
      <c r="H3762" t="str">
        <f t="shared" si="177"/>
        <v/>
      </c>
      <c r="M3762" s="34">
        <f t="shared" si="178"/>
        <v>0</v>
      </c>
    </row>
    <row r="3763" spans="7:13" x14ac:dyDescent="0.25">
      <c r="G3763" s="10" t="str">
        <f t="shared" si="176"/>
        <v/>
      </c>
      <c r="H3763" t="str">
        <f t="shared" si="177"/>
        <v/>
      </c>
      <c r="M3763" s="34">
        <f t="shared" si="178"/>
        <v>0</v>
      </c>
    </row>
    <row r="3764" spans="7:13" x14ac:dyDescent="0.25">
      <c r="G3764" s="10" t="str">
        <f t="shared" si="176"/>
        <v/>
      </c>
      <c r="H3764" t="str">
        <f t="shared" si="177"/>
        <v/>
      </c>
      <c r="M3764" s="34">
        <f t="shared" si="178"/>
        <v>0</v>
      </c>
    </row>
    <row r="3765" spans="7:13" x14ac:dyDescent="0.25">
      <c r="G3765" s="10" t="str">
        <f t="shared" si="176"/>
        <v/>
      </c>
      <c r="H3765" t="str">
        <f t="shared" si="177"/>
        <v/>
      </c>
      <c r="M3765" s="34">
        <f t="shared" si="178"/>
        <v>0</v>
      </c>
    </row>
    <row r="3766" spans="7:13" x14ac:dyDescent="0.25">
      <c r="G3766" s="10" t="str">
        <f t="shared" si="176"/>
        <v/>
      </c>
      <c r="H3766" t="str">
        <f t="shared" si="177"/>
        <v/>
      </c>
      <c r="M3766" s="34">
        <f t="shared" si="178"/>
        <v>0</v>
      </c>
    </row>
    <row r="3767" spans="7:13" x14ac:dyDescent="0.25">
      <c r="G3767" s="10" t="str">
        <f t="shared" si="176"/>
        <v/>
      </c>
      <c r="H3767" t="str">
        <f t="shared" si="177"/>
        <v/>
      </c>
      <c r="M3767" s="34">
        <f t="shared" si="178"/>
        <v>0</v>
      </c>
    </row>
    <row r="3768" spans="7:13" x14ac:dyDescent="0.25">
      <c r="G3768" s="10" t="str">
        <f t="shared" si="176"/>
        <v/>
      </c>
      <c r="H3768" t="str">
        <f t="shared" si="177"/>
        <v/>
      </c>
      <c r="M3768" s="34">
        <f t="shared" si="178"/>
        <v>0</v>
      </c>
    </row>
    <row r="3769" spans="7:13" x14ac:dyDescent="0.25">
      <c r="G3769" s="10" t="str">
        <f t="shared" si="176"/>
        <v/>
      </c>
      <c r="H3769" t="str">
        <f t="shared" si="177"/>
        <v/>
      </c>
      <c r="M3769" s="34">
        <f t="shared" si="178"/>
        <v>0</v>
      </c>
    </row>
    <row r="3770" spans="7:13" x14ac:dyDescent="0.25">
      <c r="G3770" s="10" t="str">
        <f t="shared" si="176"/>
        <v/>
      </c>
      <c r="H3770" t="str">
        <f t="shared" si="177"/>
        <v/>
      </c>
      <c r="M3770" s="34">
        <f t="shared" si="178"/>
        <v>0</v>
      </c>
    </row>
    <row r="3771" spans="7:13" x14ac:dyDescent="0.25">
      <c r="G3771" s="10" t="str">
        <f t="shared" si="176"/>
        <v/>
      </c>
      <c r="H3771" t="str">
        <f t="shared" si="177"/>
        <v/>
      </c>
      <c r="M3771" s="34">
        <f t="shared" si="178"/>
        <v>0</v>
      </c>
    </row>
    <row r="3772" spans="7:13" x14ac:dyDescent="0.25">
      <c r="G3772" s="10" t="str">
        <f t="shared" si="176"/>
        <v/>
      </c>
      <c r="H3772" t="str">
        <f t="shared" si="177"/>
        <v/>
      </c>
      <c r="M3772" s="34">
        <f t="shared" si="178"/>
        <v>0</v>
      </c>
    </row>
    <row r="3773" spans="7:13" x14ac:dyDescent="0.25">
      <c r="G3773" s="10" t="str">
        <f t="shared" si="176"/>
        <v/>
      </c>
      <c r="H3773" t="str">
        <f t="shared" si="177"/>
        <v/>
      </c>
      <c r="M3773" s="34">
        <f t="shared" si="178"/>
        <v>0</v>
      </c>
    </row>
    <row r="3774" spans="7:13" x14ac:dyDescent="0.25">
      <c r="G3774" s="10" t="str">
        <f t="shared" si="176"/>
        <v/>
      </c>
      <c r="H3774" t="str">
        <f t="shared" si="177"/>
        <v/>
      </c>
      <c r="M3774" s="34">
        <f t="shared" si="178"/>
        <v>0</v>
      </c>
    </row>
    <row r="3775" spans="7:13" x14ac:dyDescent="0.25">
      <c r="G3775" s="10" t="str">
        <f t="shared" si="176"/>
        <v/>
      </c>
      <c r="H3775" t="str">
        <f t="shared" si="177"/>
        <v/>
      </c>
      <c r="M3775" s="34">
        <f t="shared" si="178"/>
        <v>0</v>
      </c>
    </row>
    <row r="3776" spans="7:13" x14ac:dyDescent="0.25">
      <c r="G3776" s="10" t="str">
        <f t="shared" si="176"/>
        <v/>
      </c>
      <c r="H3776" t="str">
        <f t="shared" si="177"/>
        <v/>
      </c>
      <c r="M3776" s="34">
        <f t="shared" si="178"/>
        <v>0</v>
      </c>
    </row>
    <row r="3777" spans="7:13" x14ac:dyDescent="0.25">
      <c r="G3777" s="10" t="str">
        <f t="shared" si="176"/>
        <v/>
      </c>
      <c r="H3777" t="str">
        <f t="shared" si="177"/>
        <v/>
      </c>
      <c r="M3777" s="34">
        <f t="shared" si="178"/>
        <v>0</v>
      </c>
    </row>
    <row r="3778" spans="7:13" x14ac:dyDescent="0.25">
      <c r="G3778" s="10" t="str">
        <f t="shared" ref="G3778:G3841" si="179">IF(F3778&gt;0,"RECETTE",IF(F3778&lt;0,"DÉPENSE",""))</f>
        <v/>
      </c>
      <c r="H3778" t="str">
        <f t="shared" ref="H3778:H3841" si="180">+IF(ISNUMBER(D3778),D3778,"")</f>
        <v/>
      </c>
      <c r="M3778" s="34">
        <f t="shared" si="178"/>
        <v>0</v>
      </c>
    </row>
    <row r="3779" spans="7:13" x14ac:dyDescent="0.25">
      <c r="G3779" s="10" t="str">
        <f t="shared" si="179"/>
        <v/>
      </c>
      <c r="H3779" t="str">
        <f t="shared" si="180"/>
        <v/>
      </c>
      <c r="M3779" s="34">
        <f t="shared" ref="M3779:M3842" si="181">IF(AND(E3779="Chèque",G3779="RECETTE"),F3779,0)</f>
        <v>0</v>
      </c>
    </row>
    <row r="3780" spans="7:13" x14ac:dyDescent="0.25">
      <c r="G3780" s="10" t="str">
        <f t="shared" si="179"/>
        <v/>
      </c>
      <c r="H3780" t="str">
        <f t="shared" si="180"/>
        <v/>
      </c>
      <c r="M3780" s="34">
        <f t="shared" si="181"/>
        <v>0</v>
      </c>
    </row>
    <row r="3781" spans="7:13" x14ac:dyDescent="0.25">
      <c r="G3781" s="10" t="str">
        <f t="shared" si="179"/>
        <v/>
      </c>
      <c r="H3781" t="str">
        <f t="shared" si="180"/>
        <v/>
      </c>
      <c r="M3781" s="34">
        <f t="shared" si="181"/>
        <v>0</v>
      </c>
    </row>
    <row r="3782" spans="7:13" x14ac:dyDescent="0.25">
      <c r="G3782" s="10" t="str">
        <f t="shared" si="179"/>
        <v/>
      </c>
      <c r="H3782" t="str">
        <f t="shared" si="180"/>
        <v/>
      </c>
      <c r="M3782" s="34">
        <f t="shared" si="181"/>
        <v>0</v>
      </c>
    </row>
    <row r="3783" spans="7:13" x14ac:dyDescent="0.25">
      <c r="G3783" s="10" t="str">
        <f t="shared" si="179"/>
        <v/>
      </c>
      <c r="H3783" t="str">
        <f t="shared" si="180"/>
        <v/>
      </c>
      <c r="M3783" s="34">
        <f t="shared" si="181"/>
        <v>0</v>
      </c>
    </row>
    <row r="3784" spans="7:13" x14ac:dyDescent="0.25">
      <c r="G3784" s="10" t="str">
        <f t="shared" si="179"/>
        <v/>
      </c>
      <c r="H3784" t="str">
        <f t="shared" si="180"/>
        <v/>
      </c>
      <c r="M3784" s="34">
        <f t="shared" si="181"/>
        <v>0</v>
      </c>
    </row>
    <row r="3785" spans="7:13" x14ac:dyDescent="0.25">
      <c r="G3785" s="10" t="str">
        <f t="shared" si="179"/>
        <v/>
      </c>
      <c r="H3785" t="str">
        <f t="shared" si="180"/>
        <v/>
      </c>
      <c r="M3785" s="34">
        <f t="shared" si="181"/>
        <v>0</v>
      </c>
    </row>
    <row r="3786" spans="7:13" x14ac:dyDescent="0.25">
      <c r="G3786" s="10" t="str">
        <f t="shared" si="179"/>
        <v/>
      </c>
      <c r="H3786" t="str">
        <f t="shared" si="180"/>
        <v/>
      </c>
      <c r="M3786" s="34">
        <f t="shared" si="181"/>
        <v>0</v>
      </c>
    </row>
    <row r="3787" spans="7:13" x14ac:dyDescent="0.25">
      <c r="G3787" s="10" t="str">
        <f t="shared" si="179"/>
        <v/>
      </c>
      <c r="H3787" t="str">
        <f t="shared" si="180"/>
        <v/>
      </c>
      <c r="M3787" s="34">
        <f t="shared" si="181"/>
        <v>0</v>
      </c>
    </row>
    <row r="3788" spans="7:13" x14ac:dyDescent="0.25">
      <c r="G3788" s="10" t="str">
        <f t="shared" si="179"/>
        <v/>
      </c>
      <c r="H3788" t="str">
        <f t="shared" si="180"/>
        <v/>
      </c>
      <c r="M3788" s="34">
        <f t="shared" si="181"/>
        <v>0</v>
      </c>
    </row>
    <row r="3789" spans="7:13" x14ac:dyDescent="0.25">
      <c r="G3789" s="10" t="str">
        <f t="shared" si="179"/>
        <v/>
      </c>
      <c r="H3789" t="str">
        <f t="shared" si="180"/>
        <v/>
      </c>
      <c r="M3789" s="34">
        <f t="shared" si="181"/>
        <v>0</v>
      </c>
    </row>
    <row r="3790" spans="7:13" x14ac:dyDescent="0.25">
      <c r="G3790" s="10" t="str">
        <f t="shared" si="179"/>
        <v/>
      </c>
      <c r="H3790" t="str">
        <f t="shared" si="180"/>
        <v/>
      </c>
      <c r="M3790" s="34">
        <f t="shared" si="181"/>
        <v>0</v>
      </c>
    </row>
    <row r="3791" spans="7:13" x14ac:dyDescent="0.25">
      <c r="G3791" s="10" t="str">
        <f t="shared" si="179"/>
        <v/>
      </c>
      <c r="H3791" t="str">
        <f t="shared" si="180"/>
        <v/>
      </c>
      <c r="M3791" s="34">
        <f t="shared" si="181"/>
        <v>0</v>
      </c>
    </row>
    <row r="3792" spans="7:13" x14ac:dyDescent="0.25">
      <c r="G3792" s="10" t="str">
        <f t="shared" si="179"/>
        <v/>
      </c>
      <c r="H3792" t="str">
        <f t="shared" si="180"/>
        <v/>
      </c>
      <c r="M3792" s="34">
        <f t="shared" si="181"/>
        <v>0</v>
      </c>
    </row>
    <row r="3793" spans="7:13" x14ac:dyDescent="0.25">
      <c r="G3793" s="10" t="str">
        <f t="shared" si="179"/>
        <v/>
      </c>
      <c r="H3793" t="str">
        <f t="shared" si="180"/>
        <v/>
      </c>
      <c r="M3793" s="34">
        <f t="shared" si="181"/>
        <v>0</v>
      </c>
    </row>
    <row r="3794" spans="7:13" x14ac:dyDescent="0.25">
      <c r="G3794" s="10" t="str">
        <f t="shared" si="179"/>
        <v/>
      </c>
      <c r="H3794" t="str">
        <f t="shared" si="180"/>
        <v/>
      </c>
      <c r="M3794" s="34">
        <f t="shared" si="181"/>
        <v>0</v>
      </c>
    </row>
    <row r="3795" spans="7:13" x14ac:dyDescent="0.25">
      <c r="G3795" s="10" t="str">
        <f t="shared" si="179"/>
        <v/>
      </c>
      <c r="H3795" t="str">
        <f t="shared" si="180"/>
        <v/>
      </c>
      <c r="M3795" s="34">
        <f t="shared" si="181"/>
        <v>0</v>
      </c>
    </row>
    <row r="3796" spans="7:13" x14ac:dyDescent="0.25">
      <c r="G3796" s="10" t="str">
        <f t="shared" si="179"/>
        <v/>
      </c>
      <c r="H3796" t="str">
        <f t="shared" si="180"/>
        <v/>
      </c>
      <c r="M3796" s="34">
        <f t="shared" si="181"/>
        <v>0</v>
      </c>
    </row>
    <row r="3797" spans="7:13" x14ac:dyDescent="0.25">
      <c r="G3797" s="10" t="str">
        <f t="shared" si="179"/>
        <v/>
      </c>
      <c r="H3797" t="str">
        <f t="shared" si="180"/>
        <v/>
      </c>
      <c r="M3797" s="34">
        <f t="shared" si="181"/>
        <v>0</v>
      </c>
    </row>
    <row r="3798" spans="7:13" x14ac:dyDescent="0.25">
      <c r="G3798" s="10" t="str">
        <f t="shared" si="179"/>
        <v/>
      </c>
      <c r="H3798" t="str">
        <f t="shared" si="180"/>
        <v/>
      </c>
      <c r="M3798" s="34">
        <f t="shared" si="181"/>
        <v>0</v>
      </c>
    </row>
    <row r="3799" spans="7:13" x14ac:dyDescent="0.25">
      <c r="G3799" s="10" t="str">
        <f t="shared" si="179"/>
        <v/>
      </c>
      <c r="H3799" t="str">
        <f t="shared" si="180"/>
        <v/>
      </c>
      <c r="M3799" s="34">
        <f t="shared" si="181"/>
        <v>0</v>
      </c>
    </row>
    <row r="3800" spans="7:13" x14ac:dyDescent="0.25">
      <c r="G3800" s="10" t="str">
        <f t="shared" si="179"/>
        <v/>
      </c>
      <c r="H3800" t="str">
        <f t="shared" si="180"/>
        <v/>
      </c>
      <c r="M3800" s="34">
        <f t="shared" si="181"/>
        <v>0</v>
      </c>
    </row>
    <row r="3801" spans="7:13" x14ac:dyDescent="0.25">
      <c r="G3801" s="10" t="str">
        <f t="shared" si="179"/>
        <v/>
      </c>
      <c r="H3801" t="str">
        <f t="shared" si="180"/>
        <v/>
      </c>
      <c r="M3801" s="34">
        <f t="shared" si="181"/>
        <v>0</v>
      </c>
    </row>
    <row r="3802" spans="7:13" x14ac:dyDescent="0.25">
      <c r="G3802" s="10" t="str">
        <f t="shared" si="179"/>
        <v/>
      </c>
      <c r="H3802" t="str">
        <f t="shared" si="180"/>
        <v/>
      </c>
      <c r="M3802" s="34">
        <f t="shared" si="181"/>
        <v>0</v>
      </c>
    </row>
    <row r="3803" spans="7:13" x14ac:dyDescent="0.25">
      <c r="G3803" s="10" t="str">
        <f t="shared" si="179"/>
        <v/>
      </c>
      <c r="H3803" t="str">
        <f t="shared" si="180"/>
        <v/>
      </c>
      <c r="M3803" s="34">
        <f t="shared" si="181"/>
        <v>0</v>
      </c>
    </row>
    <row r="3804" spans="7:13" x14ac:dyDescent="0.25">
      <c r="G3804" s="10" t="str">
        <f t="shared" si="179"/>
        <v/>
      </c>
      <c r="H3804" t="str">
        <f t="shared" si="180"/>
        <v/>
      </c>
      <c r="M3804" s="34">
        <f t="shared" si="181"/>
        <v>0</v>
      </c>
    </row>
    <row r="3805" spans="7:13" x14ac:dyDescent="0.25">
      <c r="G3805" s="10" t="str">
        <f t="shared" si="179"/>
        <v/>
      </c>
      <c r="H3805" t="str">
        <f t="shared" si="180"/>
        <v/>
      </c>
      <c r="M3805" s="34">
        <f t="shared" si="181"/>
        <v>0</v>
      </c>
    </row>
    <row r="3806" spans="7:13" x14ac:dyDescent="0.25">
      <c r="G3806" s="10" t="str">
        <f t="shared" si="179"/>
        <v/>
      </c>
      <c r="H3806" t="str">
        <f t="shared" si="180"/>
        <v/>
      </c>
      <c r="M3806" s="34">
        <f t="shared" si="181"/>
        <v>0</v>
      </c>
    </row>
    <row r="3807" spans="7:13" x14ac:dyDescent="0.25">
      <c r="G3807" s="10" t="str">
        <f t="shared" si="179"/>
        <v/>
      </c>
      <c r="H3807" t="str">
        <f t="shared" si="180"/>
        <v/>
      </c>
      <c r="M3807" s="34">
        <f t="shared" si="181"/>
        <v>0</v>
      </c>
    </row>
    <row r="3808" spans="7:13" x14ac:dyDescent="0.25">
      <c r="G3808" s="10" t="str">
        <f t="shared" si="179"/>
        <v/>
      </c>
      <c r="H3808" t="str">
        <f t="shared" si="180"/>
        <v/>
      </c>
      <c r="M3808" s="34">
        <f t="shared" si="181"/>
        <v>0</v>
      </c>
    </row>
    <row r="3809" spans="7:13" x14ac:dyDescent="0.25">
      <c r="G3809" s="10" t="str">
        <f t="shared" si="179"/>
        <v/>
      </c>
      <c r="H3809" t="str">
        <f t="shared" si="180"/>
        <v/>
      </c>
      <c r="M3809" s="34">
        <f t="shared" si="181"/>
        <v>0</v>
      </c>
    </row>
    <row r="3810" spans="7:13" x14ac:dyDescent="0.25">
      <c r="G3810" s="10" t="str">
        <f t="shared" si="179"/>
        <v/>
      </c>
      <c r="H3810" t="str">
        <f t="shared" si="180"/>
        <v/>
      </c>
      <c r="M3810" s="34">
        <f t="shared" si="181"/>
        <v>0</v>
      </c>
    </row>
    <row r="3811" spans="7:13" x14ac:dyDescent="0.25">
      <c r="G3811" s="10" t="str">
        <f t="shared" si="179"/>
        <v/>
      </c>
      <c r="H3811" t="str">
        <f t="shared" si="180"/>
        <v/>
      </c>
      <c r="M3811" s="34">
        <f t="shared" si="181"/>
        <v>0</v>
      </c>
    </row>
    <row r="3812" spans="7:13" x14ac:dyDescent="0.25">
      <c r="G3812" s="10" t="str">
        <f t="shared" si="179"/>
        <v/>
      </c>
      <c r="H3812" t="str">
        <f t="shared" si="180"/>
        <v/>
      </c>
      <c r="M3812" s="34">
        <f t="shared" si="181"/>
        <v>0</v>
      </c>
    </row>
    <row r="3813" spans="7:13" x14ac:dyDescent="0.25">
      <c r="G3813" s="10" t="str">
        <f t="shared" si="179"/>
        <v/>
      </c>
      <c r="H3813" t="str">
        <f t="shared" si="180"/>
        <v/>
      </c>
      <c r="M3813" s="34">
        <f t="shared" si="181"/>
        <v>0</v>
      </c>
    </row>
    <row r="3814" spans="7:13" x14ac:dyDescent="0.25">
      <c r="G3814" s="10" t="str">
        <f t="shared" si="179"/>
        <v/>
      </c>
      <c r="H3814" t="str">
        <f t="shared" si="180"/>
        <v/>
      </c>
      <c r="M3814" s="34">
        <f t="shared" si="181"/>
        <v>0</v>
      </c>
    </row>
    <row r="3815" spans="7:13" x14ac:dyDescent="0.25">
      <c r="G3815" s="10" t="str">
        <f t="shared" si="179"/>
        <v/>
      </c>
      <c r="H3815" t="str">
        <f t="shared" si="180"/>
        <v/>
      </c>
      <c r="M3815" s="34">
        <f t="shared" si="181"/>
        <v>0</v>
      </c>
    </row>
    <row r="3816" spans="7:13" x14ac:dyDescent="0.25">
      <c r="G3816" s="10" t="str">
        <f t="shared" si="179"/>
        <v/>
      </c>
      <c r="H3816" t="str">
        <f t="shared" si="180"/>
        <v/>
      </c>
      <c r="M3816" s="34">
        <f t="shared" si="181"/>
        <v>0</v>
      </c>
    </row>
    <row r="3817" spans="7:13" x14ac:dyDescent="0.25">
      <c r="G3817" s="10" t="str">
        <f t="shared" si="179"/>
        <v/>
      </c>
      <c r="H3817" t="str">
        <f t="shared" si="180"/>
        <v/>
      </c>
      <c r="M3817" s="34">
        <f t="shared" si="181"/>
        <v>0</v>
      </c>
    </row>
    <row r="3818" spans="7:13" x14ac:dyDescent="0.25">
      <c r="G3818" s="10" t="str">
        <f t="shared" si="179"/>
        <v/>
      </c>
      <c r="H3818" t="str">
        <f t="shared" si="180"/>
        <v/>
      </c>
      <c r="M3818" s="34">
        <f t="shared" si="181"/>
        <v>0</v>
      </c>
    </row>
    <row r="3819" spans="7:13" x14ac:dyDescent="0.25">
      <c r="G3819" s="10" t="str">
        <f t="shared" si="179"/>
        <v/>
      </c>
      <c r="H3819" t="str">
        <f t="shared" si="180"/>
        <v/>
      </c>
      <c r="M3819" s="34">
        <f t="shared" si="181"/>
        <v>0</v>
      </c>
    </row>
    <row r="3820" spans="7:13" x14ac:dyDescent="0.25">
      <c r="G3820" s="10" t="str">
        <f t="shared" si="179"/>
        <v/>
      </c>
      <c r="H3820" t="str">
        <f t="shared" si="180"/>
        <v/>
      </c>
      <c r="M3820" s="34">
        <f t="shared" si="181"/>
        <v>0</v>
      </c>
    </row>
    <row r="3821" spans="7:13" x14ac:dyDescent="0.25">
      <c r="G3821" s="10" t="str">
        <f t="shared" si="179"/>
        <v/>
      </c>
      <c r="H3821" t="str">
        <f t="shared" si="180"/>
        <v/>
      </c>
      <c r="M3821" s="34">
        <f t="shared" si="181"/>
        <v>0</v>
      </c>
    </row>
    <row r="3822" spans="7:13" x14ac:dyDescent="0.25">
      <c r="G3822" s="10" t="str">
        <f t="shared" si="179"/>
        <v/>
      </c>
      <c r="H3822" t="str">
        <f t="shared" si="180"/>
        <v/>
      </c>
      <c r="M3822" s="34">
        <f t="shared" si="181"/>
        <v>0</v>
      </c>
    </row>
    <row r="3823" spans="7:13" x14ac:dyDescent="0.25">
      <c r="G3823" s="10" t="str">
        <f t="shared" si="179"/>
        <v/>
      </c>
      <c r="H3823" t="str">
        <f t="shared" si="180"/>
        <v/>
      </c>
      <c r="M3823" s="34">
        <f t="shared" si="181"/>
        <v>0</v>
      </c>
    </row>
    <row r="3824" spans="7:13" x14ac:dyDescent="0.25">
      <c r="G3824" s="10" t="str">
        <f t="shared" si="179"/>
        <v/>
      </c>
      <c r="H3824" t="str">
        <f t="shared" si="180"/>
        <v/>
      </c>
      <c r="M3824" s="34">
        <f t="shared" si="181"/>
        <v>0</v>
      </c>
    </row>
    <row r="3825" spans="7:13" x14ac:dyDescent="0.25">
      <c r="G3825" s="10" t="str">
        <f t="shared" si="179"/>
        <v/>
      </c>
      <c r="H3825" t="str">
        <f t="shared" si="180"/>
        <v/>
      </c>
      <c r="M3825" s="34">
        <f t="shared" si="181"/>
        <v>0</v>
      </c>
    </row>
    <row r="3826" spans="7:13" x14ac:dyDescent="0.25">
      <c r="G3826" s="10" t="str">
        <f t="shared" si="179"/>
        <v/>
      </c>
      <c r="H3826" t="str">
        <f t="shared" si="180"/>
        <v/>
      </c>
      <c r="M3826" s="34">
        <f t="shared" si="181"/>
        <v>0</v>
      </c>
    </row>
    <row r="3827" spans="7:13" x14ac:dyDescent="0.25">
      <c r="G3827" s="10" t="str">
        <f t="shared" si="179"/>
        <v/>
      </c>
      <c r="H3827" t="str">
        <f t="shared" si="180"/>
        <v/>
      </c>
      <c r="M3827" s="34">
        <f t="shared" si="181"/>
        <v>0</v>
      </c>
    </row>
    <row r="3828" spans="7:13" x14ac:dyDescent="0.25">
      <c r="G3828" s="10" t="str">
        <f t="shared" si="179"/>
        <v/>
      </c>
      <c r="H3828" t="str">
        <f t="shared" si="180"/>
        <v/>
      </c>
      <c r="M3828" s="34">
        <f t="shared" si="181"/>
        <v>0</v>
      </c>
    </row>
    <row r="3829" spans="7:13" x14ac:dyDescent="0.25">
      <c r="G3829" s="10" t="str">
        <f t="shared" si="179"/>
        <v/>
      </c>
      <c r="H3829" t="str">
        <f t="shared" si="180"/>
        <v/>
      </c>
      <c r="M3829" s="34">
        <f t="shared" si="181"/>
        <v>0</v>
      </c>
    </row>
    <row r="3830" spans="7:13" x14ac:dyDescent="0.25">
      <c r="G3830" s="10" t="str">
        <f t="shared" si="179"/>
        <v/>
      </c>
      <c r="H3830" t="str">
        <f t="shared" si="180"/>
        <v/>
      </c>
      <c r="M3830" s="34">
        <f t="shared" si="181"/>
        <v>0</v>
      </c>
    </row>
    <row r="3831" spans="7:13" x14ac:dyDescent="0.25">
      <c r="G3831" s="10" t="str">
        <f t="shared" si="179"/>
        <v/>
      </c>
      <c r="H3831" t="str">
        <f t="shared" si="180"/>
        <v/>
      </c>
      <c r="M3831" s="34">
        <f t="shared" si="181"/>
        <v>0</v>
      </c>
    </row>
    <row r="3832" spans="7:13" x14ac:dyDescent="0.25">
      <c r="G3832" s="10" t="str">
        <f t="shared" si="179"/>
        <v/>
      </c>
      <c r="H3832" t="str">
        <f t="shared" si="180"/>
        <v/>
      </c>
      <c r="M3832" s="34">
        <f t="shared" si="181"/>
        <v>0</v>
      </c>
    </row>
    <row r="3833" spans="7:13" x14ac:dyDescent="0.25">
      <c r="G3833" s="10" t="str">
        <f t="shared" si="179"/>
        <v/>
      </c>
      <c r="H3833" t="str">
        <f t="shared" si="180"/>
        <v/>
      </c>
      <c r="M3833" s="34">
        <f t="shared" si="181"/>
        <v>0</v>
      </c>
    </row>
    <row r="3834" spans="7:13" x14ac:dyDescent="0.25">
      <c r="G3834" s="10" t="str">
        <f t="shared" si="179"/>
        <v/>
      </c>
      <c r="H3834" t="str">
        <f t="shared" si="180"/>
        <v/>
      </c>
      <c r="M3834" s="34">
        <f t="shared" si="181"/>
        <v>0</v>
      </c>
    </row>
    <row r="3835" spans="7:13" x14ac:dyDescent="0.25">
      <c r="G3835" s="10" t="str">
        <f t="shared" si="179"/>
        <v/>
      </c>
      <c r="H3835" t="str">
        <f t="shared" si="180"/>
        <v/>
      </c>
      <c r="M3835" s="34">
        <f t="shared" si="181"/>
        <v>0</v>
      </c>
    </row>
    <row r="3836" spans="7:13" x14ac:dyDescent="0.25">
      <c r="G3836" s="10" t="str">
        <f t="shared" si="179"/>
        <v/>
      </c>
      <c r="H3836" t="str">
        <f t="shared" si="180"/>
        <v/>
      </c>
      <c r="M3836" s="34">
        <f t="shared" si="181"/>
        <v>0</v>
      </c>
    </row>
    <row r="3837" spans="7:13" x14ac:dyDescent="0.25">
      <c r="G3837" s="10" t="str">
        <f t="shared" si="179"/>
        <v/>
      </c>
      <c r="H3837" t="str">
        <f t="shared" si="180"/>
        <v/>
      </c>
      <c r="M3837" s="34">
        <f t="shared" si="181"/>
        <v>0</v>
      </c>
    </row>
    <row r="3838" spans="7:13" x14ac:dyDescent="0.25">
      <c r="G3838" s="10" t="str">
        <f t="shared" si="179"/>
        <v/>
      </c>
      <c r="H3838" t="str">
        <f t="shared" si="180"/>
        <v/>
      </c>
      <c r="M3838" s="34">
        <f t="shared" si="181"/>
        <v>0</v>
      </c>
    </row>
    <row r="3839" spans="7:13" x14ac:dyDescent="0.25">
      <c r="G3839" s="10" t="str">
        <f t="shared" si="179"/>
        <v/>
      </c>
      <c r="H3839" t="str">
        <f t="shared" si="180"/>
        <v/>
      </c>
      <c r="M3839" s="34">
        <f t="shared" si="181"/>
        <v>0</v>
      </c>
    </row>
    <row r="3840" spans="7:13" x14ac:dyDescent="0.25">
      <c r="G3840" s="10" t="str">
        <f t="shared" si="179"/>
        <v/>
      </c>
      <c r="H3840" t="str">
        <f t="shared" si="180"/>
        <v/>
      </c>
      <c r="M3840" s="34">
        <f t="shared" si="181"/>
        <v>0</v>
      </c>
    </row>
    <row r="3841" spans="7:13" x14ac:dyDescent="0.25">
      <c r="G3841" s="10" t="str">
        <f t="shared" si="179"/>
        <v/>
      </c>
      <c r="H3841" t="str">
        <f t="shared" si="180"/>
        <v/>
      </c>
      <c r="M3841" s="34">
        <f t="shared" si="181"/>
        <v>0</v>
      </c>
    </row>
    <row r="3842" spans="7:13" x14ac:dyDescent="0.25">
      <c r="G3842" s="10" t="str">
        <f t="shared" ref="G3842:G3905" si="182">IF(F3842&gt;0,"RECETTE",IF(F3842&lt;0,"DÉPENSE",""))</f>
        <v/>
      </c>
      <c r="H3842" t="str">
        <f t="shared" ref="H3842:H3905" si="183">+IF(ISNUMBER(D3842),D3842,"")</f>
        <v/>
      </c>
      <c r="M3842" s="34">
        <f t="shared" si="181"/>
        <v>0</v>
      </c>
    </row>
    <row r="3843" spans="7:13" x14ac:dyDescent="0.25">
      <c r="G3843" s="10" t="str">
        <f t="shared" si="182"/>
        <v/>
      </c>
      <c r="H3843" t="str">
        <f t="shared" si="183"/>
        <v/>
      </c>
      <c r="M3843" s="34">
        <f t="shared" ref="M3843:M3906" si="184">IF(AND(E3843="Chèque",G3843="RECETTE"),F3843,0)</f>
        <v>0</v>
      </c>
    </row>
    <row r="3844" spans="7:13" x14ac:dyDescent="0.25">
      <c r="G3844" s="10" t="str">
        <f t="shared" si="182"/>
        <v/>
      </c>
      <c r="H3844" t="str">
        <f t="shared" si="183"/>
        <v/>
      </c>
      <c r="M3844" s="34">
        <f t="shared" si="184"/>
        <v>0</v>
      </c>
    </row>
    <row r="3845" spans="7:13" x14ac:dyDescent="0.25">
      <c r="G3845" s="10" t="str">
        <f t="shared" si="182"/>
        <v/>
      </c>
      <c r="H3845" t="str">
        <f t="shared" si="183"/>
        <v/>
      </c>
      <c r="M3845" s="34">
        <f t="shared" si="184"/>
        <v>0</v>
      </c>
    </row>
    <row r="3846" spans="7:13" x14ac:dyDescent="0.25">
      <c r="G3846" s="10" t="str">
        <f t="shared" si="182"/>
        <v/>
      </c>
      <c r="H3846" t="str">
        <f t="shared" si="183"/>
        <v/>
      </c>
      <c r="M3846" s="34">
        <f t="shared" si="184"/>
        <v>0</v>
      </c>
    </row>
    <row r="3847" spans="7:13" x14ac:dyDescent="0.25">
      <c r="G3847" s="10" t="str">
        <f t="shared" si="182"/>
        <v/>
      </c>
      <c r="H3847" t="str">
        <f t="shared" si="183"/>
        <v/>
      </c>
      <c r="M3847" s="34">
        <f t="shared" si="184"/>
        <v>0</v>
      </c>
    </row>
    <row r="3848" spans="7:13" x14ac:dyDescent="0.25">
      <c r="G3848" s="10" t="str">
        <f t="shared" si="182"/>
        <v/>
      </c>
      <c r="H3848" t="str">
        <f t="shared" si="183"/>
        <v/>
      </c>
      <c r="M3848" s="34">
        <f t="shared" si="184"/>
        <v>0</v>
      </c>
    </row>
    <row r="3849" spans="7:13" x14ac:dyDescent="0.25">
      <c r="G3849" s="10" t="str">
        <f t="shared" si="182"/>
        <v/>
      </c>
      <c r="H3849" t="str">
        <f t="shared" si="183"/>
        <v/>
      </c>
      <c r="M3849" s="34">
        <f t="shared" si="184"/>
        <v>0</v>
      </c>
    </row>
    <row r="3850" spans="7:13" x14ac:dyDescent="0.25">
      <c r="G3850" s="10" t="str">
        <f t="shared" si="182"/>
        <v/>
      </c>
      <c r="H3850" t="str">
        <f t="shared" si="183"/>
        <v/>
      </c>
      <c r="M3850" s="34">
        <f t="shared" si="184"/>
        <v>0</v>
      </c>
    </row>
    <row r="3851" spans="7:13" x14ac:dyDescent="0.25">
      <c r="G3851" s="10" t="str">
        <f t="shared" si="182"/>
        <v/>
      </c>
      <c r="H3851" t="str">
        <f t="shared" si="183"/>
        <v/>
      </c>
      <c r="M3851" s="34">
        <f t="shared" si="184"/>
        <v>0</v>
      </c>
    </row>
    <row r="3852" spans="7:13" x14ac:dyDescent="0.25">
      <c r="G3852" s="10" t="str">
        <f t="shared" si="182"/>
        <v/>
      </c>
      <c r="H3852" t="str">
        <f t="shared" si="183"/>
        <v/>
      </c>
      <c r="M3852" s="34">
        <f t="shared" si="184"/>
        <v>0</v>
      </c>
    </row>
    <row r="3853" spans="7:13" x14ac:dyDescent="0.25">
      <c r="G3853" s="10" t="str">
        <f t="shared" si="182"/>
        <v/>
      </c>
      <c r="H3853" t="str">
        <f t="shared" si="183"/>
        <v/>
      </c>
      <c r="M3853" s="34">
        <f t="shared" si="184"/>
        <v>0</v>
      </c>
    </row>
    <row r="3854" spans="7:13" x14ac:dyDescent="0.25">
      <c r="G3854" s="10" t="str">
        <f t="shared" si="182"/>
        <v/>
      </c>
      <c r="H3854" t="str">
        <f t="shared" si="183"/>
        <v/>
      </c>
      <c r="M3854" s="34">
        <f t="shared" si="184"/>
        <v>0</v>
      </c>
    </row>
    <row r="3855" spans="7:13" x14ac:dyDescent="0.25">
      <c r="G3855" s="10" t="str">
        <f t="shared" si="182"/>
        <v/>
      </c>
      <c r="H3855" t="str">
        <f t="shared" si="183"/>
        <v/>
      </c>
      <c r="M3855" s="34">
        <f t="shared" si="184"/>
        <v>0</v>
      </c>
    </row>
    <row r="3856" spans="7:13" x14ac:dyDescent="0.25">
      <c r="G3856" s="10" t="str">
        <f t="shared" si="182"/>
        <v/>
      </c>
      <c r="H3856" t="str">
        <f t="shared" si="183"/>
        <v/>
      </c>
      <c r="M3856" s="34">
        <f t="shared" si="184"/>
        <v>0</v>
      </c>
    </row>
    <row r="3857" spans="7:13" x14ac:dyDescent="0.25">
      <c r="G3857" s="10" t="str">
        <f t="shared" si="182"/>
        <v/>
      </c>
      <c r="H3857" t="str">
        <f t="shared" si="183"/>
        <v/>
      </c>
      <c r="M3857" s="34">
        <f t="shared" si="184"/>
        <v>0</v>
      </c>
    </row>
    <row r="3858" spans="7:13" x14ac:dyDescent="0.25">
      <c r="G3858" s="10" t="str">
        <f t="shared" si="182"/>
        <v/>
      </c>
      <c r="H3858" t="str">
        <f t="shared" si="183"/>
        <v/>
      </c>
      <c r="M3858" s="34">
        <f t="shared" si="184"/>
        <v>0</v>
      </c>
    </row>
    <row r="3859" spans="7:13" x14ac:dyDescent="0.25">
      <c r="G3859" s="10" t="str">
        <f t="shared" si="182"/>
        <v/>
      </c>
      <c r="H3859" t="str">
        <f t="shared" si="183"/>
        <v/>
      </c>
      <c r="M3859" s="34">
        <f t="shared" si="184"/>
        <v>0</v>
      </c>
    </row>
    <row r="3860" spans="7:13" x14ac:dyDescent="0.25">
      <c r="G3860" s="10" t="str">
        <f t="shared" si="182"/>
        <v/>
      </c>
      <c r="H3860" t="str">
        <f t="shared" si="183"/>
        <v/>
      </c>
      <c r="M3860" s="34">
        <f t="shared" si="184"/>
        <v>0</v>
      </c>
    </row>
    <row r="3861" spans="7:13" x14ac:dyDescent="0.25">
      <c r="G3861" s="10" t="str">
        <f t="shared" si="182"/>
        <v/>
      </c>
      <c r="H3861" t="str">
        <f t="shared" si="183"/>
        <v/>
      </c>
      <c r="M3861" s="34">
        <f t="shared" si="184"/>
        <v>0</v>
      </c>
    </row>
    <row r="3862" spans="7:13" x14ac:dyDescent="0.25">
      <c r="G3862" s="10" t="str">
        <f t="shared" si="182"/>
        <v/>
      </c>
      <c r="H3862" t="str">
        <f t="shared" si="183"/>
        <v/>
      </c>
      <c r="M3862" s="34">
        <f t="shared" si="184"/>
        <v>0</v>
      </c>
    </row>
    <row r="3863" spans="7:13" x14ac:dyDescent="0.25">
      <c r="G3863" s="10" t="str">
        <f t="shared" si="182"/>
        <v/>
      </c>
      <c r="H3863" t="str">
        <f t="shared" si="183"/>
        <v/>
      </c>
      <c r="M3863" s="34">
        <f t="shared" si="184"/>
        <v>0</v>
      </c>
    </row>
    <row r="3864" spans="7:13" x14ac:dyDescent="0.25">
      <c r="G3864" s="10" t="str">
        <f t="shared" si="182"/>
        <v/>
      </c>
      <c r="H3864" t="str">
        <f t="shared" si="183"/>
        <v/>
      </c>
      <c r="M3864" s="34">
        <f t="shared" si="184"/>
        <v>0</v>
      </c>
    </row>
    <row r="3865" spans="7:13" x14ac:dyDescent="0.25">
      <c r="G3865" s="10" t="str">
        <f t="shared" si="182"/>
        <v/>
      </c>
      <c r="H3865" t="str">
        <f t="shared" si="183"/>
        <v/>
      </c>
      <c r="M3865" s="34">
        <f t="shared" si="184"/>
        <v>0</v>
      </c>
    </row>
    <row r="3866" spans="7:13" x14ac:dyDescent="0.25">
      <c r="G3866" s="10" t="str">
        <f t="shared" si="182"/>
        <v/>
      </c>
      <c r="H3866" t="str">
        <f t="shared" si="183"/>
        <v/>
      </c>
      <c r="M3866" s="34">
        <f t="shared" si="184"/>
        <v>0</v>
      </c>
    </row>
    <row r="3867" spans="7:13" x14ac:dyDescent="0.25">
      <c r="G3867" s="10" t="str">
        <f t="shared" si="182"/>
        <v/>
      </c>
      <c r="H3867" t="str">
        <f t="shared" si="183"/>
        <v/>
      </c>
      <c r="M3867" s="34">
        <f t="shared" si="184"/>
        <v>0</v>
      </c>
    </row>
    <row r="3868" spans="7:13" x14ac:dyDescent="0.25">
      <c r="G3868" s="10" t="str">
        <f t="shared" si="182"/>
        <v/>
      </c>
      <c r="H3868" t="str">
        <f t="shared" si="183"/>
        <v/>
      </c>
      <c r="M3868" s="34">
        <f t="shared" si="184"/>
        <v>0</v>
      </c>
    </row>
    <row r="3869" spans="7:13" x14ac:dyDescent="0.25">
      <c r="G3869" s="10" t="str">
        <f t="shared" si="182"/>
        <v/>
      </c>
      <c r="H3869" t="str">
        <f t="shared" si="183"/>
        <v/>
      </c>
      <c r="M3869" s="34">
        <f t="shared" si="184"/>
        <v>0</v>
      </c>
    </row>
    <row r="3870" spans="7:13" x14ac:dyDescent="0.25">
      <c r="G3870" s="10" t="str">
        <f t="shared" si="182"/>
        <v/>
      </c>
      <c r="H3870" t="str">
        <f t="shared" si="183"/>
        <v/>
      </c>
      <c r="M3870" s="34">
        <f t="shared" si="184"/>
        <v>0</v>
      </c>
    </row>
    <row r="3871" spans="7:13" x14ac:dyDescent="0.25">
      <c r="G3871" s="10" t="str">
        <f t="shared" si="182"/>
        <v/>
      </c>
      <c r="H3871" t="str">
        <f t="shared" si="183"/>
        <v/>
      </c>
      <c r="M3871" s="34">
        <f t="shared" si="184"/>
        <v>0</v>
      </c>
    </row>
    <row r="3872" spans="7:13" x14ac:dyDescent="0.25">
      <c r="G3872" s="10" t="str">
        <f t="shared" si="182"/>
        <v/>
      </c>
      <c r="H3872" t="str">
        <f t="shared" si="183"/>
        <v/>
      </c>
      <c r="M3872" s="34">
        <f t="shared" si="184"/>
        <v>0</v>
      </c>
    </row>
    <row r="3873" spans="7:13" x14ac:dyDescent="0.25">
      <c r="G3873" s="10" t="str">
        <f t="shared" si="182"/>
        <v/>
      </c>
      <c r="H3873" t="str">
        <f t="shared" si="183"/>
        <v/>
      </c>
      <c r="M3873" s="34">
        <f t="shared" si="184"/>
        <v>0</v>
      </c>
    </row>
    <row r="3874" spans="7:13" x14ac:dyDescent="0.25">
      <c r="G3874" s="10" t="str">
        <f t="shared" si="182"/>
        <v/>
      </c>
      <c r="H3874" t="str">
        <f t="shared" si="183"/>
        <v/>
      </c>
      <c r="M3874" s="34">
        <f t="shared" si="184"/>
        <v>0</v>
      </c>
    </row>
    <row r="3875" spans="7:13" x14ac:dyDescent="0.25">
      <c r="G3875" s="10" t="str">
        <f t="shared" si="182"/>
        <v/>
      </c>
      <c r="H3875" t="str">
        <f t="shared" si="183"/>
        <v/>
      </c>
      <c r="M3875" s="34">
        <f t="shared" si="184"/>
        <v>0</v>
      </c>
    </row>
    <row r="3876" spans="7:13" x14ac:dyDescent="0.25">
      <c r="G3876" s="10" t="str">
        <f t="shared" si="182"/>
        <v/>
      </c>
      <c r="H3876" t="str">
        <f t="shared" si="183"/>
        <v/>
      </c>
      <c r="M3876" s="34">
        <f t="shared" si="184"/>
        <v>0</v>
      </c>
    </row>
    <row r="3877" spans="7:13" x14ac:dyDescent="0.25">
      <c r="G3877" s="10" t="str">
        <f t="shared" si="182"/>
        <v/>
      </c>
      <c r="H3877" t="str">
        <f t="shared" si="183"/>
        <v/>
      </c>
      <c r="M3877" s="34">
        <f t="shared" si="184"/>
        <v>0</v>
      </c>
    </row>
    <row r="3878" spans="7:13" x14ac:dyDescent="0.25">
      <c r="G3878" s="10" t="str">
        <f t="shared" si="182"/>
        <v/>
      </c>
      <c r="H3878" t="str">
        <f t="shared" si="183"/>
        <v/>
      </c>
      <c r="M3878" s="34">
        <f t="shared" si="184"/>
        <v>0</v>
      </c>
    </row>
    <row r="3879" spans="7:13" x14ac:dyDescent="0.25">
      <c r="G3879" s="10" t="str">
        <f t="shared" si="182"/>
        <v/>
      </c>
      <c r="H3879" t="str">
        <f t="shared" si="183"/>
        <v/>
      </c>
      <c r="M3879" s="34">
        <f t="shared" si="184"/>
        <v>0</v>
      </c>
    </row>
    <row r="3880" spans="7:13" x14ac:dyDescent="0.25">
      <c r="G3880" s="10" t="str">
        <f t="shared" si="182"/>
        <v/>
      </c>
      <c r="H3880" t="str">
        <f t="shared" si="183"/>
        <v/>
      </c>
      <c r="M3880" s="34">
        <f t="shared" si="184"/>
        <v>0</v>
      </c>
    </row>
    <row r="3881" spans="7:13" x14ac:dyDescent="0.25">
      <c r="G3881" s="10" t="str">
        <f t="shared" si="182"/>
        <v/>
      </c>
      <c r="H3881" t="str">
        <f t="shared" si="183"/>
        <v/>
      </c>
      <c r="M3881" s="34">
        <f t="shared" si="184"/>
        <v>0</v>
      </c>
    </row>
    <row r="3882" spans="7:13" x14ac:dyDescent="0.25">
      <c r="G3882" s="10" t="str">
        <f t="shared" si="182"/>
        <v/>
      </c>
      <c r="H3882" t="str">
        <f t="shared" si="183"/>
        <v/>
      </c>
      <c r="M3882" s="34">
        <f t="shared" si="184"/>
        <v>0</v>
      </c>
    </row>
    <row r="3883" spans="7:13" x14ac:dyDescent="0.25">
      <c r="G3883" s="10" t="str">
        <f t="shared" si="182"/>
        <v/>
      </c>
      <c r="H3883" t="str">
        <f t="shared" si="183"/>
        <v/>
      </c>
      <c r="M3883" s="34">
        <f t="shared" si="184"/>
        <v>0</v>
      </c>
    </row>
    <row r="3884" spans="7:13" x14ac:dyDescent="0.25">
      <c r="G3884" s="10" t="str">
        <f t="shared" si="182"/>
        <v/>
      </c>
      <c r="H3884" t="str">
        <f t="shared" si="183"/>
        <v/>
      </c>
      <c r="M3884" s="34">
        <f t="shared" si="184"/>
        <v>0</v>
      </c>
    </row>
    <row r="3885" spans="7:13" x14ac:dyDescent="0.25">
      <c r="G3885" s="10" t="str">
        <f t="shared" si="182"/>
        <v/>
      </c>
      <c r="H3885" t="str">
        <f t="shared" si="183"/>
        <v/>
      </c>
      <c r="M3885" s="34">
        <f t="shared" si="184"/>
        <v>0</v>
      </c>
    </row>
    <row r="3886" spans="7:13" x14ac:dyDescent="0.25">
      <c r="G3886" s="10" t="str">
        <f t="shared" si="182"/>
        <v/>
      </c>
      <c r="H3886" t="str">
        <f t="shared" si="183"/>
        <v/>
      </c>
      <c r="M3886" s="34">
        <f t="shared" si="184"/>
        <v>0</v>
      </c>
    </row>
    <row r="3887" spans="7:13" x14ac:dyDescent="0.25">
      <c r="G3887" s="10" t="str">
        <f t="shared" si="182"/>
        <v/>
      </c>
      <c r="H3887" t="str">
        <f t="shared" si="183"/>
        <v/>
      </c>
      <c r="M3887" s="34">
        <f t="shared" si="184"/>
        <v>0</v>
      </c>
    </row>
    <row r="3888" spans="7:13" x14ac:dyDescent="0.25">
      <c r="G3888" s="10" t="str">
        <f t="shared" si="182"/>
        <v/>
      </c>
      <c r="H3888" t="str">
        <f t="shared" si="183"/>
        <v/>
      </c>
      <c r="M3888" s="34">
        <f t="shared" si="184"/>
        <v>0</v>
      </c>
    </row>
    <row r="3889" spans="7:13" x14ac:dyDescent="0.25">
      <c r="G3889" s="10" t="str">
        <f t="shared" si="182"/>
        <v/>
      </c>
      <c r="H3889" t="str">
        <f t="shared" si="183"/>
        <v/>
      </c>
      <c r="M3889" s="34">
        <f t="shared" si="184"/>
        <v>0</v>
      </c>
    </row>
    <row r="3890" spans="7:13" x14ac:dyDescent="0.25">
      <c r="G3890" s="10" t="str">
        <f t="shared" si="182"/>
        <v/>
      </c>
      <c r="H3890" t="str">
        <f t="shared" si="183"/>
        <v/>
      </c>
      <c r="M3890" s="34">
        <f t="shared" si="184"/>
        <v>0</v>
      </c>
    </row>
    <row r="3891" spans="7:13" x14ac:dyDescent="0.25">
      <c r="G3891" s="10" t="str">
        <f t="shared" si="182"/>
        <v/>
      </c>
      <c r="H3891" t="str">
        <f t="shared" si="183"/>
        <v/>
      </c>
      <c r="M3891" s="34">
        <f t="shared" si="184"/>
        <v>0</v>
      </c>
    </row>
    <row r="3892" spans="7:13" x14ac:dyDescent="0.25">
      <c r="G3892" s="10" t="str">
        <f t="shared" si="182"/>
        <v/>
      </c>
      <c r="H3892" t="str">
        <f t="shared" si="183"/>
        <v/>
      </c>
      <c r="M3892" s="34">
        <f t="shared" si="184"/>
        <v>0</v>
      </c>
    </row>
    <row r="3893" spans="7:13" x14ac:dyDescent="0.25">
      <c r="G3893" s="10" t="str">
        <f t="shared" si="182"/>
        <v/>
      </c>
      <c r="H3893" t="str">
        <f t="shared" si="183"/>
        <v/>
      </c>
      <c r="M3893" s="34">
        <f t="shared" si="184"/>
        <v>0</v>
      </c>
    </row>
    <row r="3894" spans="7:13" x14ac:dyDescent="0.25">
      <c r="G3894" s="10" t="str">
        <f t="shared" si="182"/>
        <v/>
      </c>
      <c r="H3894" t="str">
        <f t="shared" si="183"/>
        <v/>
      </c>
      <c r="M3894" s="34">
        <f t="shared" si="184"/>
        <v>0</v>
      </c>
    </row>
    <row r="3895" spans="7:13" x14ac:dyDescent="0.25">
      <c r="G3895" s="10" t="str">
        <f t="shared" si="182"/>
        <v/>
      </c>
      <c r="H3895" t="str">
        <f t="shared" si="183"/>
        <v/>
      </c>
      <c r="M3895" s="34">
        <f t="shared" si="184"/>
        <v>0</v>
      </c>
    </row>
    <row r="3896" spans="7:13" x14ac:dyDescent="0.25">
      <c r="G3896" s="10" t="str">
        <f t="shared" si="182"/>
        <v/>
      </c>
      <c r="H3896" t="str">
        <f t="shared" si="183"/>
        <v/>
      </c>
      <c r="M3896" s="34">
        <f t="shared" si="184"/>
        <v>0</v>
      </c>
    </row>
    <row r="3897" spans="7:13" x14ac:dyDescent="0.25">
      <c r="G3897" s="10" t="str">
        <f t="shared" si="182"/>
        <v/>
      </c>
      <c r="H3897" t="str">
        <f t="shared" si="183"/>
        <v/>
      </c>
      <c r="M3897" s="34">
        <f t="shared" si="184"/>
        <v>0</v>
      </c>
    </row>
    <row r="3898" spans="7:13" x14ac:dyDescent="0.25">
      <c r="G3898" s="10" t="str">
        <f t="shared" si="182"/>
        <v/>
      </c>
      <c r="H3898" t="str">
        <f t="shared" si="183"/>
        <v/>
      </c>
      <c r="M3898" s="34">
        <f t="shared" si="184"/>
        <v>0</v>
      </c>
    </row>
    <row r="3899" spans="7:13" x14ac:dyDescent="0.25">
      <c r="G3899" s="10" t="str">
        <f t="shared" si="182"/>
        <v/>
      </c>
      <c r="H3899" t="str">
        <f t="shared" si="183"/>
        <v/>
      </c>
      <c r="M3899" s="34">
        <f t="shared" si="184"/>
        <v>0</v>
      </c>
    </row>
    <row r="3900" spans="7:13" x14ac:dyDescent="0.25">
      <c r="G3900" s="10" t="str">
        <f t="shared" si="182"/>
        <v/>
      </c>
      <c r="H3900" t="str">
        <f t="shared" si="183"/>
        <v/>
      </c>
      <c r="M3900" s="34">
        <f t="shared" si="184"/>
        <v>0</v>
      </c>
    </row>
    <row r="3901" spans="7:13" x14ac:dyDescent="0.25">
      <c r="G3901" s="10" t="str">
        <f t="shared" si="182"/>
        <v/>
      </c>
      <c r="H3901" t="str">
        <f t="shared" si="183"/>
        <v/>
      </c>
      <c r="M3901" s="34">
        <f t="shared" si="184"/>
        <v>0</v>
      </c>
    </row>
    <row r="3902" spans="7:13" x14ac:dyDescent="0.25">
      <c r="G3902" s="10" t="str">
        <f t="shared" si="182"/>
        <v/>
      </c>
      <c r="H3902" t="str">
        <f t="shared" si="183"/>
        <v/>
      </c>
      <c r="M3902" s="34">
        <f t="shared" si="184"/>
        <v>0</v>
      </c>
    </row>
    <row r="3903" spans="7:13" x14ac:dyDescent="0.25">
      <c r="G3903" s="10" t="str">
        <f t="shared" si="182"/>
        <v/>
      </c>
      <c r="H3903" t="str">
        <f t="shared" si="183"/>
        <v/>
      </c>
      <c r="M3903" s="34">
        <f t="shared" si="184"/>
        <v>0</v>
      </c>
    </row>
    <row r="3904" spans="7:13" x14ac:dyDescent="0.25">
      <c r="G3904" s="10" t="str">
        <f t="shared" si="182"/>
        <v/>
      </c>
      <c r="H3904" t="str">
        <f t="shared" si="183"/>
        <v/>
      </c>
      <c r="M3904" s="34">
        <f t="shared" si="184"/>
        <v>0</v>
      </c>
    </row>
    <row r="3905" spans="7:13" x14ac:dyDescent="0.25">
      <c r="G3905" s="10" t="str">
        <f t="shared" si="182"/>
        <v/>
      </c>
      <c r="H3905" t="str">
        <f t="shared" si="183"/>
        <v/>
      </c>
      <c r="M3905" s="34">
        <f t="shared" si="184"/>
        <v>0</v>
      </c>
    </row>
    <row r="3906" spans="7:13" x14ac:dyDescent="0.25">
      <c r="G3906" s="10" t="str">
        <f t="shared" ref="G3906:G3969" si="185">IF(F3906&gt;0,"RECETTE",IF(F3906&lt;0,"DÉPENSE",""))</f>
        <v/>
      </c>
      <c r="H3906" t="str">
        <f t="shared" ref="H3906:H3969" si="186">+IF(ISNUMBER(D3906),D3906,"")</f>
        <v/>
      </c>
      <c r="M3906" s="34">
        <f t="shared" si="184"/>
        <v>0</v>
      </c>
    </row>
    <row r="3907" spans="7:13" x14ac:dyDescent="0.25">
      <c r="G3907" s="10" t="str">
        <f t="shared" si="185"/>
        <v/>
      </c>
      <c r="H3907" t="str">
        <f t="shared" si="186"/>
        <v/>
      </c>
      <c r="M3907" s="34">
        <f t="shared" ref="M3907:M3970" si="187">IF(AND(E3907="Chèque",G3907="RECETTE"),F3907,0)</f>
        <v>0</v>
      </c>
    </row>
    <row r="3908" spans="7:13" x14ac:dyDescent="0.25">
      <c r="G3908" s="10" t="str">
        <f t="shared" si="185"/>
        <v/>
      </c>
      <c r="H3908" t="str">
        <f t="shared" si="186"/>
        <v/>
      </c>
      <c r="M3908" s="34">
        <f t="shared" si="187"/>
        <v>0</v>
      </c>
    </row>
    <row r="3909" spans="7:13" x14ac:dyDescent="0.25">
      <c r="G3909" s="10" t="str">
        <f t="shared" si="185"/>
        <v/>
      </c>
      <c r="H3909" t="str">
        <f t="shared" si="186"/>
        <v/>
      </c>
      <c r="M3909" s="34">
        <f t="shared" si="187"/>
        <v>0</v>
      </c>
    </row>
    <row r="3910" spans="7:13" x14ac:dyDescent="0.25">
      <c r="G3910" s="10" t="str">
        <f t="shared" si="185"/>
        <v/>
      </c>
      <c r="H3910" t="str">
        <f t="shared" si="186"/>
        <v/>
      </c>
      <c r="M3910" s="34">
        <f t="shared" si="187"/>
        <v>0</v>
      </c>
    </row>
    <row r="3911" spans="7:13" x14ac:dyDescent="0.25">
      <c r="G3911" s="10" t="str">
        <f t="shared" si="185"/>
        <v/>
      </c>
      <c r="H3911" t="str">
        <f t="shared" si="186"/>
        <v/>
      </c>
      <c r="M3911" s="34">
        <f t="shared" si="187"/>
        <v>0</v>
      </c>
    </row>
    <row r="3912" spans="7:13" x14ac:dyDescent="0.25">
      <c r="G3912" s="10" t="str">
        <f t="shared" si="185"/>
        <v/>
      </c>
      <c r="H3912" t="str">
        <f t="shared" si="186"/>
        <v/>
      </c>
      <c r="M3912" s="34">
        <f t="shared" si="187"/>
        <v>0</v>
      </c>
    </row>
    <row r="3913" spans="7:13" x14ac:dyDescent="0.25">
      <c r="G3913" s="10" t="str">
        <f t="shared" si="185"/>
        <v/>
      </c>
      <c r="H3913" t="str">
        <f t="shared" si="186"/>
        <v/>
      </c>
      <c r="M3913" s="34">
        <f t="shared" si="187"/>
        <v>0</v>
      </c>
    </row>
    <row r="3914" spans="7:13" x14ac:dyDescent="0.25">
      <c r="G3914" s="10" t="str">
        <f t="shared" si="185"/>
        <v/>
      </c>
      <c r="H3914" t="str">
        <f t="shared" si="186"/>
        <v/>
      </c>
      <c r="M3914" s="34">
        <f t="shared" si="187"/>
        <v>0</v>
      </c>
    </row>
    <row r="3915" spans="7:13" x14ac:dyDescent="0.25">
      <c r="G3915" s="10" t="str">
        <f t="shared" si="185"/>
        <v/>
      </c>
      <c r="H3915" t="str">
        <f t="shared" si="186"/>
        <v/>
      </c>
      <c r="M3915" s="34">
        <f t="shared" si="187"/>
        <v>0</v>
      </c>
    </row>
    <row r="3916" spans="7:13" x14ac:dyDescent="0.25">
      <c r="G3916" s="10" t="str">
        <f t="shared" si="185"/>
        <v/>
      </c>
      <c r="H3916" t="str">
        <f t="shared" si="186"/>
        <v/>
      </c>
      <c r="M3916" s="34">
        <f t="shared" si="187"/>
        <v>0</v>
      </c>
    </row>
    <row r="3917" spans="7:13" x14ac:dyDescent="0.25">
      <c r="G3917" s="10" t="str">
        <f t="shared" si="185"/>
        <v/>
      </c>
      <c r="H3917" t="str">
        <f t="shared" si="186"/>
        <v/>
      </c>
      <c r="M3917" s="34">
        <f t="shared" si="187"/>
        <v>0</v>
      </c>
    </row>
    <row r="3918" spans="7:13" x14ac:dyDescent="0.25">
      <c r="G3918" s="10" t="str">
        <f t="shared" si="185"/>
        <v/>
      </c>
      <c r="H3918" t="str">
        <f t="shared" si="186"/>
        <v/>
      </c>
      <c r="M3918" s="34">
        <f t="shared" si="187"/>
        <v>0</v>
      </c>
    </row>
    <row r="3919" spans="7:13" x14ac:dyDescent="0.25">
      <c r="G3919" s="10" t="str">
        <f t="shared" si="185"/>
        <v/>
      </c>
      <c r="H3919" t="str">
        <f t="shared" si="186"/>
        <v/>
      </c>
      <c r="M3919" s="34">
        <f t="shared" si="187"/>
        <v>0</v>
      </c>
    </row>
    <row r="3920" spans="7:13" x14ac:dyDescent="0.25">
      <c r="G3920" s="10" t="str">
        <f t="shared" si="185"/>
        <v/>
      </c>
      <c r="H3920" t="str">
        <f t="shared" si="186"/>
        <v/>
      </c>
      <c r="M3920" s="34">
        <f t="shared" si="187"/>
        <v>0</v>
      </c>
    </row>
    <row r="3921" spans="7:13" x14ac:dyDescent="0.25">
      <c r="G3921" s="10" t="str">
        <f t="shared" si="185"/>
        <v/>
      </c>
      <c r="H3921" t="str">
        <f t="shared" si="186"/>
        <v/>
      </c>
      <c r="M3921" s="34">
        <f t="shared" si="187"/>
        <v>0</v>
      </c>
    </row>
    <row r="3922" spans="7:13" x14ac:dyDescent="0.25">
      <c r="G3922" s="10" t="str">
        <f t="shared" si="185"/>
        <v/>
      </c>
      <c r="H3922" t="str">
        <f t="shared" si="186"/>
        <v/>
      </c>
      <c r="M3922" s="34">
        <f t="shared" si="187"/>
        <v>0</v>
      </c>
    </row>
    <row r="3923" spans="7:13" x14ac:dyDescent="0.25">
      <c r="G3923" s="10" t="str">
        <f t="shared" si="185"/>
        <v/>
      </c>
      <c r="H3923" t="str">
        <f t="shared" si="186"/>
        <v/>
      </c>
      <c r="M3923" s="34">
        <f t="shared" si="187"/>
        <v>0</v>
      </c>
    </row>
    <row r="3924" spans="7:13" x14ac:dyDescent="0.25">
      <c r="G3924" s="10" t="str">
        <f t="shared" si="185"/>
        <v/>
      </c>
      <c r="H3924" t="str">
        <f t="shared" si="186"/>
        <v/>
      </c>
      <c r="M3924" s="34">
        <f t="shared" si="187"/>
        <v>0</v>
      </c>
    </row>
    <row r="3925" spans="7:13" x14ac:dyDescent="0.25">
      <c r="G3925" s="10" t="str">
        <f t="shared" si="185"/>
        <v/>
      </c>
      <c r="H3925" t="str">
        <f t="shared" si="186"/>
        <v/>
      </c>
      <c r="M3925" s="34">
        <f t="shared" si="187"/>
        <v>0</v>
      </c>
    </row>
    <row r="3926" spans="7:13" x14ac:dyDescent="0.25">
      <c r="G3926" s="10" t="str">
        <f t="shared" si="185"/>
        <v/>
      </c>
      <c r="H3926" t="str">
        <f t="shared" si="186"/>
        <v/>
      </c>
      <c r="M3926" s="34">
        <f t="shared" si="187"/>
        <v>0</v>
      </c>
    </row>
    <row r="3927" spans="7:13" x14ac:dyDescent="0.25">
      <c r="G3927" s="10" t="str">
        <f t="shared" si="185"/>
        <v/>
      </c>
      <c r="H3927" t="str">
        <f t="shared" si="186"/>
        <v/>
      </c>
      <c r="M3927" s="34">
        <f t="shared" si="187"/>
        <v>0</v>
      </c>
    </row>
    <row r="3928" spans="7:13" x14ac:dyDescent="0.25">
      <c r="G3928" s="10" t="str">
        <f t="shared" si="185"/>
        <v/>
      </c>
      <c r="H3928" t="str">
        <f t="shared" si="186"/>
        <v/>
      </c>
      <c r="M3928" s="34">
        <f t="shared" si="187"/>
        <v>0</v>
      </c>
    </row>
    <row r="3929" spans="7:13" x14ac:dyDescent="0.25">
      <c r="G3929" s="10" t="str">
        <f t="shared" si="185"/>
        <v/>
      </c>
      <c r="H3929" t="str">
        <f t="shared" si="186"/>
        <v/>
      </c>
      <c r="M3929" s="34">
        <f t="shared" si="187"/>
        <v>0</v>
      </c>
    </row>
    <row r="3930" spans="7:13" x14ac:dyDescent="0.25">
      <c r="G3930" s="10" t="str">
        <f t="shared" si="185"/>
        <v/>
      </c>
      <c r="H3930" t="str">
        <f t="shared" si="186"/>
        <v/>
      </c>
      <c r="M3930" s="34">
        <f t="shared" si="187"/>
        <v>0</v>
      </c>
    </row>
    <row r="3931" spans="7:13" x14ac:dyDescent="0.25">
      <c r="G3931" s="10" t="str">
        <f t="shared" si="185"/>
        <v/>
      </c>
      <c r="H3931" t="str">
        <f t="shared" si="186"/>
        <v/>
      </c>
      <c r="M3931" s="34">
        <f t="shared" si="187"/>
        <v>0</v>
      </c>
    </row>
    <row r="3932" spans="7:13" x14ac:dyDescent="0.25">
      <c r="G3932" s="10" t="str">
        <f t="shared" si="185"/>
        <v/>
      </c>
      <c r="H3932" t="str">
        <f t="shared" si="186"/>
        <v/>
      </c>
      <c r="M3932" s="34">
        <f t="shared" si="187"/>
        <v>0</v>
      </c>
    </row>
    <row r="3933" spans="7:13" x14ac:dyDescent="0.25">
      <c r="G3933" s="10" t="str">
        <f t="shared" si="185"/>
        <v/>
      </c>
      <c r="H3933" t="str">
        <f t="shared" si="186"/>
        <v/>
      </c>
      <c r="M3933" s="34">
        <f t="shared" si="187"/>
        <v>0</v>
      </c>
    </row>
    <row r="3934" spans="7:13" x14ac:dyDescent="0.25">
      <c r="G3934" s="10" t="str">
        <f t="shared" si="185"/>
        <v/>
      </c>
      <c r="H3934" t="str">
        <f t="shared" si="186"/>
        <v/>
      </c>
      <c r="M3934" s="34">
        <f t="shared" si="187"/>
        <v>0</v>
      </c>
    </row>
    <row r="3935" spans="7:13" x14ac:dyDescent="0.25">
      <c r="G3935" s="10" t="str">
        <f t="shared" si="185"/>
        <v/>
      </c>
      <c r="H3935" t="str">
        <f t="shared" si="186"/>
        <v/>
      </c>
      <c r="M3935" s="34">
        <f t="shared" si="187"/>
        <v>0</v>
      </c>
    </row>
    <row r="3936" spans="7:13" x14ac:dyDescent="0.25">
      <c r="G3936" s="10" t="str">
        <f t="shared" si="185"/>
        <v/>
      </c>
      <c r="H3936" t="str">
        <f t="shared" si="186"/>
        <v/>
      </c>
      <c r="M3936" s="34">
        <f t="shared" si="187"/>
        <v>0</v>
      </c>
    </row>
    <row r="3937" spans="7:13" x14ac:dyDescent="0.25">
      <c r="G3937" s="10" t="str">
        <f t="shared" si="185"/>
        <v/>
      </c>
      <c r="H3937" t="str">
        <f t="shared" si="186"/>
        <v/>
      </c>
      <c r="M3937" s="34">
        <f t="shared" si="187"/>
        <v>0</v>
      </c>
    </row>
    <row r="3938" spans="7:13" x14ac:dyDescent="0.25">
      <c r="G3938" s="10" t="str">
        <f t="shared" si="185"/>
        <v/>
      </c>
      <c r="H3938" t="str">
        <f t="shared" si="186"/>
        <v/>
      </c>
      <c r="M3938" s="34">
        <f t="shared" si="187"/>
        <v>0</v>
      </c>
    </row>
    <row r="3939" spans="7:13" x14ac:dyDescent="0.25">
      <c r="G3939" s="10" t="str">
        <f t="shared" si="185"/>
        <v/>
      </c>
      <c r="H3939" t="str">
        <f t="shared" si="186"/>
        <v/>
      </c>
      <c r="M3939" s="34">
        <f t="shared" si="187"/>
        <v>0</v>
      </c>
    </row>
    <row r="3940" spans="7:13" x14ac:dyDescent="0.25">
      <c r="G3940" s="10" t="str">
        <f t="shared" si="185"/>
        <v/>
      </c>
      <c r="H3940" t="str">
        <f t="shared" si="186"/>
        <v/>
      </c>
      <c r="M3940" s="34">
        <f t="shared" si="187"/>
        <v>0</v>
      </c>
    </row>
    <row r="3941" spans="7:13" x14ac:dyDescent="0.25">
      <c r="G3941" s="10" t="str">
        <f t="shared" si="185"/>
        <v/>
      </c>
      <c r="H3941" t="str">
        <f t="shared" si="186"/>
        <v/>
      </c>
      <c r="M3941" s="34">
        <f t="shared" si="187"/>
        <v>0</v>
      </c>
    </row>
    <row r="3942" spans="7:13" x14ac:dyDescent="0.25">
      <c r="G3942" s="10" t="str">
        <f t="shared" si="185"/>
        <v/>
      </c>
      <c r="H3942" t="str">
        <f t="shared" si="186"/>
        <v/>
      </c>
      <c r="M3942" s="34">
        <f t="shared" si="187"/>
        <v>0</v>
      </c>
    </row>
    <row r="3943" spans="7:13" x14ac:dyDescent="0.25">
      <c r="G3943" s="10" t="str">
        <f t="shared" si="185"/>
        <v/>
      </c>
      <c r="H3943" t="str">
        <f t="shared" si="186"/>
        <v/>
      </c>
      <c r="M3943" s="34">
        <f t="shared" si="187"/>
        <v>0</v>
      </c>
    </row>
    <row r="3944" spans="7:13" x14ac:dyDescent="0.25">
      <c r="G3944" s="10" t="str">
        <f t="shared" si="185"/>
        <v/>
      </c>
      <c r="H3944" t="str">
        <f t="shared" si="186"/>
        <v/>
      </c>
      <c r="M3944" s="34">
        <f t="shared" si="187"/>
        <v>0</v>
      </c>
    </row>
    <row r="3945" spans="7:13" x14ac:dyDescent="0.25">
      <c r="G3945" s="10" t="str">
        <f t="shared" si="185"/>
        <v/>
      </c>
      <c r="H3945" t="str">
        <f t="shared" si="186"/>
        <v/>
      </c>
      <c r="M3945" s="34">
        <f t="shared" si="187"/>
        <v>0</v>
      </c>
    </row>
    <row r="3946" spans="7:13" x14ac:dyDescent="0.25">
      <c r="G3946" s="10" t="str">
        <f t="shared" si="185"/>
        <v/>
      </c>
      <c r="H3946" t="str">
        <f t="shared" si="186"/>
        <v/>
      </c>
      <c r="M3946" s="34">
        <f t="shared" si="187"/>
        <v>0</v>
      </c>
    </row>
    <row r="3947" spans="7:13" x14ac:dyDescent="0.25">
      <c r="G3947" s="10" t="str">
        <f t="shared" si="185"/>
        <v/>
      </c>
      <c r="H3947" t="str">
        <f t="shared" si="186"/>
        <v/>
      </c>
      <c r="M3947" s="34">
        <f t="shared" si="187"/>
        <v>0</v>
      </c>
    </row>
    <row r="3948" spans="7:13" x14ac:dyDescent="0.25">
      <c r="G3948" s="10" t="str">
        <f t="shared" si="185"/>
        <v/>
      </c>
      <c r="H3948" t="str">
        <f t="shared" si="186"/>
        <v/>
      </c>
      <c r="M3948" s="34">
        <f t="shared" si="187"/>
        <v>0</v>
      </c>
    </row>
    <row r="3949" spans="7:13" x14ac:dyDescent="0.25">
      <c r="G3949" s="10" t="str">
        <f t="shared" si="185"/>
        <v/>
      </c>
      <c r="H3949" t="str">
        <f t="shared" si="186"/>
        <v/>
      </c>
      <c r="M3949" s="34">
        <f t="shared" si="187"/>
        <v>0</v>
      </c>
    </row>
    <row r="3950" spans="7:13" x14ac:dyDescent="0.25">
      <c r="G3950" s="10" t="str">
        <f t="shared" si="185"/>
        <v/>
      </c>
      <c r="H3950" t="str">
        <f t="shared" si="186"/>
        <v/>
      </c>
      <c r="M3950" s="34">
        <f t="shared" si="187"/>
        <v>0</v>
      </c>
    </row>
    <row r="3951" spans="7:13" x14ac:dyDescent="0.25">
      <c r="G3951" s="10" t="str">
        <f t="shared" si="185"/>
        <v/>
      </c>
      <c r="H3951" t="str">
        <f t="shared" si="186"/>
        <v/>
      </c>
      <c r="M3951" s="34">
        <f t="shared" si="187"/>
        <v>0</v>
      </c>
    </row>
    <row r="3952" spans="7:13" x14ac:dyDescent="0.25">
      <c r="G3952" s="10" t="str">
        <f t="shared" si="185"/>
        <v/>
      </c>
      <c r="H3952" t="str">
        <f t="shared" si="186"/>
        <v/>
      </c>
      <c r="M3952" s="34">
        <f t="shared" si="187"/>
        <v>0</v>
      </c>
    </row>
    <row r="3953" spans="7:13" x14ac:dyDescent="0.25">
      <c r="G3953" s="10" t="str">
        <f t="shared" si="185"/>
        <v/>
      </c>
      <c r="H3953" t="str">
        <f t="shared" si="186"/>
        <v/>
      </c>
      <c r="M3953" s="34">
        <f t="shared" si="187"/>
        <v>0</v>
      </c>
    </row>
    <row r="3954" spans="7:13" x14ac:dyDescent="0.25">
      <c r="G3954" s="10" t="str">
        <f t="shared" si="185"/>
        <v/>
      </c>
      <c r="H3954" t="str">
        <f t="shared" si="186"/>
        <v/>
      </c>
      <c r="M3954" s="34">
        <f t="shared" si="187"/>
        <v>0</v>
      </c>
    </row>
    <row r="3955" spans="7:13" x14ac:dyDescent="0.25">
      <c r="G3955" s="10" t="str">
        <f t="shared" si="185"/>
        <v/>
      </c>
      <c r="H3955" t="str">
        <f t="shared" si="186"/>
        <v/>
      </c>
      <c r="M3955" s="34">
        <f t="shared" si="187"/>
        <v>0</v>
      </c>
    </row>
    <row r="3956" spans="7:13" x14ac:dyDescent="0.25">
      <c r="G3956" s="10" t="str">
        <f t="shared" si="185"/>
        <v/>
      </c>
      <c r="H3956" t="str">
        <f t="shared" si="186"/>
        <v/>
      </c>
      <c r="M3956" s="34">
        <f t="shared" si="187"/>
        <v>0</v>
      </c>
    </row>
    <row r="3957" spans="7:13" x14ac:dyDescent="0.25">
      <c r="G3957" s="10" t="str">
        <f t="shared" si="185"/>
        <v/>
      </c>
      <c r="H3957" t="str">
        <f t="shared" si="186"/>
        <v/>
      </c>
      <c r="M3957" s="34">
        <f t="shared" si="187"/>
        <v>0</v>
      </c>
    </row>
    <row r="3958" spans="7:13" x14ac:dyDescent="0.25">
      <c r="G3958" s="10" t="str">
        <f t="shared" si="185"/>
        <v/>
      </c>
      <c r="H3958" t="str">
        <f t="shared" si="186"/>
        <v/>
      </c>
      <c r="M3958" s="34">
        <f t="shared" si="187"/>
        <v>0</v>
      </c>
    </row>
    <row r="3959" spans="7:13" x14ac:dyDescent="0.25">
      <c r="G3959" s="10" t="str">
        <f t="shared" si="185"/>
        <v/>
      </c>
      <c r="H3959" t="str">
        <f t="shared" si="186"/>
        <v/>
      </c>
      <c r="M3959" s="34">
        <f t="shared" si="187"/>
        <v>0</v>
      </c>
    </row>
    <row r="3960" spans="7:13" x14ac:dyDescent="0.25">
      <c r="G3960" s="10" t="str">
        <f t="shared" si="185"/>
        <v/>
      </c>
      <c r="H3960" t="str">
        <f t="shared" si="186"/>
        <v/>
      </c>
      <c r="M3960" s="34">
        <f t="shared" si="187"/>
        <v>0</v>
      </c>
    </row>
    <row r="3961" spans="7:13" x14ac:dyDescent="0.25">
      <c r="G3961" s="10" t="str">
        <f t="shared" si="185"/>
        <v/>
      </c>
      <c r="H3961" t="str">
        <f t="shared" si="186"/>
        <v/>
      </c>
      <c r="M3961" s="34">
        <f t="shared" si="187"/>
        <v>0</v>
      </c>
    </row>
    <row r="3962" spans="7:13" x14ac:dyDescent="0.25">
      <c r="G3962" s="10" t="str">
        <f t="shared" si="185"/>
        <v/>
      </c>
      <c r="H3962" t="str">
        <f t="shared" si="186"/>
        <v/>
      </c>
      <c r="M3962" s="34">
        <f t="shared" si="187"/>
        <v>0</v>
      </c>
    </row>
    <row r="3963" spans="7:13" x14ac:dyDescent="0.25">
      <c r="G3963" s="10" t="str">
        <f t="shared" si="185"/>
        <v/>
      </c>
      <c r="H3963" t="str">
        <f t="shared" si="186"/>
        <v/>
      </c>
      <c r="M3963" s="34">
        <f t="shared" si="187"/>
        <v>0</v>
      </c>
    </row>
    <row r="3964" spans="7:13" x14ac:dyDescent="0.25">
      <c r="G3964" s="10" t="str">
        <f t="shared" si="185"/>
        <v/>
      </c>
      <c r="H3964" t="str">
        <f t="shared" si="186"/>
        <v/>
      </c>
      <c r="M3964" s="34">
        <f t="shared" si="187"/>
        <v>0</v>
      </c>
    </row>
    <row r="3965" spans="7:13" x14ac:dyDescent="0.25">
      <c r="G3965" s="10" t="str">
        <f t="shared" si="185"/>
        <v/>
      </c>
      <c r="H3965" t="str">
        <f t="shared" si="186"/>
        <v/>
      </c>
      <c r="M3965" s="34">
        <f t="shared" si="187"/>
        <v>0</v>
      </c>
    </row>
    <row r="3966" spans="7:13" x14ac:dyDescent="0.25">
      <c r="G3966" s="10" t="str">
        <f t="shared" si="185"/>
        <v/>
      </c>
      <c r="H3966" t="str">
        <f t="shared" si="186"/>
        <v/>
      </c>
      <c r="M3966" s="34">
        <f t="shared" si="187"/>
        <v>0</v>
      </c>
    </row>
    <row r="3967" spans="7:13" x14ac:dyDescent="0.25">
      <c r="G3967" s="10" t="str">
        <f t="shared" si="185"/>
        <v/>
      </c>
      <c r="H3967" t="str">
        <f t="shared" si="186"/>
        <v/>
      </c>
      <c r="M3967" s="34">
        <f t="shared" si="187"/>
        <v>0</v>
      </c>
    </row>
    <row r="3968" spans="7:13" x14ac:dyDescent="0.25">
      <c r="G3968" s="10" t="str">
        <f t="shared" si="185"/>
        <v/>
      </c>
      <c r="H3968" t="str">
        <f t="shared" si="186"/>
        <v/>
      </c>
      <c r="M3968" s="34">
        <f t="shared" si="187"/>
        <v>0</v>
      </c>
    </row>
    <row r="3969" spans="7:13" x14ac:dyDescent="0.25">
      <c r="G3969" s="10" t="str">
        <f t="shared" si="185"/>
        <v/>
      </c>
      <c r="H3969" t="str">
        <f t="shared" si="186"/>
        <v/>
      </c>
      <c r="M3969" s="34">
        <f t="shared" si="187"/>
        <v>0</v>
      </c>
    </row>
    <row r="3970" spans="7:13" x14ac:dyDescent="0.25">
      <c r="G3970" s="10" t="str">
        <f t="shared" ref="G3970:G4033" si="188">IF(F3970&gt;0,"RECETTE",IF(F3970&lt;0,"DÉPENSE",""))</f>
        <v/>
      </c>
      <c r="H3970" t="str">
        <f t="shared" ref="H3970:H4033" si="189">+IF(ISNUMBER(D3970),D3970,"")</f>
        <v/>
      </c>
      <c r="M3970" s="34">
        <f t="shared" si="187"/>
        <v>0</v>
      </c>
    </row>
    <row r="3971" spans="7:13" x14ac:dyDescent="0.25">
      <c r="G3971" s="10" t="str">
        <f t="shared" si="188"/>
        <v/>
      </c>
      <c r="H3971" t="str">
        <f t="shared" si="189"/>
        <v/>
      </c>
      <c r="M3971" s="34">
        <f t="shared" ref="M3971:M4034" si="190">IF(AND(E3971="Chèque",G3971="RECETTE"),F3971,0)</f>
        <v>0</v>
      </c>
    </row>
    <row r="3972" spans="7:13" x14ac:dyDescent="0.25">
      <c r="G3972" s="10" t="str">
        <f t="shared" si="188"/>
        <v/>
      </c>
      <c r="H3972" t="str">
        <f t="shared" si="189"/>
        <v/>
      </c>
      <c r="M3972" s="34">
        <f t="shared" si="190"/>
        <v>0</v>
      </c>
    </row>
    <row r="3973" spans="7:13" x14ac:dyDescent="0.25">
      <c r="G3973" s="10" t="str">
        <f t="shared" si="188"/>
        <v/>
      </c>
      <c r="H3973" t="str">
        <f t="shared" si="189"/>
        <v/>
      </c>
      <c r="M3973" s="34">
        <f t="shared" si="190"/>
        <v>0</v>
      </c>
    </row>
    <row r="3974" spans="7:13" x14ac:dyDescent="0.25">
      <c r="G3974" s="10" t="str">
        <f t="shared" si="188"/>
        <v/>
      </c>
      <c r="H3974" t="str">
        <f t="shared" si="189"/>
        <v/>
      </c>
      <c r="M3974" s="34">
        <f t="shared" si="190"/>
        <v>0</v>
      </c>
    </row>
    <row r="3975" spans="7:13" x14ac:dyDescent="0.25">
      <c r="G3975" s="10" t="str">
        <f t="shared" si="188"/>
        <v/>
      </c>
      <c r="H3975" t="str">
        <f t="shared" si="189"/>
        <v/>
      </c>
      <c r="M3975" s="34">
        <f t="shared" si="190"/>
        <v>0</v>
      </c>
    </row>
    <row r="3976" spans="7:13" x14ac:dyDescent="0.25">
      <c r="G3976" s="10" t="str">
        <f t="shared" si="188"/>
        <v/>
      </c>
      <c r="H3976" t="str">
        <f t="shared" si="189"/>
        <v/>
      </c>
      <c r="M3976" s="34">
        <f t="shared" si="190"/>
        <v>0</v>
      </c>
    </row>
    <row r="3977" spans="7:13" x14ac:dyDescent="0.25">
      <c r="G3977" s="10" t="str">
        <f t="shared" si="188"/>
        <v/>
      </c>
      <c r="H3977" t="str">
        <f t="shared" si="189"/>
        <v/>
      </c>
      <c r="M3977" s="34">
        <f t="shared" si="190"/>
        <v>0</v>
      </c>
    </row>
    <row r="3978" spans="7:13" x14ac:dyDescent="0.25">
      <c r="G3978" s="10" t="str">
        <f t="shared" si="188"/>
        <v/>
      </c>
      <c r="H3978" t="str">
        <f t="shared" si="189"/>
        <v/>
      </c>
      <c r="M3978" s="34">
        <f t="shared" si="190"/>
        <v>0</v>
      </c>
    </row>
    <row r="3979" spans="7:13" x14ac:dyDescent="0.25">
      <c r="G3979" s="10" t="str">
        <f t="shared" si="188"/>
        <v/>
      </c>
      <c r="H3979" t="str">
        <f t="shared" si="189"/>
        <v/>
      </c>
      <c r="M3979" s="34">
        <f t="shared" si="190"/>
        <v>0</v>
      </c>
    </row>
    <row r="3980" spans="7:13" x14ac:dyDescent="0.25">
      <c r="G3980" s="10" t="str">
        <f t="shared" si="188"/>
        <v/>
      </c>
      <c r="H3980" t="str">
        <f t="shared" si="189"/>
        <v/>
      </c>
      <c r="M3980" s="34">
        <f t="shared" si="190"/>
        <v>0</v>
      </c>
    </row>
    <row r="3981" spans="7:13" x14ac:dyDescent="0.25">
      <c r="G3981" s="10" t="str">
        <f t="shared" si="188"/>
        <v/>
      </c>
      <c r="H3981" t="str">
        <f t="shared" si="189"/>
        <v/>
      </c>
      <c r="M3981" s="34">
        <f t="shared" si="190"/>
        <v>0</v>
      </c>
    </row>
    <row r="3982" spans="7:13" x14ac:dyDescent="0.25">
      <c r="G3982" s="10" t="str">
        <f t="shared" si="188"/>
        <v/>
      </c>
      <c r="H3982" t="str">
        <f t="shared" si="189"/>
        <v/>
      </c>
      <c r="M3982" s="34">
        <f t="shared" si="190"/>
        <v>0</v>
      </c>
    </row>
    <row r="3983" spans="7:13" x14ac:dyDescent="0.25">
      <c r="G3983" s="10" t="str">
        <f t="shared" si="188"/>
        <v/>
      </c>
      <c r="H3983" t="str">
        <f t="shared" si="189"/>
        <v/>
      </c>
      <c r="M3983" s="34">
        <f t="shared" si="190"/>
        <v>0</v>
      </c>
    </row>
    <row r="3984" spans="7:13" x14ac:dyDescent="0.25">
      <c r="G3984" s="10" t="str">
        <f t="shared" si="188"/>
        <v/>
      </c>
      <c r="H3984" t="str">
        <f t="shared" si="189"/>
        <v/>
      </c>
      <c r="M3984" s="34">
        <f t="shared" si="190"/>
        <v>0</v>
      </c>
    </row>
    <row r="3985" spans="7:13" x14ac:dyDescent="0.25">
      <c r="G3985" s="10" t="str">
        <f t="shared" si="188"/>
        <v/>
      </c>
      <c r="H3985" t="str">
        <f t="shared" si="189"/>
        <v/>
      </c>
      <c r="M3985" s="34">
        <f t="shared" si="190"/>
        <v>0</v>
      </c>
    </row>
    <row r="3986" spans="7:13" x14ac:dyDescent="0.25">
      <c r="G3986" s="10" t="str">
        <f t="shared" si="188"/>
        <v/>
      </c>
      <c r="H3986" t="str">
        <f t="shared" si="189"/>
        <v/>
      </c>
      <c r="M3986" s="34">
        <f t="shared" si="190"/>
        <v>0</v>
      </c>
    </row>
    <row r="3987" spans="7:13" x14ac:dyDescent="0.25">
      <c r="G3987" s="10" t="str">
        <f t="shared" si="188"/>
        <v/>
      </c>
      <c r="H3987" t="str">
        <f t="shared" si="189"/>
        <v/>
      </c>
      <c r="M3987" s="34">
        <f t="shared" si="190"/>
        <v>0</v>
      </c>
    </row>
    <row r="3988" spans="7:13" x14ac:dyDescent="0.25">
      <c r="G3988" s="10" t="str">
        <f t="shared" si="188"/>
        <v/>
      </c>
      <c r="H3988" t="str">
        <f t="shared" si="189"/>
        <v/>
      </c>
      <c r="M3988" s="34">
        <f t="shared" si="190"/>
        <v>0</v>
      </c>
    </row>
    <row r="3989" spans="7:13" x14ac:dyDescent="0.25">
      <c r="G3989" s="10" t="str">
        <f t="shared" si="188"/>
        <v/>
      </c>
      <c r="H3989" t="str">
        <f t="shared" si="189"/>
        <v/>
      </c>
      <c r="M3989" s="34">
        <f t="shared" si="190"/>
        <v>0</v>
      </c>
    </row>
    <row r="3990" spans="7:13" x14ac:dyDescent="0.25">
      <c r="G3990" s="10" t="str">
        <f t="shared" si="188"/>
        <v/>
      </c>
      <c r="H3990" t="str">
        <f t="shared" si="189"/>
        <v/>
      </c>
      <c r="M3990" s="34">
        <f t="shared" si="190"/>
        <v>0</v>
      </c>
    </row>
    <row r="3991" spans="7:13" x14ac:dyDescent="0.25">
      <c r="G3991" s="10" t="str">
        <f t="shared" si="188"/>
        <v/>
      </c>
      <c r="H3991" t="str">
        <f t="shared" si="189"/>
        <v/>
      </c>
      <c r="M3991" s="34">
        <f t="shared" si="190"/>
        <v>0</v>
      </c>
    </row>
    <row r="3992" spans="7:13" x14ac:dyDescent="0.25">
      <c r="G3992" s="10" t="str">
        <f t="shared" si="188"/>
        <v/>
      </c>
      <c r="H3992" t="str">
        <f t="shared" si="189"/>
        <v/>
      </c>
      <c r="M3992" s="34">
        <f t="shared" si="190"/>
        <v>0</v>
      </c>
    </row>
    <row r="3993" spans="7:13" x14ac:dyDescent="0.25">
      <c r="G3993" s="10" t="str">
        <f t="shared" si="188"/>
        <v/>
      </c>
      <c r="H3993" t="str">
        <f t="shared" si="189"/>
        <v/>
      </c>
      <c r="M3993" s="34">
        <f t="shared" si="190"/>
        <v>0</v>
      </c>
    </row>
    <row r="3994" spans="7:13" x14ac:dyDescent="0.25">
      <c r="G3994" s="10" t="str">
        <f t="shared" si="188"/>
        <v/>
      </c>
      <c r="H3994" t="str">
        <f t="shared" si="189"/>
        <v/>
      </c>
      <c r="M3994" s="34">
        <f t="shared" si="190"/>
        <v>0</v>
      </c>
    </row>
    <row r="3995" spans="7:13" x14ac:dyDescent="0.25">
      <c r="G3995" s="10" t="str">
        <f t="shared" si="188"/>
        <v/>
      </c>
      <c r="H3995" t="str">
        <f t="shared" si="189"/>
        <v/>
      </c>
      <c r="M3995" s="34">
        <f t="shared" si="190"/>
        <v>0</v>
      </c>
    </row>
    <row r="3996" spans="7:13" x14ac:dyDescent="0.25">
      <c r="G3996" s="10" t="str">
        <f t="shared" si="188"/>
        <v/>
      </c>
      <c r="H3996" t="str">
        <f t="shared" si="189"/>
        <v/>
      </c>
      <c r="M3996" s="34">
        <f t="shared" si="190"/>
        <v>0</v>
      </c>
    </row>
    <row r="3997" spans="7:13" x14ac:dyDescent="0.25">
      <c r="G3997" s="10" t="str">
        <f t="shared" si="188"/>
        <v/>
      </c>
      <c r="H3997" t="str">
        <f t="shared" si="189"/>
        <v/>
      </c>
      <c r="M3997" s="34">
        <f t="shared" si="190"/>
        <v>0</v>
      </c>
    </row>
    <row r="3998" spans="7:13" x14ac:dyDescent="0.25">
      <c r="G3998" s="10" t="str">
        <f t="shared" si="188"/>
        <v/>
      </c>
      <c r="H3998" t="str">
        <f t="shared" si="189"/>
        <v/>
      </c>
      <c r="M3998" s="34">
        <f t="shared" si="190"/>
        <v>0</v>
      </c>
    </row>
    <row r="3999" spans="7:13" x14ac:dyDescent="0.25">
      <c r="G3999" s="10" t="str">
        <f t="shared" si="188"/>
        <v/>
      </c>
      <c r="H3999" t="str">
        <f t="shared" si="189"/>
        <v/>
      </c>
      <c r="M3999" s="34">
        <f t="shared" si="190"/>
        <v>0</v>
      </c>
    </row>
    <row r="4000" spans="7:13" x14ac:dyDescent="0.25">
      <c r="G4000" s="10" t="str">
        <f t="shared" si="188"/>
        <v/>
      </c>
      <c r="H4000" t="str">
        <f t="shared" si="189"/>
        <v/>
      </c>
      <c r="M4000" s="34">
        <f t="shared" si="190"/>
        <v>0</v>
      </c>
    </row>
    <row r="4001" spans="7:13" x14ac:dyDescent="0.25">
      <c r="G4001" s="10" t="str">
        <f t="shared" si="188"/>
        <v/>
      </c>
      <c r="H4001" t="str">
        <f t="shared" si="189"/>
        <v/>
      </c>
      <c r="M4001" s="34">
        <f t="shared" si="190"/>
        <v>0</v>
      </c>
    </row>
    <row r="4002" spans="7:13" x14ac:dyDescent="0.25">
      <c r="G4002" s="10" t="str">
        <f t="shared" si="188"/>
        <v/>
      </c>
      <c r="H4002" t="str">
        <f t="shared" si="189"/>
        <v/>
      </c>
      <c r="M4002" s="34">
        <f t="shared" si="190"/>
        <v>0</v>
      </c>
    </row>
    <row r="4003" spans="7:13" x14ac:dyDescent="0.25">
      <c r="G4003" s="10" t="str">
        <f t="shared" si="188"/>
        <v/>
      </c>
      <c r="H4003" t="str">
        <f t="shared" si="189"/>
        <v/>
      </c>
      <c r="M4003" s="34">
        <f t="shared" si="190"/>
        <v>0</v>
      </c>
    </row>
    <row r="4004" spans="7:13" x14ac:dyDescent="0.25">
      <c r="G4004" s="10" t="str">
        <f t="shared" si="188"/>
        <v/>
      </c>
      <c r="H4004" t="str">
        <f t="shared" si="189"/>
        <v/>
      </c>
      <c r="M4004" s="34">
        <f t="shared" si="190"/>
        <v>0</v>
      </c>
    </row>
    <row r="4005" spans="7:13" x14ac:dyDescent="0.25">
      <c r="G4005" s="10" t="str">
        <f t="shared" si="188"/>
        <v/>
      </c>
      <c r="H4005" t="str">
        <f t="shared" si="189"/>
        <v/>
      </c>
      <c r="M4005" s="34">
        <f t="shared" si="190"/>
        <v>0</v>
      </c>
    </row>
    <row r="4006" spans="7:13" x14ac:dyDescent="0.25">
      <c r="G4006" s="10" t="str">
        <f t="shared" si="188"/>
        <v/>
      </c>
      <c r="H4006" t="str">
        <f t="shared" si="189"/>
        <v/>
      </c>
      <c r="M4006" s="34">
        <f t="shared" si="190"/>
        <v>0</v>
      </c>
    </row>
    <row r="4007" spans="7:13" x14ac:dyDescent="0.25">
      <c r="G4007" s="10" t="str">
        <f t="shared" si="188"/>
        <v/>
      </c>
      <c r="H4007" t="str">
        <f t="shared" si="189"/>
        <v/>
      </c>
      <c r="M4007" s="34">
        <f t="shared" si="190"/>
        <v>0</v>
      </c>
    </row>
    <row r="4008" spans="7:13" x14ac:dyDescent="0.25">
      <c r="G4008" s="10" t="str">
        <f t="shared" si="188"/>
        <v/>
      </c>
      <c r="H4008" t="str">
        <f t="shared" si="189"/>
        <v/>
      </c>
      <c r="M4008" s="34">
        <f t="shared" si="190"/>
        <v>0</v>
      </c>
    </row>
    <row r="4009" spans="7:13" x14ac:dyDescent="0.25">
      <c r="G4009" s="10" t="str">
        <f t="shared" si="188"/>
        <v/>
      </c>
      <c r="H4009" t="str">
        <f t="shared" si="189"/>
        <v/>
      </c>
      <c r="M4009" s="34">
        <f t="shared" si="190"/>
        <v>0</v>
      </c>
    </row>
    <row r="4010" spans="7:13" x14ac:dyDescent="0.25">
      <c r="G4010" s="10" t="str">
        <f t="shared" si="188"/>
        <v/>
      </c>
      <c r="H4010" t="str">
        <f t="shared" si="189"/>
        <v/>
      </c>
      <c r="M4010" s="34">
        <f t="shared" si="190"/>
        <v>0</v>
      </c>
    </row>
    <row r="4011" spans="7:13" x14ac:dyDescent="0.25">
      <c r="G4011" s="10" t="str">
        <f t="shared" si="188"/>
        <v/>
      </c>
      <c r="H4011" t="str">
        <f t="shared" si="189"/>
        <v/>
      </c>
      <c r="M4011" s="34">
        <f t="shared" si="190"/>
        <v>0</v>
      </c>
    </row>
    <row r="4012" spans="7:13" x14ac:dyDescent="0.25">
      <c r="G4012" s="10" t="str">
        <f t="shared" si="188"/>
        <v/>
      </c>
      <c r="H4012" t="str">
        <f t="shared" si="189"/>
        <v/>
      </c>
      <c r="M4012" s="34">
        <f t="shared" si="190"/>
        <v>0</v>
      </c>
    </row>
    <row r="4013" spans="7:13" x14ac:dyDescent="0.25">
      <c r="G4013" s="10" t="str">
        <f t="shared" si="188"/>
        <v/>
      </c>
      <c r="H4013" t="str">
        <f t="shared" si="189"/>
        <v/>
      </c>
      <c r="M4013" s="34">
        <f t="shared" si="190"/>
        <v>0</v>
      </c>
    </row>
    <row r="4014" spans="7:13" x14ac:dyDescent="0.25">
      <c r="G4014" s="10" t="str">
        <f t="shared" si="188"/>
        <v/>
      </c>
      <c r="H4014" t="str">
        <f t="shared" si="189"/>
        <v/>
      </c>
      <c r="M4014" s="34">
        <f t="shared" si="190"/>
        <v>0</v>
      </c>
    </row>
    <row r="4015" spans="7:13" x14ac:dyDescent="0.25">
      <c r="G4015" s="10" t="str">
        <f t="shared" si="188"/>
        <v/>
      </c>
      <c r="H4015" t="str">
        <f t="shared" si="189"/>
        <v/>
      </c>
      <c r="M4015" s="34">
        <f t="shared" si="190"/>
        <v>0</v>
      </c>
    </row>
    <row r="4016" spans="7:13" x14ac:dyDescent="0.25">
      <c r="G4016" s="10" t="str">
        <f t="shared" si="188"/>
        <v/>
      </c>
      <c r="H4016" t="str">
        <f t="shared" si="189"/>
        <v/>
      </c>
      <c r="M4016" s="34">
        <f t="shared" si="190"/>
        <v>0</v>
      </c>
    </row>
    <row r="4017" spans="7:13" x14ac:dyDescent="0.25">
      <c r="G4017" s="10" t="str">
        <f t="shared" si="188"/>
        <v/>
      </c>
      <c r="H4017" t="str">
        <f t="shared" si="189"/>
        <v/>
      </c>
      <c r="M4017" s="34">
        <f t="shared" si="190"/>
        <v>0</v>
      </c>
    </row>
    <row r="4018" spans="7:13" x14ac:dyDescent="0.25">
      <c r="G4018" s="10" t="str">
        <f t="shared" si="188"/>
        <v/>
      </c>
      <c r="H4018" t="str">
        <f t="shared" si="189"/>
        <v/>
      </c>
      <c r="M4018" s="34">
        <f t="shared" si="190"/>
        <v>0</v>
      </c>
    </row>
    <row r="4019" spans="7:13" x14ac:dyDescent="0.25">
      <c r="G4019" s="10" t="str">
        <f t="shared" si="188"/>
        <v/>
      </c>
      <c r="H4019" t="str">
        <f t="shared" si="189"/>
        <v/>
      </c>
      <c r="M4019" s="34">
        <f t="shared" si="190"/>
        <v>0</v>
      </c>
    </row>
    <row r="4020" spans="7:13" x14ac:dyDescent="0.25">
      <c r="G4020" s="10" t="str">
        <f t="shared" si="188"/>
        <v/>
      </c>
      <c r="H4020" t="str">
        <f t="shared" si="189"/>
        <v/>
      </c>
      <c r="M4020" s="34">
        <f t="shared" si="190"/>
        <v>0</v>
      </c>
    </row>
    <row r="4021" spans="7:13" x14ac:dyDescent="0.25">
      <c r="G4021" s="10" t="str">
        <f t="shared" si="188"/>
        <v/>
      </c>
      <c r="H4021" t="str">
        <f t="shared" si="189"/>
        <v/>
      </c>
      <c r="M4021" s="34">
        <f t="shared" si="190"/>
        <v>0</v>
      </c>
    </row>
    <row r="4022" spans="7:13" x14ac:dyDescent="0.25">
      <c r="G4022" s="10" t="str">
        <f t="shared" si="188"/>
        <v/>
      </c>
      <c r="H4022" t="str">
        <f t="shared" si="189"/>
        <v/>
      </c>
      <c r="M4022" s="34">
        <f t="shared" si="190"/>
        <v>0</v>
      </c>
    </row>
    <row r="4023" spans="7:13" x14ac:dyDescent="0.25">
      <c r="G4023" s="10" t="str">
        <f t="shared" si="188"/>
        <v/>
      </c>
      <c r="H4023" t="str">
        <f t="shared" si="189"/>
        <v/>
      </c>
      <c r="M4023" s="34">
        <f t="shared" si="190"/>
        <v>0</v>
      </c>
    </row>
    <row r="4024" spans="7:13" x14ac:dyDescent="0.25">
      <c r="G4024" s="10" t="str">
        <f t="shared" si="188"/>
        <v/>
      </c>
      <c r="H4024" t="str">
        <f t="shared" si="189"/>
        <v/>
      </c>
      <c r="M4024" s="34">
        <f t="shared" si="190"/>
        <v>0</v>
      </c>
    </row>
    <row r="4025" spans="7:13" x14ac:dyDescent="0.25">
      <c r="G4025" s="10" t="str">
        <f t="shared" si="188"/>
        <v/>
      </c>
      <c r="H4025" t="str">
        <f t="shared" si="189"/>
        <v/>
      </c>
      <c r="M4025" s="34">
        <f t="shared" si="190"/>
        <v>0</v>
      </c>
    </row>
    <row r="4026" spans="7:13" x14ac:dyDescent="0.25">
      <c r="G4026" s="10" t="str">
        <f t="shared" si="188"/>
        <v/>
      </c>
      <c r="H4026" t="str">
        <f t="shared" si="189"/>
        <v/>
      </c>
      <c r="M4026" s="34">
        <f t="shared" si="190"/>
        <v>0</v>
      </c>
    </row>
    <row r="4027" spans="7:13" x14ac:dyDescent="0.25">
      <c r="G4027" s="10" t="str">
        <f t="shared" si="188"/>
        <v/>
      </c>
      <c r="H4027" t="str">
        <f t="shared" si="189"/>
        <v/>
      </c>
      <c r="M4027" s="34">
        <f t="shared" si="190"/>
        <v>0</v>
      </c>
    </row>
    <row r="4028" spans="7:13" x14ac:dyDescent="0.25">
      <c r="G4028" s="10" t="str">
        <f t="shared" si="188"/>
        <v/>
      </c>
      <c r="H4028" t="str">
        <f t="shared" si="189"/>
        <v/>
      </c>
      <c r="M4028" s="34">
        <f t="shared" si="190"/>
        <v>0</v>
      </c>
    </row>
    <row r="4029" spans="7:13" x14ac:dyDescent="0.25">
      <c r="G4029" s="10" t="str">
        <f t="shared" si="188"/>
        <v/>
      </c>
      <c r="H4029" t="str">
        <f t="shared" si="189"/>
        <v/>
      </c>
      <c r="M4029" s="34">
        <f t="shared" si="190"/>
        <v>0</v>
      </c>
    </row>
    <row r="4030" spans="7:13" x14ac:dyDescent="0.25">
      <c r="G4030" s="10" t="str">
        <f t="shared" si="188"/>
        <v/>
      </c>
      <c r="H4030" t="str">
        <f t="shared" si="189"/>
        <v/>
      </c>
      <c r="M4030" s="34">
        <f t="shared" si="190"/>
        <v>0</v>
      </c>
    </row>
    <row r="4031" spans="7:13" x14ac:dyDescent="0.25">
      <c r="G4031" s="10" t="str">
        <f t="shared" si="188"/>
        <v/>
      </c>
      <c r="H4031" t="str">
        <f t="shared" si="189"/>
        <v/>
      </c>
      <c r="M4031" s="34">
        <f t="shared" si="190"/>
        <v>0</v>
      </c>
    </row>
    <row r="4032" spans="7:13" x14ac:dyDescent="0.25">
      <c r="G4032" s="10" t="str">
        <f t="shared" si="188"/>
        <v/>
      </c>
      <c r="H4032" t="str">
        <f t="shared" si="189"/>
        <v/>
      </c>
      <c r="M4032" s="34">
        <f t="shared" si="190"/>
        <v>0</v>
      </c>
    </row>
    <row r="4033" spans="7:13" x14ac:dyDescent="0.25">
      <c r="G4033" s="10" t="str">
        <f t="shared" si="188"/>
        <v/>
      </c>
      <c r="H4033" t="str">
        <f t="shared" si="189"/>
        <v/>
      </c>
      <c r="M4033" s="34">
        <f t="shared" si="190"/>
        <v>0</v>
      </c>
    </row>
    <row r="4034" spans="7:13" x14ac:dyDescent="0.25">
      <c r="G4034" s="10" t="str">
        <f t="shared" ref="G4034:G4097" si="191">IF(F4034&gt;0,"RECETTE",IF(F4034&lt;0,"DÉPENSE",""))</f>
        <v/>
      </c>
      <c r="H4034" t="str">
        <f t="shared" ref="H4034:H4097" si="192">+IF(ISNUMBER(D4034),D4034,"")</f>
        <v/>
      </c>
      <c r="M4034" s="34">
        <f t="shared" si="190"/>
        <v>0</v>
      </c>
    </row>
    <row r="4035" spans="7:13" x14ac:dyDescent="0.25">
      <c r="G4035" s="10" t="str">
        <f t="shared" si="191"/>
        <v/>
      </c>
      <c r="H4035" t="str">
        <f t="shared" si="192"/>
        <v/>
      </c>
      <c r="M4035" s="34">
        <f t="shared" ref="M4035:M4098" si="193">IF(AND(E4035="Chèque",G4035="RECETTE"),F4035,0)</f>
        <v>0</v>
      </c>
    </row>
    <row r="4036" spans="7:13" x14ac:dyDescent="0.25">
      <c r="G4036" s="10" t="str">
        <f t="shared" si="191"/>
        <v/>
      </c>
      <c r="H4036" t="str">
        <f t="shared" si="192"/>
        <v/>
      </c>
      <c r="M4036" s="34">
        <f t="shared" si="193"/>
        <v>0</v>
      </c>
    </row>
    <row r="4037" spans="7:13" x14ac:dyDescent="0.25">
      <c r="G4037" s="10" t="str">
        <f t="shared" si="191"/>
        <v/>
      </c>
      <c r="H4037" t="str">
        <f t="shared" si="192"/>
        <v/>
      </c>
      <c r="M4037" s="34">
        <f t="shared" si="193"/>
        <v>0</v>
      </c>
    </row>
    <row r="4038" spans="7:13" x14ac:dyDescent="0.25">
      <c r="G4038" s="10" t="str">
        <f t="shared" si="191"/>
        <v/>
      </c>
      <c r="H4038" t="str">
        <f t="shared" si="192"/>
        <v/>
      </c>
      <c r="M4038" s="34">
        <f t="shared" si="193"/>
        <v>0</v>
      </c>
    </row>
    <row r="4039" spans="7:13" x14ac:dyDescent="0.25">
      <c r="G4039" s="10" t="str">
        <f t="shared" si="191"/>
        <v/>
      </c>
      <c r="H4039" t="str">
        <f t="shared" si="192"/>
        <v/>
      </c>
      <c r="M4039" s="34">
        <f t="shared" si="193"/>
        <v>0</v>
      </c>
    </row>
    <row r="4040" spans="7:13" x14ac:dyDescent="0.25">
      <c r="G4040" s="10" t="str">
        <f t="shared" si="191"/>
        <v/>
      </c>
      <c r="H4040" t="str">
        <f t="shared" si="192"/>
        <v/>
      </c>
      <c r="M4040" s="34">
        <f t="shared" si="193"/>
        <v>0</v>
      </c>
    </row>
    <row r="4041" spans="7:13" x14ac:dyDescent="0.25">
      <c r="G4041" s="10" t="str">
        <f t="shared" si="191"/>
        <v/>
      </c>
      <c r="H4041" t="str">
        <f t="shared" si="192"/>
        <v/>
      </c>
      <c r="M4041" s="34">
        <f t="shared" si="193"/>
        <v>0</v>
      </c>
    </row>
    <row r="4042" spans="7:13" x14ac:dyDescent="0.25">
      <c r="G4042" s="10" t="str">
        <f t="shared" si="191"/>
        <v/>
      </c>
      <c r="H4042" t="str">
        <f t="shared" si="192"/>
        <v/>
      </c>
      <c r="M4042" s="34">
        <f t="shared" si="193"/>
        <v>0</v>
      </c>
    </row>
    <row r="4043" spans="7:13" x14ac:dyDescent="0.25">
      <c r="G4043" s="10" t="str">
        <f t="shared" si="191"/>
        <v/>
      </c>
      <c r="H4043" t="str">
        <f t="shared" si="192"/>
        <v/>
      </c>
      <c r="M4043" s="34">
        <f t="shared" si="193"/>
        <v>0</v>
      </c>
    </row>
    <row r="4044" spans="7:13" x14ac:dyDescent="0.25">
      <c r="G4044" s="10" t="str">
        <f t="shared" si="191"/>
        <v/>
      </c>
      <c r="H4044" t="str">
        <f t="shared" si="192"/>
        <v/>
      </c>
      <c r="M4044" s="34">
        <f t="shared" si="193"/>
        <v>0</v>
      </c>
    </row>
    <row r="4045" spans="7:13" x14ac:dyDescent="0.25">
      <c r="G4045" s="10" t="str">
        <f t="shared" si="191"/>
        <v/>
      </c>
      <c r="H4045" t="str">
        <f t="shared" si="192"/>
        <v/>
      </c>
      <c r="M4045" s="34">
        <f t="shared" si="193"/>
        <v>0</v>
      </c>
    </row>
    <row r="4046" spans="7:13" x14ac:dyDescent="0.25">
      <c r="G4046" s="10" t="str">
        <f t="shared" si="191"/>
        <v/>
      </c>
      <c r="H4046" t="str">
        <f t="shared" si="192"/>
        <v/>
      </c>
      <c r="M4046" s="34">
        <f t="shared" si="193"/>
        <v>0</v>
      </c>
    </row>
    <row r="4047" spans="7:13" x14ac:dyDescent="0.25">
      <c r="G4047" s="10" t="str">
        <f t="shared" si="191"/>
        <v/>
      </c>
      <c r="H4047" t="str">
        <f t="shared" si="192"/>
        <v/>
      </c>
      <c r="M4047" s="34">
        <f t="shared" si="193"/>
        <v>0</v>
      </c>
    </row>
    <row r="4048" spans="7:13" x14ac:dyDescent="0.25">
      <c r="G4048" s="10" t="str">
        <f t="shared" si="191"/>
        <v/>
      </c>
      <c r="H4048" t="str">
        <f t="shared" si="192"/>
        <v/>
      </c>
      <c r="M4048" s="34">
        <f t="shared" si="193"/>
        <v>0</v>
      </c>
    </row>
    <row r="4049" spans="7:13" x14ac:dyDescent="0.25">
      <c r="G4049" s="10" t="str">
        <f t="shared" si="191"/>
        <v/>
      </c>
      <c r="H4049" t="str">
        <f t="shared" si="192"/>
        <v/>
      </c>
      <c r="M4049" s="34">
        <f t="shared" si="193"/>
        <v>0</v>
      </c>
    </row>
    <row r="4050" spans="7:13" x14ac:dyDescent="0.25">
      <c r="G4050" s="10" t="str">
        <f t="shared" si="191"/>
        <v/>
      </c>
      <c r="H4050" t="str">
        <f t="shared" si="192"/>
        <v/>
      </c>
      <c r="M4050" s="34">
        <f t="shared" si="193"/>
        <v>0</v>
      </c>
    </row>
    <row r="4051" spans="7:13" x14ac:dyDescent="0.25">
      <c r="G4051" s="10" t="str">
        <f t="shared" si="191"/>
        <v/>
      </c>
      <c r="H4051" t="str">
        <f t="shared" si="192"/>
        <v/>
      </c>
      <c r="M4051" s="34">
        <f t="shared" si="193"/>
        <v>0</v>
      </c>
    </row>
    <row r="4052" spans="7:13" x14ac:dyDescent="0.25">
      <c r="G4052" s="10" t="str">
        <f t="shared" si="191"/>
        <v/>
      </c>
      <c r="H4052" t="str">
        <f t="shared" si="192"/>
        <v/>
      </c>
      <c r="M4052" s="34">
        <f t="shared" si="193"/>
        <v>0</v>
      </c>
    </row>
    <row r="4053" spans="7:13" x14ac:dyDescent="0.25">
      <c r="G4053" s="10" t="str">
        <f t="shared" si="191"/>
        <v/>
      </c>
      <c r="H4053" t="str">
        <f t="shared" si="192"/>
        <v/>
      </c>
      <c r="M4053" s="34">
        <f t="shared" si="193"/>
        <v>0</v>
      </c>
    </row>
    <row r="4054" spans="7:13" x14ac:dyDescent="0.25">
      <c r="G4054" s="10" t="str">
        <f t="shared" si="191"/>
        <v/>
      </c>
      <c r="H4054" t="str">
        <f t="shared" si="192"/>
        <v/>
      </c>
      <c r="M4054" s="34">
        <f t="shared" si="193"/>
        <v>0</v>
      </c>
    </row>
    <row r="4055" spans="7:13" x14ac:dyDescent="0.25">
      <c r="G4055" s="10" t="str">
        <f t="shared" si="191"/>
        <v/>
      </c>
      <c r="H4055" t="str">
        <f t="shared" si="192"/>
        <v/>
      </c>
      <c r="M4055" s="34">
        <f t="shared" si="193"/>
        <v>0</v>
      </c>
    </row>
    <row r="4056" spans="7:13" x14ac:dyDescent="0.25">
      <c r="G4056" s="10" t="str">
        <f t="shared" si="191"/>
        <v/>
      </c>
      <c r="H4056" t="str">
        <f t="shared" si="192"/>
        <v/>
      </c>
      <c r="M4056" s="34">
        <f t="shared" si="193"/>
        <v>0</v>
      </c>
    </row>
    <row r="4057" spans="7:13" x14ac:dyDescent="0.25">
      <c r="G4057" s="10" t="str">
        <f t="shared" si="191"/>
        <v/>
      </c>
      <c r="H4057" t="str">
        <f t="shared" si="192"/>
        <v/>
      </c>
      <c r="M4057" s="34">
        <f t="shared" si="193"/>
        <v>0</v>
      </c>
    </row>
    <row r="4058" spans="7:13" x14ac:dyDescent="0.25">
      <c r="G4058" s="10" t="str">
        <f t="shared" si="191"/>
        <v/>
      </c>
      <c r="H4058" t="str">
        <f t="shared" si="192"/>
        <v/>
      </c>
      <c r="M4058" s="34">
        <f t="shared" si="193"/>
        <v>0</v>
      </c>
    </row>
    <row r="4059" spans="7:13" x14ac:dyDescent="0.25">
      <c r="G4059" s="10" t="str">
        <f t="shared" si="191"/>
        <v/>
      </c>
      <c r="H4059" t="str">
        <f t="shared" si="192"/>
        <v/>
      </c>
      <c r="M4059" s="34">
        <f t="shared" si="193"/>
        <v>0</v>
      </c>
    </row>
    <row r="4060" spans="7:13" x14ac:dyDescent="0.25">
      <c r="G4060" s="10" t="str">
        <f t="shared" si="191"/>
        <v/>
      </c>
      <c r="H4060" t="str">
        <f t="shared" si="192"/>
        <v/>
      </c>
      <c r="M4060" s="34">
        <f t="shared" si="193"/>
        <v>0</v>
      </c>
    </row>
    <row r="4061" spans="7:13" x14ac:dyDescent="0.25">
      <c r="G4061" s="10" t="str">
        <f t="shared" si="191"/>
        <v/>
      </c>
      <c r="H4061" t="str">
        <f t="shared" si="192"/>
        <v/>
      </c>
      <c r="M4061" s="34">
        <f t="shared" si="193"/>
        <v>0</v>
      </c>
    </row>
    <row r="4062" spans="7:13" x14ac:dyDescent="0.25">
      <c r="G4062" s="10" t="str">
        <f t="shared" si="191"/>
        <v/>
      </c>
      <c r="H4062" t="str">
        <f t="shared" si="192"/>
        <v/>
      </c>
      <c r="M4062" s="34">
        <f t="shared" si="193"/>
        <v>0</v>
      </c>
    </row>
    <row r="4063" spans="7:13" x14ac:dyDescent="0.25">
      <c r="G4063" s="10" t="str">
        <f t="shared" si="191"/>
        <v/>
      </c>
      <c r="H4063" t="str">
        <f t="shared" si="192"/>
        <v/>
      </c>
      <c r="M4063" s="34">
        <f t="shared" si="193"/>
        <v>0</v>
      </c>
    </row>
    <row r="4064" spans="7:13" x14ac:dyDescent="0.25">
      <c r="G4064" s="10" t="str">
        <f t="shared" si="191"/>
        <v/>
      </c>
      <c r="H4064" t="str">
        <f t="shared" si="192"/>
        <v/>
      </c>
      <c r="M4064" s="34">
        <f t="shared" si="193"/>
        <v>0</v>
      </c>
    </row>
    <row r="4065" spans="7:13" x14ac:dyDescent="0.25">
      <c r="G4065" s="10" t="str">
        <f t="shared" si="191"/>
        <v/>
      </c>
      <c r="H4065" t="str">
        <f t="shared" si="192"/>
        <v/>
      </c>
      <c r="M4065" s="34">
        <f t="shared" si="193"/>
        <v>0</v>
      </c>
    </row>
    <row r="4066" spans="7:13" x14ac:dyDescent="0.25">
      <c r="G4066" s="10" t="str">
        <f t="shared" si="191"/>
        <v/>
      </c>
      <c r="H4066" t="str">
        <f t="shared" si="192"/>
        <v/>
      </c>
      <c r="M4066" s="34">
        <f t="shared" si="193"/>
        <v>0</v>
      </c>
    </row>
    <row r="4067" spans="7:13" x14ac:dyDescent="0.25">
      <c r="G4067" s="10" t="str">
        <f t="shared" si="191"/>
        <v/>
      </c>
      <c r="H4067" t="str">
        <f t="shared" si="192"/>
        <v/>
      </c>
      <c r="M4067" s="34">
        <f t="shared" si="193"/>
        <v>0</v>
      </c>
    </row>
    <row r="4068" spans="7:13" x14ac:dyDescent="0.25">
      <c r="G4068" s="10" t="str">
        <f t="shared" si="191"/>
        <v/>
      </c>
      <c r="H4068" t="str">
        <f t="shared" si="192"/>
        <v/>
      </c>
      <c r="M4068" s="34">
        <f t="shared" si="193"/>
        <v>0</v>
      </c>
    </row>
    <row r="4069" spans="7:13" x14ac:dyDescent="0.25">
      <c r="G4069" s="10" t="str">
        <f t="shared" si="191"/>
        <v/>
      </c>
      <c r="H4069" t="str">
        <f t="shared" si="192"/>
        <v/>
      </c>
      <c r="M4069" s="34">
        <f t="shared" si="193"/>
        <v>0</v>
      </c>
    </row>
    <row r="4070" spans="7:13" x14ac:dyDescent="0.25">
      <c r="G4070" s="10" t="str">
        <f t="shared" si="191"/>
        <v/>
      </c>
      <c r="H4070" t="str">
        <f t="shared" si="192"/>
        <v/>
      </c>
      <c r="M4070" s="34">
        <f t="shared" si="193"/>
        <v>0</v>
      </c>
    </row>
    <row r="4071" spans="7:13" x14ac:dyDescent="0.25">
      <c r="G4071" s="10" t="str">
        <f t="shared" si="191"/>
        <v/>
      </c>
      <c r="H4071" t="str">
        <f t="shared" si="192"/>
        <v/>
      </c>
      <c r="M4071" s="34">
        <f t="shared" si="193"/>
        <v>0</v>
      </c>
    </row>
    <row r="4072" spans="7:13" x14ac:dyDescent="0.25">
      <c r="G4072" s="10" t="str">
        <f t="shared" si="191"/>
        <v/>
      </c>
      <c r="H4072" t="str">
        <f t="shared" si="192"/>
        <v/>
      </c>
      <c r="M4072" s="34">
        <f t="shared" si="193"/>
        <v>0</v>
      </c>
    </row>
    <row r="4073" spans="7:13" x14ac:dyDescent="0.25">
      <c r="G4073" s="10" t="str">
        <f t="shared" si="191"/>
        <v/>
      </c>
      <c r="H4073" t="str">
        <f t="shared" si="192"/>
        <v/>
      </c>
      <c r="M4073" s="34">
        <f t="shared" si="193"/>
        <v>0</v>
      </c>
    </row>
    <row r="4074" spans="7:13" x14ac:dyDescent="0.25">
      <c r="G4074" s="10" t="str">
        <f t="shared" si="191"/>
        <v/>
      </c>
      <c r="H4074" t="str">
        <f t="shared" si="192"/>
        <v/>
      </c>
      <c r="M4074" s="34">
        <f t="shared" si="193"/>
        <v>0</v>
      </c>
    </row>
    <row r="4075" spans="7:13" x14ac:dyDescent="0.25">
      <c r="G4075" s="10" t="str">
        <f t="shared" si="191"/>
        <v/>
      </c>
      <c r="H4075" t="str">
        <f t="shared" si="192"/>
        <v/>
      </c>
      <c r="M4075" s="34">
        <f t="shared" si="193"/>
        <v>0</v>
      </c>
    </row>
    <row r="4076" spans="7:13" x14ac:dyDescent="0.25">
      <c r="G4076" s="10" t="str">
        <f t="shared" si="191"/>
        <v/>
      </c>
      <c r="H4076" t="str">
        <f t="shared" si="192"/>
        <v/>
      </c>
      <c r="M4076" s="34">
        <f t="shared" si="193"/>
        <v>0</v>
      </c>
    </row>
    <row r="4077" spans="7:13" x14ac:dyDescent="0.25">
      <c r="G4077" s="10" t="str">
        <f t="shared" si="191"/>
        <v/>
      </c>
      <c r="H4077" t="str">
        <f t="shared" si="192"/>
        <v/>
      </c>
      <c r="M4077" s="34">
        <f t="shared" si="193"/>
        <v>0</v>
      </c>
    </row>
    <row r="4078" spans="7:13" x14ac:dyDescent="0.25">
      <c r="G4078" s="10" t="str">
        <f t="shared" si="191"/>
        <v/>
      </c>
      <c r="H4078" t="str">
        <f t="shared" si="192"/>
        <v/>
      </c>
      <c r="M4078" s="34">
        <f t="shared" si="193"/>
        <v>0</v>
      </c>
    </row>
    <row r="4079" spans="7:13" x14ac:dyDescent="0.25">
      <c r="G4079" s="10" t="str">
        <f t="shared" si="191"/>
        <v/>
      </c>
      <c r="H4079" t="str">
        <f t="shared" si="192"/>
        <v/>
      </c>
      <c r="M4079" s="34">
        <f t="shared" si="193"/>
        <v>0</v>
      </c>
    </row>
    <row r="4080" spans="7:13" x14ac:dyDescent="0.25">
      <c r="G4080" s="10" t="str">
        <f t="shared" si="191"/>
        <v/>
      </c>
      <c r="H4080" t="str">
        <f t="shared" si="192"/>
        <v/>
      </c>
      <c r="M4080" s="34">
        <f t="shared" si="193"/>
        <v>0</v>
      </c>
    </row>
    <row r="4081" spans="7:13" x14ac:dyDescent="0.25">
      <c r="G4081" s="10" t="str">
        <f t="shared" si="191"/>
        <v/>
      </c>
      <c r="H4081" t="str">
        <f t="shared" si="192"/>
        <v/>
      </c>
      <c r="M4081" s="34">
        <f t="shared" si="193"/>
        <v>0</v>
      </c>
    </row>
    <row r="4082" spans="7:13" x14ac:dyDescent="0.25">
      <c r="G4082" s="10" t="str">
        <f t="shared" si="191"/>
        <v/>
      </c>
      <c r="H4082" t="str">
        <f t="shared" si="192"/>
        <v/>
      </c>
      <c r="M4082" s="34">
        <f t="shared" si="193"/>
        <v>0</v>
      </c>
    </row>
    <row r="4083" spans="7:13" x14ac:dyDescent="0.25">
      <c r="G4083" s="10" t="str">
        <f t="shared" si="191"/>
        <v/>
      </c>
      <c r="H4083" t="str">
        <f t="shared" si="192"/>
        <v/>
      </c>
      <c r="M4083" s="34">
        <f t="shared" si="193"/>
        <v>0</v>
      </c>
    </row>
    <row r="4084" spans="7:13" x14ac:dyDescent="0.25">
      <c r="G4084" s="10" t="str">
        <f t="shared" si="191"/>
        <v/>
      </c>
      <c r="H4084" t="str">
        <f t="shared" si="192"/>
        <v/>
      </c>
      <c r="M4084" s="34">
        <f t="shared" si="193"/>
        <v>0</v>
      </c>
    </row>
    <row r="4085" spans="7:13" x14ac:dyDescent="0.25">
      <c r="G4085" s="10" t="str">
        <f t="shared" si="191"/>
        <v/>
      </c>
      <c r="H4085" t="str">
        <f t="shared" si="192"/>
        <v/>
      </c>
      <c r="M4085" s="34">
        <f t="shared" si="193"/>
        <v>0</v>
      </c>
    </row>
    <row r="4086" spans="7:13" x14ac:dyDescent="0.25">
      <c r="G4086" s="10" t="str">
        <f t="shared" si="191"/>
        <v/>
      </c>
      <c r="H4086" t="str">
        <f t="shared" si="192"/>
        <v/>
      </c>
      <c r="M4086" s="34">
        <f t="shared" si="193"/>
        <v>0</v>
      </c>
    </row>
    <row r="4087" spans="7:13" x14ac:dyDescent="0.25">
      <c r="G4087" s="10" t="str">
        <f t="shared" si="191"/>
        <v/>
      </c>
      <c r="H4087" t="str">
        <f t="shared" si="192"/>
        <v/>
      </c>
      <c r="M4087" s="34">
        <f t="shared" si="193"/>
        <v>0</v>
      </c>
    </row>
    <row r="4088" spans="7:13" x14ac:dyDescent="0.25">
      <c r="G4088" s="10" t="str">
        <f t="shared" si="191"/>
        <v/>
      </c>
      <c r="H4088" t="str">
        <f t="shared" si="192"/>
        <v/>
      </c>
      <c r="M4088" s="34">
        <f t="shared" si="193"/>
        <v>0</v>
      </c>
    </row>
    <row r="4089" spans="7:13" x14ac:dyDescent="0.25">
      <c r="G4089" s="10" t="str">
        <f t="shared" si="191"/>
        <v/>
      </c>
      <c r="H4089" t="str">
        <f t="shared" si="192"/>
        <v/>
      </c>
      <c r="M4089" s="34">
        <f t="shared" si="193"/>
        <v>0</v>
      </c>
    </row>
    <row r="4090" spans="7:13" x14ac:dyDescent="0.25">
      <c r="G4090" s="10" t="str">
        <f t="shared" si="191"/>
        <v/>
      </c>
      <c r="H4090" t="str">
        <f t="shared" si="192"/>
        <v/>
      </c>
      <c r="M4090" s="34">
        <f t="shared" si="193"/>
        <v>0</v>
      </c>
    </row>
    <row r="4091" spans="7:13" x14ac:dyDescent="0.25">
      <c r="G4091" s="10" t="str">
        <f t="shared" si="191"/>
        <v/>
      </c>
      <c r="H4091" t="str">
        <f t="shared" si="192"/>
        <v/>
      </c>
      <c r="M4091" s="34">
        <f t="shared" si="193"/>
        <v>0</v>
      </c>
    </row>
    <row r="4092" spans="7:13" x14ac:dyDescent="0.25">
      <c r="G4092" s="10" t="str">
        <f t="shared" si="191"/>
        <v/>
      </c>
      <c r="H4092" t="str">
        <f t="shared" si="192"/>
        <v/>
      </c>
      <c r="M4092" s="34">
        <f t="shared" si="193"/>
        <v>0</v>
      </c>
    </row>
    <row r="4093" spans="7:13" x14ac:dyDescent="0.25">
      <c r="G4093" s="10" t="str">
        <f t="shared" si="191"/>
        <v/>
      </c>
      <c r="H4093" t="str">
        <f t="shared" si="192"/>
        <v/>
      </c>
      <c r="M4093" s="34">
        <f t="shared" si="193"/>
        <v>0</v>
      </c>
    </row>
    <row r="4094" spans="7:13" x14ac:dyDescent="0.25">
      <c r="G4094" s="10" t="str">
        <f t="shared" si="191"/>
        <v/>
      </c>
      <c r="H4094" t="str">
        <f t="shared" si="192"/>
        <v/>
      </c>
      <c r="M4094" s="34">
        <f t="shared" si="193"/>
        <v>0</v>
      </c>
    </row>
    <row r="4095" spans="7:13" x14ac:dyDescent="0.25">
      <c r="G4095" s="10" t="str">
        <f t="shared" si="191"/>
        <v/>
      </c>
      <c r="H4095" t="str">
        <f t="shared" si="192"/>
        <v/>
      </c>
      <c r="M4095" s="34">
        <f t="shared" si="193"/>
        <v>0</v>
      </c>
    </row>
    <row r="4096" spans="7:13" x14ac:dyDescent="0.25">
      <c r="G4096" s="10" t="str">
        <f t="shared" si="191"/>
        <v/>
      </c>
      <c r="H4096" t="str">
        <f t="shared" si="192"/>
        <v/>
      </c>
      <c r="M4096" s="34">
        <f t="shared" si="193"/>
        <v>0</v>
      </c>
    </row>
    <row r="4097" spans="7:13" x14ac:dyDescent="0.25">
      <c r="G4097" s="10" t="str">
        <f t="shared" si="191"/>
        <v/>
      </c>
      <c r="H4097" t="str">
        <f t="shared" si="192"/>
        <v/>
      </c>
      <c r="M4097" s="34">
        <f t="shared" si="193"/>
        <v>0</v>
      </c>
    </row>
    <row r="4098" spans="7:13" x14ac:dyDescent="0.25">
      <c r="G4098" s="10" t="str">
        <f t="shared" ref="G4098:G4161" si="194">IF(F4098&gt;0,"RECETTE",IF(F4098&lt;0,"DÉPENSE",""))</f>
        <v/>
      </c>
      <c r="H4098" t="str">
        <f t="shared" ref="H4098:H4161" si="195">+IF(ISNUMBER(D4098),D4098,"")</f>
        <v/>
      </c>
      <c r="M4098" s="34">
        <f t="shared" si="193"/>
        <v>0</v>
      </c>
    </row>
    <row r="4099" spans="7:13" x14ac:dyDescent="0.25">
      <c r="G4099" s="10" t="str">
        <f t="shared" si="194"/>
        <v/>
      </c>
      <c r="H4099" t="str">
        <f t="shared" si="195"/>
        <v/>
      </c>
      <c r="M4099" s="34">
        <f t="shared" ref="M4099:M4162" si="196">IF(AND(E4099="Chèque",G4099="RECETTE"),F4099,0)</f>
        <v>0</v>
      </c>
    </row>
    <row r="4100" spans="7:13" x14ac:dyDescent="0.25">
      <c r="G4100" s="10" t="str">
        <f t="shared" si="194"/>
        <v/>
      </c>
      <c r="H4100" t="str">
        <f t="shared" si="195"/>
        <v/>
      </c>
      <c r="M4100" s="34">
        <f t="shared" si="196"/>
        <v>0</v>
      </c>
    </row>
    <row r="4101" spans="7:13" x14ac:dyDescent="0.25">
      <c r="G4101" s="10" t="str">
        <f t="shared" si="194"/>
        <v/>
      </c>
      <c r="H4101" t="str">
        <f t="shared" si="195"/>
        <v/>
      </c>
      <c r="M4101" s="34">
        <f t="shared" si="196"/>
        <v>0</v>
      </c>
    </row>
    <row r="4102" spans="7:13" x14ac:dyDescent="0.25">
      <c r="G4102" s="10" t="str">
        <f t="shared" si="194"/>
        <v/>
      </c>
      <c r="H4102" t="str">
        <f t="shared" si="195"/>
        <v/>
      </c>
      <c r="M4102" s="34">
        <f t="shared" si="196"/>
        <v>0</v>
      </c>
    </row>
    <row r="4103" spans="7:13" x14ac:dyDescent="0.25">
      <c r="G4103" s="10" t="str">
        <f t="shared" si="194"/>
        <v/>
      </c>
      <c r="H4103" t="str">
        <f t="shared" si="195"/>
        <v/>
      </c>
      <c r="M4103" s="34">
        <f t="shared" si="196"/>
        <v>0</v>
      </c>
    </row>
    <row r="4104" spans="7:13" x14ac:dyDescent="0.25">
      <c r="G4104" s="10" t="str">
        <f t="shared" si="194"/>
        <v/>
      </c>
      <c r="H4104" t="str">
        <f t="shared" si="195"/>
        <v/>
      </c>
      <c r="M4104" s="34">
        <f t="shared" si="196"/>
        <v>0</v>
      </c>
    </row>
    <row r="4105" spans="7:13" x14ac:dyDescent="0.25">
      <c r="G4105" s="10" t="str">
        <f t="shared" si="194"/>
        <v/>
      </c>
      <c r="H4105" t="str">
        <f t="shared" si="195"/>
        <v/>
      </c>
      <c r="M4105" s="34">
        <f t="shared" si="196"/>
        <v>0</v>
      </c>
    </row>
    <row r="4106" spans="7:13" x14ac:dyDescent="0.25">
      <c r="G4106" s="10" t="str">
        <f t="shared" si="194"/>
        <v/>
      </c>
      <c r="H4106" t="str">
        <f t="shared" si="195"/>
        <v/>
      </c>
      <c r="M4106" s="34">
        <f t="shared" si="196"/>
        <v>0</v>
      </c>
    </row>
    <row r="4107" spans="7:13" x14ac:dyDescent="0.25">
      <c r="G4107" s="10" t="str">
        <f t="shared" si="194"/>
        <v/>
      </c>
      <c r="H4107" t="str">
        <f t="shared" si="195"/>
        <v/>
      </c>
      <c r="M4107" s="34">
        <f t="shared" si="196"/>
        <v>0</v>
      </c>
    </row>
    <row r="4108" spans="7:13" x14ac:dyDescent="0.25">
      <c r="G4108" s="10" t="str">
        <f t="shared" si="194"/>
        <v/>
      </c>
      <c r="H4108" t="str">
        <f t="shared" si="195"/>
        <v/>
      </c>
      <c r="M4108" s="34">
        <f t="shared" si="196"/>
        <v>0</v>
      </c>
    </row>
    <row r="4109" spans="7:13" x14ac:dyDescent="0.25">
      <c r="G4109" s="10" t="str">
        <f t="shared" si="194"/>
        <v/>
      </c>
      <c r="H4109" t="str">
        <f t="shared" si="195"/>
        <v/>
      </c>
      <c r="M4109" s="34">
        <f t="shared" si="196"/>
        <v>0</v>
      </c>
    </row>
    <row r="4110" spans="7:13" x14ac:dyDescent="0.25">
      <c r="G4110" s="10" t="str">
        <f t="shared" si="194"/>
        <v/>
      </c>
      <c r="H4110" t="str">
        <f t="shared" si="195"/>
        <v/>
      </c>
      <c r="M4110" s="34">
        <f t="shared" si="196"/>
        <v>0</v>
      </c>
    </row>
    <row r="4111" spans="7:13" x14ac:dyDescent="0.25">
      <c r="G4111" s="10" t="str">
        <f t="shared" si="194"/>
        <v/>
      </c>
      <c r="H4111" t="str">
        <f t="shared" si="195"/>
        <v/>
      </c>
      <c r="M4111" s="34">
        <f t="shared" si="196"/>
        <v>0</v>
      </c>
    </row>
    <row r="4112" spans="7:13" x14ac:dyDescent="0.25">
      <c r="G4112" s="10" t="str">
        <f t="shared" si="194"/>
        <v/>
      </c>
      <c r="H4112" t="str">
        <f t="shared" si="195"/>
        <v/>
      </c>
      <c r="M4112" s="34">
        <f t="shared" si="196"/>
        <v>0</v>
      </c>
    </row>
    <row r="4113" spans="7:13" x14ac:dyDescent="0.25">
      <c r="G4113" s="10" t="str">
        <f t="shared" si="194"/>
        <v/>
      </c>
      <c r="H4113" t="str">
        <f t="shared" si="195"/>
        <v/>
      </c>
      <c r="M4113" s="34">
        <f t="shared" si="196"/>
        <v>0</v>
      </c>
    </row>
    <row r="4114" spans="7:13" x14ac:dyDescent="0.25">
      <c r="G4114" s="10" t="str">
        <f t="shared" si="194"/>
        <v/>
      </c>
      <c r="H4114" t="str">
        <f t="shared" si="195"/>
        <v/>
      </c>
      <c r="M4114" s="34">
        <f t="shared" si="196"/>
        <v>0</v>
      </c>
    </row>
    <row r="4115" spans="7:13" x14ac:dyDescent="0.25">
      <c r="G4115" s="10" t="str">
        <f t="shared" si="194"/>
        <v/>
      </c>
      <c r="H4115" t="str">
        <f t="shared" si="195"/>
        <v/>
      </c>
      <c r="M4115" s="34">
        <f t="shared" si="196"/>
        <v>0</v>
      </c>
    </row>
    <row r="4116" spans="7:13" x14ac:dyDescent="0.25">
      <c r="G4116" s="10" t="str">
        <f t="shared" si="194"/>
        <v/>
      </c>
      <c r="H4116" t="str">
        <f t="shared" si="195"/>
        <v/>
      </c>
      <c r="M4116" s="34">
        <f t="shared" si="196"/>
        <v>0</v>
      </c>
    </row>
    <row r="4117" spans="7:13" x14ac:dyDescent="0.25">
      <c r="G4117" s="10" t="str">
        <f t="shared" si="194"/>
        <v/>
      </c>
      <c r="H4117" t="str">
        <f t="shared" si="195"/>
        <v/>
      </c>
      <c r="M4117" s="34">
        <f t="shared" si="196"/>
        <v>0</v>
      </c>
    </row>
    <row r="4118" spans="7:13" x14ac:dyDescent="0.25">
      <c r="G4118" s="10" t="str">
        <f t="shared" si="194"/>
        <v/>
      </c>
      <c r="H4118" t="str">
        <f t="shared" si="195"/>
        <v/>
      </c>
      <c r="M4118" s="34">
        <f t="shared" si="196"/>
        <v>0</v>
      </c>
    </row>
    <row r="4119" spans="7:13" x14ac:dyDescent="0.25">
      <c r="G4119" s="10" t="str">
        <f t="shared" si="194"/>
        <v/>
      </c>
      <c r="H4119" t="str">
        <f t="shared" si="195"/>
        <v/>
      </c>
      <c r="M4119" s="34">
        <f t="shared" si="196"/>
        <v>0</v>
      </c>
    </row>
    <row r="4120" spans="7:13" x14ac:dyDescent="0.25">
      <c r="G4120" s="10" t="str">
        <f t="shared" si="194"/>
        <v/>
      </c>
      <c r="H4120" t="str">
        <f t="shared" si="195"/>
        <v/>
      </c>
      <c r="M4120" s="34">
        <f t="shared" si="196"/>
        <v>0</v>
      </c>
    </row>
    <row r="4121" spans="7:13" x14ac:dyDescent="0.25">
      <c r="G4121" s="10" t="str">
        <f t="shared" si="194"/>
        <v/>
      </c>
      <c r="H4121" t="str">
        <f t="shared" si="195"/>
        <v/>
      </c>
      <c r="M4121" s="34">
        <f t="shared" si="196"/>
        <v>0</v>
      </c>
    </row>
    <row r="4122" spans="7:13" x14ac:dyDescent="0.25">
      <c r="G4122" s="10" t="str">
        <f t="shared" si="194"/>
        <v/>
      </c>
      <c r="H4122" t="str">
        <f t="shared" si="195"/>
        <v/>
      </c>
      <c r="M4122" s="34">
        <f t="shared" si="196"/>
        <v>0</v>
      </c>
    </row>
    <row r="4123" spans="7:13" x14ac:dyDescent="0.25">
      <c r="G4123" s="10" t="str">
        <f t="shared" si="194"/>
        <v/>
      </c>
      <c r="H4123" t="str">
        <f t="shared" si="195"/>
        <v/>
      </c>
      <c r="M4123" s="34">
        <f t="shared" si="196"/>
        <v>0</v>
      </c>
    </row>
    <row r="4124" spans="7:13" x14ac:dyDescent="0.25">
      <c r="G4124" s="10" t="str">
        <f t="shared" si="194"/>
        <v/>
      </c>
      <c r="H4124" t="str">
        <f t="shared" si="195"/>
        <v/>
      </c>
      <c r="M4124" s="34">
        <f t="shared" si="196"/>
        <v>0</v>
      </c>
    </row>
    <row r="4125" spans="7:13" x14ac:dyDescent="0.25">
      <c r="G4125" s="10" t="str">
        <f t="shared" si="194"/>
        <v/>
      </c>
      <c r="H4125" t="str">
        <f t="shared" si="195"/>
        <v/>
      </c>
      <c r="M4125" s="34">
        <f t="shared" si="196"/>
        <v>0</v>
      </c>
    </row>
    <row r="4126" spans="7:13" x14ac:dyDescent="0.25">
      <c r="G4126" s="10" t="str">
        <f t="shared" si="194"/>
        <v/>
      </c>
      <c r="H4126" t="str">
        <f t="shared" si="195"/>
        <v/>
      </c>
      <c r="M4126" s="34">
        <f t="shared" si="196"/>
        <v>0</v>
      </c>
    </row>
    <row r="4127" spans="7:13" x14ac:dyDescent="0.25">
      <c r="G4127" s="10" t="str">
        <f t="shared" si="194"/>
        <v/>
      </c>
      <c r="H4127" t="str">
        <f t="shared" si="195"/>
        <v/>
      </c>
      <c r="M4127" s="34">
        <f t="shared" si="196"/>
        <v>0</v>
      </c>
    </row>
    <row r="4128" spans="7:13" x14ac:dyDescent="0.25">
      <c r="G4128" s="10" t="str">
        <f t="shared" si="194"/>
        <v/>
      </c>
      <c r="H4128" t="str">
        <f t="shared" si="195"/>
        <v/>
      </c>
      <c r="M4128" s="34">
        <f t="shared" si="196"/>
        <v>0</v>
      </c>
    </row>
    <row r="4129" spans="7:13" x14ac:dyDescent="0.25">
      <c r="G4129" s="10" t="str">
        <f t="shared" si="194"/>
        <v/>
      </c>
      <c r="H4129" t="str">
        <f t="shared" si="195"/>
        <v/>
      </c>
      <c r="M4129" s="34">
        <f t="shared" si="196"/>
        <v>0</v>
      </c>
    </row>
    <row r="4130" spans="7:13" x14ac:dyDescent="0.25">
      <c r="G4130" s="10" t="str">
        <f t="shared" si="194"/>
        <v/>
      </c>
      <c r="H4130" t="str">
        <f t="shared" si="195"/>
        <v/>
      </c>
      <c r="M4130" s="34">
        <f t="shared" si="196"/>
        <v>0</v>
      </c>
    </row>
    <row r="4131" spans="7:13" x14ac:dyDescent="0.25">
      <c r="G4131" s="10" t="str">
        <f t="shared" si="194"/>
        <v/>
      </c>
      <c r="H4131" t="str">
        <f t="shared" si="195"/>
        <v/>
      </c>
      <c r="M4131" s="34">
        <f t="shared" si="196"/>
        <v>0</v>
      </c>
    </row>
    <row r="4132" spans="7:13" x14ac:dyDescent="0.25">
      <c r="G4132" s="10" t="str">
        <f t="shared" si="194"/>
        <v/>
      </c>
      <c r="H4132" t="str">
        <f t="shared" si="195"/>
        <v/>
      </c>
      <c r="M4132" s="34">
        <f t="shared" si="196"/>
        <v>0</v>
      </c>
    </row>
    <row r="4133" spans="7:13" x14ac:dyDescent="0.25">
      <c r="G4133" s="10" t="str">
        <f t="shared" si="194"/>
        <v/>
      </c>
      <c r="H4133" t="str">
        <f t="shared" si="195"/>
        <v/>
      </c>
      <c r="M4133" s="34">
        <f t="shared" si="196"/>
        <v>0</v>
      </c>
    </row>
    <row r="4134" spans="7:13" x14ac:dyDescent="0.25">
      <c r="G4134" s="10" t="str">
        <f t="shared" si="194"/>
        <v/>
      </c>
      <c r="H4134" t="str">
        <f t="shared" si="195"/>
        <v/>
      </c>
      <c r="M4134" s="34">
        <f t="shared" si="196"/>
        <v>0</v>
      </c>
    </row>
    <row r="4135" spans="7:13" x14ac:dyDescent="0.25">
      <c r="G4135" s="10" t="str">
        <f t="shared" si="194"/>
        <v/>
      </c>
      <c r="H4135" t="str">
        <f t="shared" si="195"/>
        <v/>
      </c>
      <c r="M4135" s="34">
        <f t="shared" si="196"/>
        <v>0</v>
      </c>
    </row>
    <row r="4136" spans="7:13" x14ac:dyDescent="0.25">
      <c r="G4136" s="10" t="str">
        <f t="shared" si="194"/>
        <v/>
      </c>
      <c r="H4136" t="str">
        <f t="shared" si="195"/>
        <v/>
      </c>
      <c r="M4136" s="34">
        <f t="shared" si="196"/>
        <v>0</v>
      </c>
    </row>
    <row r="4137" spans="7:13" x14ac:dyDescent="0.25">
      <c r="G4137" s="10" t="str">
        <f t="shared" si="194"/>
        <v/>
      </c>
      <c r="H4137" t="str">
        <f t="shared" si="195"/>
        <v/>
      </c>
      <c r="M4137" s="34">
        <f t="shared" si="196"/>
        <v>0</v>
      </c>
    </row>
    <row r="4138" spans="7:13" x14ac:dyDescent="0.25">
      <c r="G4138" s="10" t="str">
        <f t="shared" si="194"/>
        <v/>
      </c>
      <c r="H4138" t="str">
        <f t="shared" si="195"/>
        <v/>
      </c>
      <c r="M4138" s="34">
        <f t="shared" si="196"/>
        <v>0</v>
      </c>
    </row>
    <row r="4139" spans="7:13" x14ac:dyDescent="0.25">
      <c r="G4139" s="10" t="str">
        <f t="shared" si="194"/>
        <v/>
      </c>
      <c r="H4139" t="str">
        <f t="shared" si="195"/>
        <v/>
      </c>
      <c r="M4139" s="34">
        <f t="shared" si="196"/>
        <v>0</v>
      </c>
    </row>
    <row r="4140" spans="7:13" x14ac:dyDescent="0.25">
      <c r="G4140" s="10" t="str">
        <f t="shared" si="194"/>
        <v/>
      </c>
      <c r="H4140" t="str">
        <f t="shared" si="195"/>
        <v/>
      </c>
      <c r="M4140" s="34">
        <f t="shared" si="196"/>
        <v>0</v>
      </c>
    </row>
    <row r="4141" spans="7:13" x14ac:dyDescent="0.25">
      <c r="G4141" s="10" t="str">
        <f t="shared" si="194"/>
        <v/>
      </c>
      <c r="H4141" t="str">
        <f t="shared" si="195"/>
        <v/>
      </c>
      <c r="M4141" s="34">
        <f t="shared" si="196"/>
        <v>0</v>
      </c>
    </row>
    <row r="4142" spans="7:13" x14ac:dyDescent="0.25">
      <c r="G4142" s="10" t="str">
        <f t="shared" si="194"/>
        <v/>
      </c>
      <c r="H4142" t="str">
        <f t="shared" si="195"/>
        <v/>
      </c>
      <c r="M4142" s="34">
        <f t="shared" si="196"/>
        <v>0</v>
      </c>
    </row>
    <row r="4143" spans="7:13" x14ac:dyDescent="0.25">
      <c r="G4143" s="10" t="str">
        <f t="shared" si="194"/>
        <v/>
      </c>
      <c r="H4143" t="str">
        <f t="shared" si="195"/>
        <v/>
      </c>
      <c r="M4143" s="34">
        <f t="shared" si="196"/>
        <v>0</v>
      </c>
    </row>
    <row r="4144" spans="7:13" x14ac:dyDescent="0.25">
      <c r="G4144" s="10" t="str">
        <f t="shared" si="194"/>
        <v/>
      </c>
      <c r="H4144" t="str">
        <f t="shared" si="195"/>
        <v/>
      </c>
      <c r="M4144" s="34">
        <f t="shared" si="196"/>
        <v>0</v>
      </c>
    </row>
    <row r="4145" spans="7:13" x14ac:dyDescent="0.25">
      <c r="G4145" s="10" t="str">
        <f t="shared" si="194"/>
        <v/>
      </c>
      <c r="H4145" t="str">
        <f t="shared" si="195"/>
        <v/>
      </c>
      <c r="M4145" s="34">
        <f t="shared" si="196"/>
        <v>0</v>
      </c>
    </row>
    <row r="4146" spans="7:13" x14ac:dyDescent="0.25">
      <c r="G4146" s="10" t="str">
        <f t="shared" si="194"/>
        <v/>
      </c>
      <c r="H4146" t="str">
        <f t="shared" si="195"/>
        <v/>
      </c>
      <c r="M4146" s="34">
        <f t="shared" si="196"/>
        <v>0</v>
      </c>
    </row>
    <row r="4147" spans="7:13" x14ac:dyDescent="0.25">
      <c r="G4147" s="10" t="str">
        <f t="shared" si="194"/>
        <v/>
      </c>
      <c r="H4147" t="str">
        <f t="shared" si="195"/>
        <v/>
      </c>
      <c r="M4147" s="34">
        <f t="shared" si="196"/>
        <v>0</v>
      </c>
    </row>
    <row r="4148" spans="7:13" x14ac:dyDescent="0.25">
      <c r="G4148" s="10" t="str">
        <f t="shared" si="194"/>
        <v/>
      </c>
      <c r="H4148" t="str">
        <f t="shared" si="195"/>
        <v/>
      </c>
      <c r="M4148" s="34">
        <f t="shared" si="196"/>
        <v>0</v>
      </c>
    </row>
    <row r="4149" spans="7:13" x14ac:dyDescent="0.25">
      <c r="G4149" s="10" t="str">
        <f t="shared" si="194"/>
        <v/>
      </c>
      <c r="H4149" t="str">
        <f t="shared" si="195"/>
        <v/>
      </c>
      <c r="M4149" s="34">
        <f t="shared" si="196"/>
        <v>0</v>
      </c>
    </row>
    <row r="4150" spans="7:13" x14ac:dyDescent="0.25">
      <c r="G4150" s="10" t="str">
        <f t="shared" si="194"/>
        <v/>
      </c>
      <c r="H4150" t="str">
        <f t="shared" si="195"/>
        <v/>
      </c>
      <c r="M4150" s="34">
        <f t="shared" si="196"/>
        <v>0</v>
      </c>
    </row>
    <row r="4151" spans="7:13" x14ac:dyDescent="0.25">
      <c r="G4151" s="10" t="str">
        <f t="shared" si="194"/>
        <v/>
      </c>
      <c r="H4151" t="str">
        <f t="shared" si="195"/>
        <v/>
      </c>
      <c r="M4151" s="34">
        <f t="shared" si="196"/>
        <v>0</v>
      </c>
    </row>
    <row r="4152" spans="7:13" x14ac:dyDescent="0.25">
      <c r="G4152" s="10" t="str">
        <f t="shared" si="194"/>
        <v/>
      </c>
      <c r="H4152" t="str">
        <f t="shared" si="195"/>
        <v/>
      </c>
      <c r="M4152" s="34">
        <f t="shared" si="196"/>
        <v>0</v>
      </c>
    </row>
    <row r="4153" spans="7:13" x14ac:dyDescent="0.25">
      <c r="G4153" s="10" t="str">
        <f t="shared" si="194"/>
        <v/>
      </c>
      <c r="H4153" t="str">
        <f t="shared" si="195"/>
        <v/>
      </c>
      <c r="M4153" s="34">
        <f t="shared" si="196"/>
        <v>0</v>
      </c>
    </row>
    <row r="4154" spans="7:13" x14ac:dyDescent="0.25">
      <c r="G4154" s="10" t="str">
        <f t="shared" si="194"/>
        <v/>
      </c>
      <c r="H4154" t="str">
        <f t="shared" si="195"/>
        <v/>
      </c>
      <c r="M4154" s="34">
        <f t="shared" si="196"/>
        <v>0</v>
      </c>
    </row>
    <row r="4155" spans="7:13" x14ac:dyDescent="0.25">
      <c r="G4155" s="10" t="str">
        <f t="shared" si="194"/>
        <v/>
      </c>
      <c r="H4155" t="str">
        <f t="shared" si="195"/>
        <v/>
      </c>
      <c r="M4155" s="34">
        <f t="shared" si="196"/>
        <v>0</v>
      </c>
    </row>
    <row r="4156" spans="7:13" x14ac:dyDescent="0.25">
      <c r="G4156" s="10" t="str">
        <f t="shared" si="194"/>
        <v/>
      </c>
      <c r="H4156" t="str">
        <f t="shared" si="195"/>
        <v/>
      </c>
      <c r="M4156" s="34">
        <f t="shared" si="196"/>
        <v>0</v>
      </c>
    </row>
    <row r="4157" spans="7:13" x14ac:dyDescent="0.25">
      <c r="G4157" s="10" t="str">
        <f t="shared" si="194"/>
        <v/>
      </c>
      <c r="H4157" t="str">
        <f t="shared" si="195"/>
        <v/>
      </c>
      <c r="M4157" s="34">
        <f t="shared" si="196"/>
        <v>0</v>
      </c>
    </row>
    <row r="4158" spans="7:13" x14ac:dyDescent="0.25">
      <c r="G4158" s="10" t="str">
        <f t="shared" si="194"/>
        <v/>
      </c>
      <c r="H4158" t="str">
        <f t="shared" si="195"/>
        <v/>
      </c>
      <c r="M4158" s="34">
        <f t="shared" si="196"/>
        <v>0</v>
      </c>
    </row>
    <row r="4159" spans="7:13" x14ac:dyDescent="0.25">
      <c r="G4159" s="10" t="str">
        <f t="shared" si="194"/>
        <v/>
      </c>
      <c r="H4159" t="str">
        <f t="shared" si="195"/>
        <v/>
      </c>
      <c r="M4159" s="34">
        <f t="shared" si="196"/>
        <v>0</v>
      </c>
    </row>
    <row r="4160" spans="7:13" x14ac:dyDescent="0.25">
      <c r="G4160" s="10" t="str">
        <f t="shared" si="194"/>
        <v/>
      </c>
      <c r="H4160" t="str">
        <f t="shared" si="195"/>
        <v/>
      </c>
      <c r="M4160" s="34">
        <f t="shared" si="196"/>
        <v>0</v>
      </c>
    </row>
    <row r="4161" spans="7:13" x14ac:dyDescent="0.25">
      <c r="G4161" s="10" t="str">
        <f t="shared" si="194"/>
        <v/>
      </c>
      <c r="H4161" t="str">
        <f t="shared" si="195"/>
        <v/>
      </c>
      <c r="M4161" s="34">
        <f t="shared" si="196"/>
        <v>0</v>
      </c>
    </row>
    <row r="4162" spans="7:13" x14ac:dyDescent="0.25">
      <c r="G4162" s="10" t="str">
        <f t="shared" ref="G4162:G4225" si="197">IF(F4162&gt;0,"RECETTE",IF(F4162&lt;0,"DÉPENSE",""))</f>
        <v/>
      </c>
      <c r="H4162" t="str">
        <f t="shared" ref="H4162:H4225" si="198">+IF(ISNUMBER(D4162),D4162,"")</f>
        <v/>
      </c>
      <c r="M4162" s="34">
        <f t="shared" si="196"/>
        <v>0</v>
      </c>
    </row>
    <row r="4163" spans="7:13" x14ac:dyDescent="0.25">
      <c r="G4163" s="10" t="str">
        <f t="shared" si="197"/>
        <v/>
      </c>
      <c r="H4163" t="str">
        <f t="shared" si="198"/>
        <v/>
      </c>
      <c r="M4163" s="34">
        <f t="shared" ref="M4163:M4226" si="199">IF(AND(E4163="Chèque",G4163="RECETTE"),F4163,0)</f>
        <v>0</v>
      </c>
    </row>
    <row r="4164" spans="7:13" x14ac:dyDescent="0.25">
      <c r="G4164" s="10" t="str">
        <f t="shared" si="197"/>
        <v/>
      </c>
      <c r="H4164" t="str">
        <f t="shared" si="198"/>
        <v/>
      </c>
      <c r="M4164" s="34">
        <f t="shared" si="199"/>
        <v>0</v>
      </c>
    </row>
    <row r="4165" spans="7:13" x14ac:dyDescent="0.25">
      <c r="G4165" s="10" t="str">
        <f t="shared" si="197"/>
        <v/>
      </c>
      <c r="H4165" t="str">
        <f t="shared" si="198"/>
        <v/>
      </c>
      <c r="M4165" s="34">
        <f t="shared" si="199"/>
        <v>0</v>
      </c>
    </row>
    <row r="4166" spans="7:13" x14ac:dyDescent="0.25">
      <c r="G4166" s="10" t="str">
        <f t="shared" si="197"/>
        <v/>
      </c>
      <c r="H4166" t="str">
        <f t="shared" si="198"/>
        <v/>
      </c>
      <c r="M4166" s="34">
        <f t="shared" si="199"/>
        <v>0</v>
      </c>
    </row>
    <row r="4167" spans="7:13" x14ac:dyDescent="0.25">
      <c r="G4167" s="10" t="str">
        <f t="shared" si="197"/>
        <v/>
      </c>
      <c r="H4167" t="str">
        <f t="shared" si="198"/>
        <v/>
      </c>
      <c r="M4167" s="34">
        <f t="shared" si="199"/>
        <v>0</v>
      </c>
    </row>
    <row r="4168" spans="7:13" x14ac:dyDescent="0.25">
      <c r="G4168" s="10" t="str">
        <f t="shared" si="197"/>
        <v/>
      </c>
      <c r="H4168" t="str">
        <f t="shared" si="198"/>
        <v/>
      </c>
      <c r="M4168" s="34">
        <f t="shared" si="199"/>
        <v>0</v>
      </c>
    </row>
    <row r="4169" spans="7:13" x14ac:dyDescent="0.25">
      <c r="G4169" s="10" t="str">
        <f t="shared" si="197"/>
        <v/>
      </c>
      <c r="H4169" t="str">
        <f t="shared" si="198"/>
        <v/>
      </c>
      <c r="M4169" s="34">
        <f t="shared" si="199"/>
        <v>0</v>
      </c>
    </row>
    <row r="4170" spans="7:13" x14ac:dyDescent="0.25">
      <c r="G4170" s="10" t="str">
        <f t="shared" si="197"/>
        <v/>
      </c>
      <c r="H4170" t="str">
        <f t="shared" si="198"/>
        <v/>
      </c>
      <c r="M4170" s="34">
        <f t="shared" si="199"/>
        <v>0</v>
      </c>
    </row>
    <row r="4171" spans="7:13" x14ac:dyDescent="0.25">
      <c r="G4171" s="10" t="str">
        <f t="shared" si="197"/>
        <v/>
      </c>
      <c r="H4171" t="str">
        <f t="shared" si="198"/>
        <v/>
      </c>
      <c r="M4171" s="34">
        <f t="shared" si="199"/>
        <v>0</v>
      </c>
    </row>
    <row r="4172" spans="7:13" x14ac:dyDescent="0.25">
      <c r="G4172" s="10" t="str">
        <f t="shared" si="197"/>
        <v/>
      </c>
      <c r="H4172" t="str">
        <f t="shared" si="198"/>
        <v/>
      </c>
      <c r="M4172" s="34">
        <f t="shared" si="199"/>
        <v>0</v>
      </c>
    </row>
    <row r="4173" spans="7:13" x14ac:dyDescent="0.25">
      <c r="G4173" s="10" t="str">
        <f t="shared" si="197"/>
        <v/>
      </c>
      <c r="H4173" t="str">
        <f t="shared" si="198"/>
        <v/>
      </c>
      <c r="M4173" s="34">
        <f t="shared" si="199"/>
        <v>0</v>
      </c>
    </row>
    <row r="4174" spans="7:13" x14ac:dyDescent="0.25">
      <c r="G4174" s="10" t="str">
        <f t="shared" si="197"/>
        <v/>
      </c>
      <c r="H4174" t="str">
        <f t="shared" si="198"/>
        <v/>
      </c>
      <c r="M4174" s="34">
        <f t="shared" si="199"/>
        <v>0</v>
      </c>
    </row>
    <row r="4175" spans="7:13" x14ac:dyDescent="0.25">
      <c r="G4175" s="10" t="str">
        <f t="shared" si="197"/>
        <v/>
      </c>
      <c r="H4175" t="str">
        <f t="shared" si="198"/>
        <v/>
      </c>
      <c r="M4175" s="34">
        <f t="shared" si="199"/>
        <v>0</v>
      </c>
    </row>
    <row r="4176" spans="7:13" x14ac:dyDescent="0.25">
      <c r="G4176" s="10" t="str">
        <f t="shared" si="197"/>
        <v/>
      </c>
      <c r="H4176" t="str">
        <f t="shared" si="198"/>
        <v/>
      </c>
      <c r="M4176" s="34">
        <f t="shared" si="199"/>
        <v>0</v>
      </c>
    </row>
    <row r="4177" spans="7:13" x14ac:dyDescent="0.25">
      <c r="G4177" s="10" t="str">
        <f t="shared" si="197"/>
        <v/>
      </c>
      <c r="H4177" t="str">
        <f t="shared" si="198"/>
        <v/>
      </c>
      <c r="M4177" s="34">
        <f t="shared" si="199"/>
        <v>0</v>
      </c>
    </row>
    <row r="4178" spans="7:13" x14ac:dyDescent="0.25">
      <c r="G4178" s="10" t="str">
        <f t="shared" si="197"/>
        <v/>
      </c>
      <c r="H4178" t="str">
        <f t="shared" si="198"/>
        <v/>
      </c>
      <c r="M4178" s="34">
        <f t="shared" si="199"/>
        <v>0</v>
      </c>
    </row>
    <row r="4179" spans="7:13" x14ac:dyDescent="0.25">
      <c r="G4179" s="10" t="str">
        <f t="shared" si="197"/>
        <v/>
      </c>
      <c r="H4179" t="str">
        <f t="shared" si="198"/>
        <v/>
      </c>
      <c r="M4179" s="34">
        <f t="shared" si="199"/>
        <v>0</v>
      </c>
    </row>
    <row r="4180" spans="7:13" x14ac:dyDescent="0.25">
      <c r="G4180" s="10" t="str">
        <f t="shared" si="197"/>
        <v/>
      </c>
      <c r="H4180" t="str">
        <f t="shared" si="198"/>
        <v/>
      </c>
      <c r="M4180" s="34">
        <f t="shared" si="199"/>
        <v>0</v>
      </c>
    </row>
    <row r="4181" spans="7:13" x14ac:dyDescent="0.25">
      <c r="G4181" s="10" t="str">
        <f t="shared" si="197"/>
        <v/>
      </c>
      <c r="H4181" t="str">
        <f t="shared" si="198"/>
        <v/>
      </c>
      <c r="M4181" s="34">
        <f t="shared" si="199"/>
        <v>0</v>
      </c>
    </row>
    <row r="4182" spans="7:13" x14ac:dyDescent="0.25">
      <c r="G4182" s="10" t="str">
        <f t="shared" si="197"/>
        <v/>
      </c>
      <c r="H4182" t="str">
        <f t="shared" si="198"/>
        <v/>
      </c>
      <c r="M4182" s="34">
        <f t="shared" si="199"/>
        <v>0</v>
      </c>
    </row>
    <row r="4183" spans="7:13" x14ac:dyDescent="0.25">
      <c r="G4183" s="10" t="str">
        <f t="shared" si="197"/>
        <v/>
      </c>
      <c r="H4183" t="str">
        <f t="shared" si="198"/>
        <v/>
      </c>
      <c r="M4183" s="34">
        <f t="shared" si="199"/>
        <v>0</v>
      </c>
    </row>
    <row r="4184" spans="7:13" x14ac:dyDescent="0.25">
      <c r="G4184" s="10" t="str">
        <f t="shared" si="197"/>
        <v/>
      </c>
      <c r="H4184" t="str">
        <f t="shared" si="198"/>
        <v/>
      </c>
      <c r="M4184" s="34">
        <f t="shared" si="199"/>
        <v>0</v>
      </c>
    </row>
    <row r="4185" spans="7:13" x14ac:dyDescent="0.25">
      <c r="G4185" s="10" t="str">
        <f t="shared" si="197"/>
        <v/>
      </c>
      <c r="H4185" t="str">
        <f t="shared" si="198"/>
        <v/>
      </c>
      <c r="M4185" s="34">
        <f t="shared" si="199"/>
        <v>0</v>
      </c>
    </row>
    <row r="4186" spans="7:13" x14ac:dyDescent="0.25">
      <c r="G4186" s="10" t="str">
        <f t="shared" si="197"/>
        <v/>
      </c>
      <c r="H4186" t="str">
        <f t="shared" si="198"/>
        <v/>
      </c>
      <c r="M4186" s="34">
        <f t="shared" si="199"/>
        <v>0</v>
      </c>
    </row>
    <row r="4187" spans="7:13" x14ac:dyDescent="0.25">
      <c r="G4187" s="10" t="str">
        <f t="shared" si="197"/>
        <v/>
      </c>
      <c r="H4187" t="str">
        <f t="shared" si="198"/>
        <v/>
      </c>
      <c r="M4187" s="34">
        <f t="shared" si="199"/>
        <v>0</v>
      </c>
    </row>
    <row r="4188" spans="7:13" x14ac:dyDescent="0.25">
      <c r="G4188" s="10" t="str">
        <f t="shared" si="197"/>
        <v/>
      </c>
      <c r="H4188" t="str">
        <f t="shared" si="198"/>
        <v/>
      </c>
      <c r="M4188" s="34">
        <f t="shared" si="199"/>
        <v>0</v>
      </c>
    </row>
    <row r="4189" spans="7:13" x14ac:dyDescent="0.25">
      <c r="G4189" s="10" t="str">
        <f t="shared" si="197"/>
        <v/>
      </c>
      <c r="H4189" t="str">
        <f t="shared" si="198"/>
        <v/>
      </c>
      <c r="M4189" s="34">
        <f t="shared" si="199"/>
        <v>0</v>
      </c>
    </row>
    <row r="4190" spans="7:13" x14ac:dyDescent="0.25">
      <c r="G4190" s="10" t="str">
        <f t="shared" si="197"/>
        <v/>
      </c>
      <c r="H4190" t="str">
        <f t="shared" si="198"/>
        <v/>
      </c>
      <c r="M4190" s="34">
        <f t="shared" si="199"/>
        <v>0</v>
      </c>
    </row>
    <row r="4191" spans="7:13" x14ac:dyDescent="0.25">
      <c r="G4191" s="10" t="str">
        <f t="shared" si="197"/>
        <v/>
      </c>
      <c r="H4191" t="str">
        <f t="shared" si="198"/>
        <v/>
      </c>
      <c r="M4191" s="34">
        <f t="shared" si="199"/>
        <v>0</v>
      </c>
    </row>
    <row r="4192" spans="7:13" x14ac:dyDescent="0.25">
      <c r="G4192" s="10" t="str">
        <f t="shared" si="197"/>
        <v/>
      </c>
      <c r="H4192" t="str">
        <f t="shared" si="198"/>
        <v/>
      </c>
      <c r="M4192" s="34">
        <f t="shared" si="199"/>
        <v>0</v>
      </c>
    </row>
    <row r="4193" spans="7:13" x14ac:dyDescent="0.25">
      <c r="G4193" s="10" t="str">
        <f t="shared" si="197"/>
        <v/>
      </c>
      <c r="H4193" t="str">
        <f t="shared" si="198"/>
        <v/>
      </c>
      <c r="M4193" s="34">
        <f t="shared" si="199"/>
        <v>0</v>
      </c>
    </row>
    <row r="4194" spans="7:13" x14ac:dyDescent="0.25">
      <c r="G4194" s="10" t="str">
        <f t="shared" si="197"/>
        <v/>
      </c>
      <c r="H4194" t="str">
        <f t="shared" si="198"/>
        <v/>
      </c>
      <c r="M4194" s="34">
        <f t="shared" si="199"/>
        <v>0</v>
      </c>
    </row>
    <row r="4195" spans="7:13" x14ac:dyDescent="0.25">
      <c r="G4195" s="10" t="str">
        <f t="shared" si="197"/>
        <v/>
      </c>
      <c r="H4195" t="str">
        <f t="shared" si="198"/>
        <v/>
      </c>
      <c r="M4195" s="34">
        <f t="shared" si="199"/>
        <v>0</v>
      </c>
    </row>
    <row r="4196" spans="7:13" x14ac:dyDescent="0.25">
      <c r="G4196" s="10" t="str">
        <f t="shared" si="197"/>
        <v/>
      </c>
      <c r="H4196" t="str">
        <f t="shared" si="198"/>
        <v/>
      </c>
      <c r="M4196" s="34">
        <f t="shared" si="199"/>
        <v>0</v>
      </c>
    </row>
    <row r="4197" spans="7:13" x14ac:dyDescent="0.25">
      <c r="G4197" s="10" t="str">
        <f t="shared" si="197"/>
        <v/>
      </c>
      <c r="H4197" t="str">
        <f t="shared" si="198"/>
        <v/>
      </c>
      <c r="M4197" s="34">
        <f t="shared" si="199"/>
        <v>0</v>
      </c>
    </row>
    <row r="4198" spans="7:13" x14ac:dyDescent="0.25">
      <c r="G4198" s="10" t="str">
        <f t="shared" si="197"/>
        <v/>
      </c>
      <c r="H4198" t="str">
        <f t="shared" si="198"/>
        <v/>
      </c>
      <c r="M4198" s="34">
        <f t="shared" si="199"/>
        <v>0</v>
      </c>
    </row>
    <row r="4199" spans="7:13" x14ac:dyDescent="0.25">
      <c r="G4199" s="10" t="str">
        <f t="shared" si="197"/>
        <v/>
      </c>
      <c r="H4199" t="str">
        <f t="shared" si="198"/>
        <v/>
      </c>
      <c r="M4199" s="34">
        <f t="shared" si="199"/>
        <v>0</v>
      </c>
    </row>
    <row r="4200" spans="7:13" x14ac:dyDescent="0.25">
      <c r="G4200" s="10" t="str">
        <f t="shared" si="197"/>
        <v/>
      </c>
      <c r="H4200" t="str">
        <f t="shared" si="198"/>
        <v/>
      </c>
      <c r="M4200" s="34">
        <f t="shared" si="199"/>
        <v>0</v>
      </c>
    </row>
    <row r="4201" spans="7:13" x14ac:dyDescent="0.25">
      <c r="G4201" s="10" t="str">
        <f t="shared" si="197"/>
        <v/>
      </c>
      <c r="H4201" t="str">
        <f t="shared" si="198"/>
        <v/>
      </c>
      <c r="M4201" s="34">
        <f t="shared" si="199"/>
        <v>0</v>
      </c>
    </row>
    <row r="4202" spans="7:13" x14ac:dyDescent="0.25">
      <c r="G4202" s="10" t="str">
        <f t="shared" si="197"/>
        <v/>
      </c>
      <c r="H4202" t="str">
        <f t="shared" si="198"/>
        <v/>
      </c>
      <c r="M4202" s="34">
        <f t="shared" si="199"/>
        <v>0</v>
      </c>
    </row>
    <row r="4203" spans="7:13" x14ac:dyDescent="0.25">
      <c r="G4203" s="10" t="str">
        <f t="shared" si="197"/>
        <v/>
      </c>
      <c r="H4203" t="str">
        <f t="shared" si="198"/>
        <v/>
      </c>
      <c r="M4203" s="34">
        <f t="shared" si="199"/>
        <v>0</v>
      </c>
    </row>
    <row r="4204" spans="7:13" x14ac:dyDescent="0.25">
      <c r="G4204" s="10" t="str">
        <f t="shared" si="197"/>
        <v/>
      </c>
      <c r="H4204" t="str">
        <f t="shared" si="198"/>
        <v/>
      </c>
      <c r="M4204" s="34">
        <f t="shared" si="199"/>
        <v>0</v>
      </c>
    </row>
    <row r="4205" spans="7:13" x14ac:dyDescent="0.25">
      <c r="G4205" s="10" t="str">
        <f t="shared" si="197"/>
        <v/>
      </c>
      <c r="H4205" t="str">
        <f t="shared" si="198"/>
        <v/>
      </c>
      <c r="M4205" s="34">
        <f t="shared" si="199"/>
        <v>0</v>
      </c>
    </row>
    <row r="4206" spans="7:13" x14ac:dyDescent="0.25">
      <c r="G4206" s="10" t="str">
        <f t="shared" si="197"/>
        <v/>
      </c>
      <c r="H4206" t="str">
        <f t="shared" si="198"/>
        <v/>
      </c>
      <c r="M4206" s="34">
        <f t="shared" si="199"/>
        <v>0</v>
      </c>
    </row>
    <row r="4207" spans="7:13" x14ac:dyDescent="0.25">
      <c r="G4207" s="10" t="str">
        <f t="shared" si="197"/>
        <v/>
      </c>
      <c r="H4207" t="str">
        <f t="shared" si="198"/>
        <v/>
      </c>
      <c r="M4207" s="34">
        <f t="shared" si="199"/>
        <v>0</v>
      </c>
    </row>
    <row r="4208" spans="7:13" x14ac:dyDescent="0.25">
      <c r="G4208" s="10" t="str">
        <f t="shared" si="197"/>
        <v/>
      </c>
      <c r="H4208" t="str">
        <f t="shared" si="198"/>
        <v/>
      </c>
      <c r="M4208" s="34">
        <f t="shared" si="199"/>
        <v>0</v>
      </c>
    </row>
    <row r="4209" spans="7:13" x14ac:dyDescent="0.25">
      <c r="G4209" s="10" t="str">
        <f t="shared" si="197"/>
        <v/>
      </c>
      <c r="H4209" t="str">
        <f t="shared" si="198"/>
        <v/>
      </c>
      <c r="M4209" s="34">
        <f t="shared" si="199"/>
        <v>0</v>
      </c>
    </row>
    <row r="4210" spans="7:13" x14ac:dyDescent="0.25">
      <c r="G4210" s="10" t="str">
        <f t="shared" si="197"/>
        <v/>
      </c>
      <c r="H4210" t="str">
        <f t="shared" si="198"/>
        <v/>
      </c>
      <c r="M4210" s="34">
        <f t="shared" si="199"/>
        <v>0</v>
      </c>
    </row>
    <row r="4211" spans="7:13" x14ac:dyDescent="0.25">
      <c r="G4211" s="10" t="str">
        <f t="shared" si="197"/>
        <v/>
      </c>
      <c r="H4211" t="str">
        <f t="shared" si="198"/>
        <v/>
      </c>
      <c r="M4211" s="34">
        <f t="shared" si="199"/>
        <v>0</v>
      </c>
    </row>
    <row r="4212" spans="7:13" x14ac:dyDescent="0.25">
      <c r="G4212" s="10" t="str">
        <f t="shared" si="197"/>
        <v/>
      </c>
      <c r="H4212" t="str">
        <f t="shared" si="198"/>
        <v/>
      </c>
      <c r="M4212" s="34">
        <f t="shared" si="199"/>
        <v>0</v>
      </c>
    </row>
    <row r="4213" spans="7:13" x14ac:dyDescent="0.25">
      <c r="G4213" s="10" t="str">
        <f t="shared" si="197"/>
        <v/>
      </c>
      <c r="H4213" t="str">
        <f t="shared" si="198"/>
        <v/>
      </c>
      <c r="M4213" s="34">
        <f t="shared" si="199"/>
        <v>0</v>
      </c>
    </row>
    <row r="4214" spans="7:13" x14ac:dyDescent="0.25">
      <c r="G4214" s="10" t="str">
        <f t="shared" si="197"/>
        <v/>
      </c>
      <c r="H4214" t="str">
        <f t="shared" si="198"/>
        <v/>
      </c>
      <c r="M4214" s="34">
        <f t="shared" si="199"/>
        <v>0</v>
      </c>
    </row>
    <row r="4215" spans="7:13" x14ac:dyDescent="0.25">
      <c r="G4215" s="10" t="str">
        <f t="shared" si="197"/>
        <v/>
      </c>
      <c r="H4215" t="str">
        <f t="shared" si="198"/>
        <v/>
      </c>
      <c r="M4215" s="34">
        <f t="shared" si="199"/>
        <v>0</v>
      </c>
    </row>
    <row r="4216" spans="7:13" x14ac:dyDescent="0.25">
      <c r="G4216" s="10" t="str">
        <f t="shared" si="197"/>
        <v/>
      </c>
      <c r="H4216" t="str">
        <f t="shared" si="198"/>
        <v/>
      </c>
      <c r="M4216" s="34">
        <f t="shared" si="199"/>
        <v>0</v>
      </c>
    </row>
    <row r="4217" spans="7:13" x14ac:dyDescent="0.25">
      <c r="G4217" s="10" t="str">
        <f t="shared" si="197"/>
        <v/>
      </c>
      <c r="H4217" t="str">
        <f t="shared" si="198"/>
        <v/>
      </c>
      <c r="M4217" s="34">
        <f t="shared" si="199"/>
        <v>0</v>
      </c>
    </row>
    <row r="4218" spans="7:13" x14ac:dyDescent="0.25">
      <c r="G4218" s="10" t="str">
        <f t="shared" si="197"/>
        <v/>
      </c>
      <c r="H4218" t="str">
        <f t="shared" si="198"/>
        <v/>
      </c>
      <c r="M4218" s="34">
        <f t="shared" si="199"/>
        <v>0</v>
      </c>
    </row>
    <row r="4219" spans="7:13" x14ac:dyDescent="0.25">
      <c r="G4219" s="10" t="str">
        <f t="shared" si="197"/>
        <v/>
      </c>
      <c r="H4219" t="str">
        <f t="shared" si="198"/>
        <v/>
      </c>
      <c r="M4219" s="34">
        <f t="shared" si="199"/>
        <v>0</v>
      </c>
    </row>
    <row r="4220" spans="7:13" x14ac:dyDescent="0.25">
      <c r="G4220" s="10" t="str">
        <f t="shared" si="197"/>
        <v/>
      </c>
      <c r="H4220" t="str">
        <f t="shared" si="198"/>
        <v/>
      </c>
      <c r="M4220" s="34">
        <f t="shared" si="199"/>
        <v>0</v>
      </c>
    </row>
    <row r="4221" spans="7:13" x14ac:dyDescent="0.25">
      <c r="G4221" s="10" t="str">
        <f t="shared" si="197"/>
        <v/>
      </c>
      <c r="H4221" t="str">
        <f t="shared" si="198"/>
        <v/>
      </c>
      <c r="M4221" s="34">
        <f t="shared" si="199"/>
        <v>0</v>
      </c>
    </row>
    <row r="4222" spans="7:13" x14ac:dyDescent="0.25">
      <c r="G4222" s="10" t="str">
        <f t="shared" si="197"/>
        <v/>
      </c>
      <c r="H4222" t="str">
        <f t="shared" si="198"/>
        <v/>
      </c>
      <c r="M4222" s="34">
        <f t="shared" si="199"/>
        <v>0</v>
      </c>
    </row>
    <row r="4223" spans="7:13" x14ac:dyDescent="0.25">
      <c r="G4223" s="10" t="str">
        <f t="shared" si="197"/>
        <v/>
      </c>
      <c r="H4223" t="str">
        <f t="shared" si="198"/>
        <v/>
      </c>
      <c r="M4223" s="34">
        <f t="shared" si="199"/>
        <v>0</v>
      </c>
    </row>
    <row r="4224" spans="7:13" x14ac:dyDescent="0.25">
      <c r="G4224" s="10" t="str">
        <f t="shared" si="197"/>
        <v/>
      </c>
      <c r="H4224" t="str">
        <f t="shared" si="198"/>
        <v/>
      </c>
      <c r="M4224" s="34">
        <f t="shared" si="199"/>
        <v>0</v>
      </c>
    </row>
    <row r="4225" spans="7:13" x14ac:dyDescent="0.25">
      <c r="G4225" s="10" t="str">
        <f t="shared" si="197"/>
        <v/>
      </c>
      <c r="H4225" t="str">
        <f t="shared" si="198"/>
        <v/>
      </c>
      <c r="M4225" s="34">
        <f t="shared" si="199"/>
        <v>0</v>
      </c>
    </row>
    <row r="4226" spans="7:13" x14ac:dyDescent="0.25">
      <c r="G4226" s="10" t="str">
        <f t="shared" ref="G4226:G4289" si="200">IF(F4226&gt;0,"RECETTE",IF(F4226&lt;0,"DÉPENSE",""))</f>
        <v/>
      </c>
      <c r="H4226" t="str">
        <f t="shared" ref="H4226:H4289" si="201">+IF(ISNUMBER(D4226),D4226,"")</f>
        <v/>
      </c>
      <c r="M4226" s="34">
        <f t="shared" si="199"/>
        <v>0</v>
      </c>
    </row>
    <row r="4227" spans="7:13" x14ac:dyDescent="0.25">
      <c r="G4227" s="10" t="str">
        <f t="shared" si="200"/>
        <v/>
      </c>
      <c r="H4227" t="str">
        <f t="shared" si="201"/>
        <v/>
      </c>
      <c r="M4227" s="34">
        <f t="shared" ref="M4227:M4290" si="202">IF(AND(E4227="Chèque",G4227="RECETTE"),F4227,0)</f>
        <v>0</v>
      </c>
    </row>
    <row r="4228" spans="7:13" x14ac:dyDescent="0.25">
      <c r="G4228" s="10" t="str">
        <f t="shared" si="200"/>
        <v/>
      </c>
      <c r="H4228" t="str">
        <f t="shared" si="201"/>
        <v/>
      </c>
      <c r="M4228" s="34">
        <f t="shared" si="202"/>
        <v>0</v>
      </c>
    </row>
    <row r="4229" spans="7:13" x14ac:dyDescent="0.25">
      <c r="G4229" s="10" t="str">
        <f t="shared" si="200"/>
        <v/>
      </c>
      <c r="H4229" t="str">
        <f t="shared" si="201"/>
        <v/>
      </c>
      <c r="M4229" s="34">
        <f t="shared" si="202"/>
        <v>0</v>
      </c>
    </row>
    <row r="4230" spans="7:13" x14ac:dyDescent="0.25">
      <c r="G4230" s="10" t="str">
        <f t="shared" si="200"/>
        <v/>
      </c>
      <c r="H4230" t="str">
        <f t="shared" si="201"/>
        <v/>
      </c>
      <c r="M4230" s="34">
        <f t="shared" si="202"/>
        <v>0</v>
      </c>
    </row>
    <row r="4231" spans="7:13" x14ac:dyDescent="0.25">
      <c r="G4231" s="10" t="str">
        <f t="shared" si="200"/>
        <v/>
      </c>
      <c r="H4231" t="str">
        <f t="shared" si="201"/>
        <v/>
      </c>
      <c r="M4231" s="34">
        <f t="shared" si="202"/>
        <v>0</v>
      </c>
    </row>
    <row r="4232" spans="7:13" x14ac:dyDescent="0.25">
      <c r="G4232" s="10" t="str">
        <f t="shared" si="200"/>
        <v/>
      </c>
      <c r="H4232" t="str">
        <f t="shared" si="201"/>
        <v/>
      </c>
      <c r="M4232" s="34">
        <f t="shared" si="202"/>
        <v>0</v>
      </c>
    </row>
    <row r="4233" spans="7:13" x14ac:dyDescent="0.25">
      <c r="G4233" s="10" t="str">
        <f t="shared" si="200"/>
        <v/>
      </c>
      <c r="H4233" t="str">
        <f t="shared" si="201"/>
        <v/>
      </c>
      <c r="M4233" s="34">
        <f t="shared" si="202"/>
        <v>0</v>
      </c>
    </row>
    <row r="4234" spans="7:13" x14ac:dyDescent="0.25">
      <c r="G4234" s="10" t="str">
        <f t="shared" si="200"/>
        <v/>
      </c>
      <c r="H4234" t="str">
        <f t="shared" si="201"/>
        <v/>
      </c>
      <c r="M4234" s="34">
        <f t="shared" si="202"/>
        <v>0</v>
      </c>
    </row>
    <row r="4235" spans="7:13" x14ac:dyDescent="0.25">
      <c r="G4235" s="10" t="str">
        <f t="shared" si="200"/>
        <v/>
      </c>
      <c r="H4235" t="str">
        <f t="shared" si="201"/>
        <v/>
      </c>
      <c r="M4235" s="34">
        <f t="shared" si="202"/>
        <v>0</v>
      </c>
    </row>
    <row r="4236" spans="7:13" x14ac:dyDescent="0.25">
      <c r="G4236" s="10" t="str">
        <f t="shared" si="200"/>
        <v/>
      </c>
      <c r="H4236" t="str">
        <f t="shared" si="201"/>
        <v/>
      </c>
      <c r="M4236" s="34">
        <f t="shared" si="202"/>
        <v>0</v>
      </c>
    </row>
    <row r="4237" spans="7:13" x14ac:dyDescent="0.25">
      <c r="G4237" s="10" t="str">
        <f t="shared" si="200"/>
        <v/>
      </c>
      <c r="H4237" t="str">
        <f t="shared" si="201"/>
        <v/>
      </c>
      <c r="M4237" s="34">
        <f t="shared" si="202"/>
        <v>0</v>
      </c>
    </row>
    <row r="4238" spans="7:13" x14ac:dyDescent="0.25">
      <c r="G4238" s="10" t="str">
        <f t="shared" si="200"/>
        <v/>
      </c>
      <c r="H4238" t="str">
        <f t="shared" si="201"/>
        <v/>
      </c>
      <c r="M4238" s="34">
        <f t="shared" si="202"/>
        <v>0</v>
      </c>
    </row>
    <row r="4239" spans="7:13" x14ac:dyDescent="0.25">
      <c r="G4239" s="10" t="str">
        <f t="shared" si="200"/>
        <v/>
      </c>
      <c r="H4239" t="str">
        <f t="shared" si="201"/>
        <v/>
      </c>
      <c r="M4239" s="34">
        <f t="shared" si="202"/>
        <v>0</v>
      </c>
    </row>
    <row r="4240" spans="7:13" x14ac:dyDescent="0.25">
      <c r="G4240" s="10" t="str">
        <f t="shared" si="200"/>
        <v/>
      </c>
      <c r="H4240" t="str">
        <f t="shared" si="201"/>
        <v/>
      </c>
      <c r="M4240" s="34">
        <f t="shared" si="202"/>
        <v>0</v>
      </c>
    </row>
    <row r="4241" spans="7:13" x14ac:dyDescent="0.25">
      <c r="G4241" s="10" t="str">
        <f t="shared" si="200"/>
        <v/>
      </c>
      <c r="H4241" t="str">
        <f t="shared" si="201"/>
        <v/>
      </c>
      <c r="M4241" s="34">
        <f t="shared" si="202"/>
        <v>0</v>
      </c>
    </row>
    <row r="4242" spans="7:13" x14ac:dyDescent="0.25">
      <c r="G4242" s="10" t="str">
        <f t="shared" si="200"/>
        <v/>
      </c>
      <c r="H4242" t="str">
        <f t="shared" si="201"/>
        <v/>
      </c>
      <c r="M4242" s="34">
        <f t="shared" si="202"/>
        <v>0</v>
      </c>
    </row>
    <row r="4243" spans="7:13" x14ac:dyDescent="0.25">
      <c r="G4243" s="10" t="str">
        <f t="shared" si="200"/>
        <v/>
      </c>
      <c r="H4243" t="str">
        <f t="shared" si="201"/>
        <v/>
      </c>
      <c r="M4243" s="34">
        <f t="shared" si="202"/>
        <v>0</v>
      </c>
    </row>
    <row r="4244" spans="7:13" x14ac:dyDescent="0.25">
      <c r="G4244" s="10" t="str">
        <f t="shared" si="200"/>
        <v/>
      </c>
      <c r="H4244" t="str">
        <f t="shared" si="201"/>
        <v/>
      </c>
      <c r="M4244" s="34">
        <f t="shared" si="202"/>
        <v>0</v>
      </c>
    </row>
    <row r="4245" spans="7:13" x14ac:dyDescent="0.25">
      <c r="G4245" s="10" t="str">
        <f t="shared" si="200"/>
        <v/>
      </c>
      <c r="H4245" t="str">
        <f t="shared" si="201"/>
        <v/>
      </c>
      <c r="M4245" s="34">
        <f t="shared" si="202"/>
        <v>0</v>
      </c>
    </row>
    <row r="4246" spans="7:13" x14ac:dyDescent="0.25">
      <c r="G4246" s="10" t="str">
        <f t="shared" si="200"/>
        <v/>
      </c>
      <c r="H4246" t="str">
        <f t="shared" si="201"/>
        <v/>
      </c>
      <c r="M4246" s="34">
        <f t="shared" si="202"/>
        <v>0</v>
      </c>
    </row>
    <row r="4247" spans="7:13" x14ac:dyDescent="0.25">
      <c r="G4247" s="10" t="str">
        <f t="shared" si="200"/>
        <v/>
      </c>
      <c r="H4247" t="str">
        <f t="shared" si="201"/>
        <v/>
      </c>
      <c r="M4247" s="34">
        <f t="shared" si="202"/>
        <v>0</v>
      </c>
    </row>
    <row r="4248" spans="7:13" x14ac:dyDescent="0.25">
      <c r="G4248" s="10" t="str">
        <f t="shared" si="200"/>
        <v/>
      </c>
      <c r="H4248" t="str">
        <f t="shared" si="201"/>
        <v/>
      </c>
      <c r="M4248" s="34">
        <f t="shared" si="202"/>
        <v>0</v>
      </c>
    </row>
    <row r="4249" spans="7:13" x14ac:dyDescent="0.25">
      <c r="G4249" s="10" t="str">
        <f t="shared" si="200"/>
        <v/>
      </c>
      <c r="H4249" t="str">
        <f t="shared" si="201"/>
        <v/>
      </c>
      <c r="M4249" s="34">
        <f t="shared" si="202"/>
        <v>0</v>
      </c>
    </row>
    <row r="4250" spans="7:13" x14ac:dyDescent="0.25">
      <c r="G4250" s="10" t="str">
        <f t="shared" si="200"/>
        <v/>
      </c>
      <c r="H4250" t="str">
        <f t="shared" si="201"/>
        <v/>
      </c>
      <c r="M4250" s="34">
        <f t="shared" si="202"/>
        <v>0</v>
      </c>
    </row>
    <row r="4251" spans="7:13" x14ac:dyDescent="0.25">
      <c r="G4251" s="10" t="str">
        <f t="shared" si="200"/>
        <v/>
      </c>
      <c r="H4251" t="str">
        <f t="shared" si="201"/>
        <v/>
      </c>
      <c r="M4251" s="34">
        <f t="shared" si="202"/>
        <v>0</v>
      </c>
    </row>
    <row r="4252" spans="7:13" x14ac:dyDescent="0.25">
      <c r="G4252" s="10" t="str">
        <f t="shared" si="200"/>
        <v/>
      </c>
      <c r="H4252" t="str">
        <f t="shared" si="201"/>
        <v/>
      </c>
      <c r="M4252" s="34">
        <f t="shared" si="202"/>
        <v>0</v>
      </c>
    </row>
    <row r="4253" spans="7:13" x14ac:dyDescent="0.25">
      <c r="G4253" s="10" t="str">
        <f t="shared" si="200"/>
        <v/>
      </c>
      <c r="H4253" t="str">
        <f t="shared" si="201"/>
        <v/>
      </c>
      <c r="M4253" s="34">
        <f t="shared" si="202"/>
        <v>0</v>
      </c>
    </row>
    <row r="4254" spans="7:13" x14ac:dyDescent="0.25">
      <c r="G4254" s="10" t="str">
        <f t="shared" si="200"/>
        <v/>
      </c>
      <c r="H4254" t="str">
        <f t="shared" si="201"/>
        <v/>
      </c>
      <c r="M4254" s="34">
        <f t="shared" si="202"/>
        <v>0</v>
      </c>
    </row>
    <row r="4255" spans="7:13" x14ac:dyDescent="0.25">
      <c r="G4255" s="10" t="str">
        <f t="shared" si="200"/>
        <v/>
      </c>
      <c r="H4255" t="str">
        <f t="shared" si="201"/>
        <v/>
      </c>
      <c r="M4255" s="34">
        <f t="shared" si="202"/>
        <v>0</v>
      </c>
    </row>
    <row r="4256" spans="7:13" x14ac:dyDescent="0.25">
      <c r="G4256" s="10" t="str">
        <f t="shared" si="200"/>
        <v/>
      </c>
      <c r="H4256" t="str">
        <f t="shared" si="201"/>
        <v/>
      </c>
      <c r="M4256" s="34">
        <f t="shared" si="202"/>
        <v>0</v>
      </c>
    </row>
    <row r="4257" spans="7:13" x14ac:dyDescent="0.25">
      <c r="G4257" s="10" t="str">
        <f t="shared" si="200"/>
        <v/>
      </c>
      <c r="H4257" t="str">
        <f t="shared" si="201"/>
        <v/>
      </c>
      <c r="M4257" s="34">
        <f t="shared" si="202"/>
        <v>0</v>
      </c>
    </row>
    <row r="4258" spans="7:13" x14ac:dyDescent="0.25">
      <c r="G4258" s="10" t="str">
        <f t="shared" si="200"/>
        <v/>
      </c>
      <c r="H4258" t="str">
        <f t="shared" si="201"/>
        <v/>
      </c>
      <c r="M4258" s="34">
        <f t="shared" si="202"/>
        <v>0</v>
      </c>
    </row>
    <row r="4259" spans="7:13" x14ac:dyDescent="0.25">
      <c r="G4259" s="10" t="str">
        <f t="shared" si="200"/>
        <v/>
      </c>
      <c r="H4259" t="str">
        <f t="shared" si="201"/>
        <v/>
      </c>
      <c r="M4259" s="34">
        <f t="shared" si="202"/>
        <v>0</v>
      </c>
    </row>
    <row r="4260" spans="7:13" x14ac:dyDescent="0.25">
      <c r="G4260" s="10" t="str">
        <f t="shared" si="200"/>
        <v/>
      </c>
      <c r="H4260" t="str">
        <f t="shared" si="201"/>
        <v/>
      </c>
      <c r="M4260" s="34">
        <f t="shared" si="202"/>
        <v>0</v>
      </c>
    </row>
    <row r="4261" spans="7:13" x14ac:dyDescent="0.25">
      <c r="G4261" s="10" t="str">
        <f t="shared" si="200"/>
        <v/>
      </c>
      <c r="H4261" t="str">
        <f t="shared" si="201"/>
        <v/>
      </c>
      <c r="M4261" s="34">
        <f t="shared" si="202"/>
        <v>0</v>
      </c>
    </row>
    <row r="4262" spans="7:13" x14ac:dyDescent="0.25">
      <c r="G4262" s="10" t="str">
        <f t="shared" si="200"/>
        <v/>
      </c>
      <c r="H4262" t="str">
        <f t="shared" si="201"/>
        <v/>
      </c>
      <c r="M4262" s="34">
        <f t="shared" si="202"/>
        <v>0</v>
      </c>
    </row>
    <row r="4263" spans="7:13" x14ac:dyDescent="0.25">
      <c r="G4263" s="10" t="str">
        <f t="shared" si="200"/>
        <v/>
      </c>
      <c r="H4263" t="str">
        <f t="shared" si="201"/>
        <v/>
      </c>
      <c r="M4263" s="34">
        <f t="shared" si="202"/>
        <v>0</v>
      </c>
    </row>
    <row r="4264" spans="7:13" x14ac:dyDescent="0.25">
      <c r="G4264" s="10" t="str">
        <f t="shared" si="200"/>
        <v/>
      </c>
      <c r="H4264" t="str">
        <f t="shared" si="201"/>
        <v/>
      </c>
      <c r="M4264" s="34">
        <f t="shared" si="202"/>
        <v>0</v>
      </c>
    </row>
    <row r="4265" spans="7:13" x14ac:dyDescent="0.25">
      <c r="G4265" s="10" t="str">
        <f t="shared" si="200"/>
        <v/>
      </c>
      <c r="H4265" t="str">
        <f t="shared" si="201"/>
        <v/>
      </c>
      <c r="M4265" s="34">
        <f t="shared" si="202"/>
        <v>0</v>
      </c>
    </row>
    <row r="4266" spans="7:13" x14ac:dyDescent="0.25">
      <c r="G4266" s="10" t="str">
        <f t="shared" si="200"/>
        <v/>
      </c>
      <c r="H4266" t="str">
        <f t="shared" si="201"/>
        <v/>
      </c>
      <c r="M4266" s="34">
        <f t="shared" si="202"/>
        <v>0</v>
      </c>
    </row>
    <row r="4267" spans="7:13" x14ac:dyDescent="0.25">
      <c r="G4267" s="10" t="str">
        <f t="shared" si="200"/>
        <v/>
      </c>
      <c r="H4267" t="str">
        <f t="shared" si="201"/>
        <v/>
      </c>
      <c r="M4267" s="34">
        <f t="shared" si="202"/>
        <v>0</v>
      </c>
    </row>
    <row r="4268" spans="7:13" x14ac:dyDescent="0.25">
      <c r="G4268" s="10" t="str">
        <f t="shared" si="200"/>
        <v/>
      </c>
      <c r="H4268" t="str">
        <f t="shared" si="201"/>
        <v/>
      </c>
      <c r="M4268" s="34">
        <f t="shared" si="202"/>
        <v>0</v>
      </c>
    </row>
    <row r="4269" spans="7:13" x14ac:dyDescent="0.25">
      <c r="G4269" s="10" t="str">
        <f t="shared" si="200"/>
        <v/>
      </c>
      <c r="H4269" t="str">
        <f t="shared" si="201"/>
        <v/>
      </c>
      <c r="M4269" s="34">
        <f t="shared" si="202"/>
        <v>0</v>
      </c>
    </row>
    <row r="4270" spans="7:13" x14ac:dyDescent="0.25">
      <c r="G4270" s="10" t="str">
        <f t="shared" si="200"/>
        <v/>
      </c>
      <c r="H4270" t="str">
        <f t="shared" si="201"/>
        <v/>
      </c>
      <c r="M4270" s="34">
        <f t="shared" si="202"/>
        <v>0</v>
      </c>
    </row>
    <row r="4271" spans="7:13" x14ac:dyDescent="0.25">
      <c r="G4271" s="10" t="str">
        <f t="shared" si="200"/>
        <v/>
      </c>
      <c r="H4271" t="str">
        <f t="shared" si="201"/>
        <v/>
      </c>
      <c r="M4271" s="34">
        <f t="shared" si="202"/>
        <v>0</v>
      </c>
    </row>
    <row r="4272" spans="7:13" x14ac:dyDescent="0.25">
      <c r="G4272" s="10" t="str">
        <f t="shared" si="200"/>
        <v/>
      </c>
      <c r="H4272" t="str">
        <f t="shared" si="201"/>
        <v/>
      </c>
      <c r="M4272" s="34">
        <f t="shared" si="202"/>
        <v>0</v>
      </c>
    </row>
    <row r="4273" spans="7:13" x14ac:dyDescent="0.25">
      <c r="G4273" s="10" t="str">
        <f t="shared" si="200"/>
        <v/>
      </c>
      <c r="H4273" t="str">
        <f t="shared" si="201"/>
        <v/>
      </c>
      <c r="M4273" s="34">
        <f t="shared" si="202"/>
        <v>0</v>
      </c>
    </row>
    <row r="4274" spans="7:13" x14ac:dyDescent="0.25">
      <c r="G4274" s="10" t="str">
        <f t="shared" si="200"/>
        <v/>
      </c>
      <c r="H4274" t="str">
        <f t="shared" si="201"/>
        <v/>
      </c>
      <c r="M4274" s="34">
        <f t="shared" si="202"/>
        <v>0</v>
      </c>
    </row>
    <row r="4275" spans="7:13" x14ac:dyDescent="0.25">
      <c r="G4275" s="10" t="str">
        <f t="shared" si="200"/>
        <v/>
      </c>
      <c r="H4275" t="str">
        <f t="shared" si="201"/>
        <v/>
      </c>
      <c r="M4275" s="34">
        <f t="shared" si="202"/>
        <v>0</v>
      </c>
    </row>
    <row r="4276" spans="7:13" x14ac:dyDescent="0.25">
      <c r="G4276" s="10" t="str">
        <f t="shared" si="200"/>
        <v/>
      </c>
      <c r="H4276" t="str">
        <f t="shared" si="201"/>
        <v/>
      </c>
      <c r="M4276" s="34">
        <f t="shared" si="202"/>
        <v>0</v>
      </c>
    </row>
    <row r="4277" spans="7:13" x14ac:dyDescent="0.25">
      <c r="G4277" s="10" t="str">
        <f t="shared" si="200"/>
        <v/>
      </c>
      <c r="H4277" t="str">
        <f t="shared" si="201"/>
        <v/>
      </c>
      <c r="M4277" s="34">
        <f t="shared" si="202"/>
        <v>0</v>
      </c>
    </row>
    <row r="4278" spans="7:13" x14ac:dyDescent="0.25">
      <c r="G4278" s="10" t="str">
        <f t="shared" si="200"/>
        <v/>
      </c>
      <c r="H4278" t="str">
        <f t="shared" si="201"/>
        <v/>
      </c>
      <c r="M4278" s="34">
        <f t="shared" si="202"/>
        <v>0</v>
      </c>
    </row>
    <row r="4279" spans="7:13" x14ac:dyDescent="0.25">
      <c r="G4279" s="10" t="str">
        <f t="shared" si="200"/>
        <v/>
      </c>
      <c r="H4279" t="str">
        <f t="shared" si="201"/>
        <v/>
      </c>
      <c r="M4279" s="34">
        <f t="shared" si="202"/>
        <v>0</v>
      </c>
    </row>
    <row r="4280" spans="7:13" x14ac:dyDescent="0.25">
      <c r="G4280" s="10" t="str">
        <f t="shared" si="200"/>
        <v/>
      </c>
      <c r="H4280" t="str">
        <f t="shared" si="201"/>
        <v/>
      </c>
      <c r="M4280" s="34">
        <f t="shared" si="202"/>
        <v>0</v>
      </c>
    </row>
    <row r="4281" spans="7:13" x14ac:dyDescent="0.25">
      <c r="G4281" s="10" t="str">
        <f t="shared" si="200"/>
        <v/>
      </c>
      <c r="H4281" t="str">
        <f t="shared" si="201"/>
        <v/>
      </c>
      <c r="M4281" s="34">
        <f t="shared" si="202"/>
        <v>0</v>
      </c>
    </row>
    <row r="4282" spans="7:13" x14ac:dyDescent="0.25">
      <c r="G4282" s="10" t="str">
        <f t="shared" si="200"/>
        <v/>
      </c>
      <c r="H4282" t="str">
        <f t="shared" si="201"/>
        <v/>
      </c>
      <c r="M4282" s="34">
        <f t="shared" si="202"/>
        <v>0</v>
      </c>
    </row>
    <row r="4283" spans="7:13" x14ac:dyDescent="0.25">
      <c r="G4283" s="10" t="str">
        <f t="shared" si="200"/>
        <v/>
      </c>
      <c r="H4283" t="str">
        <f t="shared" si="201"/>
        <v/>
      </c>
      <c r="M4283" s="34">
        <f t="shared" si="202"/>
        <v>0</v>
      </c>
    </row>
    <row r="4284" spans="7:13" x14ac:dyDescent="0.25">
      <c r="G4284" s="10" t="str">
        <f t="shared" si="200"/>
        <v/>
      </c>
      <c r="H4284" t="str">
        <f t="shared" si="201"/>
        <v/>
      </c>
      <c r="M4284" s="34">
        <f t="shared" si="202"/>
        <v>0</v>
      </c>
    </row>
    <row r="4285" spans="7:13" x14ac:dyDescent="0.25">
      <c r="G4285" s="10" t="str">
        <f t="shared" si="200"/>
        <v/>
      </c>
      <c r="H4285" t="str">
        <f t="shared" si="201"/>
        <v/>
      </c>
      <c r="M4285" s="34">
        <f t="shared" si="202"/>
        <v>0</v>
      </c>
    </row>
    <row r="4286" spans="7:13" x14ac:dyDescent="0.25">
      <c r="G4286" s="10" t="str">
        <f t="shared" si="200"/>
        <v/>
      </c>
      <c r="H4286" t="str">
        <f t="shared" si="201"/>
        <v/>
      </c>
      <c r="M4286" s="34">
        <f t="shared" si="202"/>
        <v>0</v>
      </c>
    </row>
    <row r="4287" spans="7:13" x14ac:dyDescent="0.25">
      <c r="G4287" s="10" t="str">
        <f t="shared" si="200"/>
        <v/>
      </c>
      <c r="H4287" t="str">
        <f t="shared" si="201"/>
        <v/>
      </c>
      <c r="M4287" s="34">
        <f t="shared" si="202"/>
        <v>0</v>
      </c>
    </row>
    <row r="4288" spans="7:13" x14ac:dyDescent="0.25">
      <c r="G4288" s="10" t="str">
        <f t="shared" si="200"/>
        <v/>
      </c>
      <c r="H4288" t="str">
        <f t="shared" si="201"/>
        <v/>
      </c>
      <c r="M4288" s="34">
        <f t="shared" si="202"/>
        <v>0</v>
      </c>
    </row>
    <row r="4289" spans="7:13" x14ac:dyDescent="0.25">
      <c r="G4289" s="10" t="str">
        <f t="shared" si="200"/>
        <v/>
      </c>
      <c r="H4289" t="str">
        <f t="shared" si="201"/>
        <v/>
      </c>
      <c r="M4289" s="34">
        <f t="shared" si="202"/>
        <v>0</v>
      </c>
    </row>
    <row r="4290" spans="7:13" x14ac:dyDescent="0.25">
      <c r="G4290" s="10" t="str">
        <f t="shared" ref="G4290:G4353" si="203">IF(F4290&gt;0,"RECETTE",IF(F4290&lt;0,"DÉPENSE",""))</f>
        <v/>
      </c>
      <c r="H4290" t="str">
        <f t="shared" ref="H4290:H4353" si="204">+IF(ISNUMBER(D4290),D4290,"")</f>
        <v/>
      </c>
      <c r="M4290" s="34">
        <f t="shared" si="202"/>
        <v>0</v>
      </c>
    </row>
    <row r="4291" spans="7:13" x14ac:dyDescent="0.25">
      <c r="G4291" s="10" t="str">
        <f t="shared" si="203"/>
        <v/>
      </c>
      <c r="H4291" t="str">
        <f t="shared" si="204"/>
        <v/>
      </c>
      <c r="M4291" s="34">
        <f t="shared" ref="M4291:M4354" si="205">IF(AND(E4291="Chèque",G4291="RECETTE"),F4291,0)</f>
        <v>0</v>
      </c>
    </row>
    <row r="4292" spans="7:13" x14ac:dyDescent="0.25">
      <c r="G4292" s="10" t="str">
        <f t="shared" si="203"/>
        <v/>
      </c>
      <c r="H4292" t="str">
        <f t="shared" si="204"/>
        <v/>
      </c>
      <c r="M4292" s="34">
        <f t="shared" si="205"/>
        <v>0</v>
      </c>
    </row>
    <row r="4293" spans="7:13" x14ac:dyDescent="0.25">
      <c r="G4293" s="10" t="str">
        <f t="shared" si="203"/>
        <v/>
      </c>
      <c r="H4293" t="str">
        <f t="shared" si="204"/>
        <v/>
      </c>
      <c r="M4293" s="34">
        <f t="shared" si="205"/>
        <v>0</v>
      </c>
    </row>
    <row r="4294" spans="7:13" x14ac:dyDescent="0.25">
      <c r="G4294" s="10" t="str">
        <f t="shared" si="203"/>
        <v/>
      </c>
      <c r="H4294" t="str">
        <f t="shared" si="204"/>
        <v/>
      </c>
      <c r="M4294" s="34">
        <f t="shared" si="205"/>
        <v>0</v>
      </c>
    </row>
    <row r="4295" spans="7:13" x14ac:dyDescent="0.25">
      <c r="G4295" s="10" t="str">
        <f t="shared" si="203"/>
        <v/>
      </c>
      <c r="H4295" t="str">
        <f t="shared" si="204"/>
        <v/>
      </c>
      <c r="M4295" s="34">
        <f t="shared" si="205"/>
        <v>0</v>
      </c>
    </row>
    <row r="4296" spans="7:13" x14ac:dyDescent="0.25">
      <c r="G4296" s="10" t="str">
        <f t="shared" si="203"/>
        <v/>
      </c>
      <c r="H4296" t="str">
        <f t="shared" si="204"/>
        <v/>
      </c>
      <c r="M4296" s="34">
        <f t="shared" si="205"/>
        <v>0</v>
      </c>
    </row>
    <row r="4297" spans="7:13" x14ac:dyDescent="0.25">
      <c r="G4297" s="10" t="str">
        <f t="shared" si="203"/>
        <v/>
      </c>
      <c r="H4297" t="str">
        <f t="shared" si="204"/>
        <v/>
      </c>
      <c r="M4297" s="34">
        <f t="shared" si="205"/>
        <v>0</v>
      </c>
    </row>
    <row r="4298" spans="7:13" x14ac:dyDescent="0.25">
      <c r="G4298" s="10" t="str">
        <f t="shared" si="203"/>
        <v/>
      </c>
      <c r="H4298" t="str">
        <f t="shared" si="204"/>
        <v/>
      </c>
      <c r="M4298" s="34">
        <f t="shared" si="205"/>
        <v>0</v>
      </c>
    </row>
    <row r="4299" spans="7:13" x14ac:dyDescent="0.25">
      <c r="G4299" s="10" t="str">
        <f t="shared" si="203"/>
        <v/>
      </c>
      <c r="H4299" t="str">
        <f t="shared" si="204"/>
        <v/>
      </c>
      <c r="M4299" s="34">
        <f t="shared" si="205"/>
        <v>0</v>
      </c>
    </row>
    <row r="4300" spans="7:13" x14ac:dyDescent="0.25">
      <c r="G4300" s="10" t="str">
        <f t="shared" si="203"/>
        <v/>
      </c>
      <c r="H4300" t="str">
        <f t="shared" si="204"/>
        <v/>
      </c>
      <c r="M4300" s="34">
        <f t="shared" si="205"/>
        <v>0</v>
      </c>
    </row>
    <row r="4301" spans="7:13" x14ac:dyDescent="0.25">
      <c r="G4301" s="10" t="str">
        <f t="shared" si="203"/>
        <v/>
      </c>
      <c r="H4301" t="str">
        <f t="shared" si="204"/>
        <v/>
      </c>
      <c r="M4301" s="34">
        <f t="shared" si="205"/>
        <v>0</v>
      </c>
    </row>
    <row r="4302" spans="7:13" x14ac:dyDescent="0.25">
      <c r="G4302" s="10" t="str">
        <f t="shared" si="203"/>
        <v/>
      </c>
      <c r="H4302" t="str">
        <f t="shared" si="204"/>
        <v/>
      </c>
      <c r="M4302" s="34">
        <f t="shared" si="205"/>
        <v>0</v>
      </c>
    </row>
    <row r="4303" spans="7:13" x14ac:dyDescent="0.25">
      <c r="G4303" s="10" t="str">
        <f t="shared" si="203"/>
        <v/>
      </c>
      <c r="H4303" t="str">
        <f t="shared" si="204"/>
        <v/>
      </c>
      <c r="M4303" s="34">
        <f t="shared" si="205"/>
        <v>0</v>
      </c>
    </row>
    <row r="4304" spans="7:13" x14ac:dyDescent="0.25">
      <c r="G4304" s="10" t="str">
        <f t="shared" si="203"/>
        <v/>
      </c>
      <c r="H4304" t="str">
        <f t="shared" si="204"/>
        <v/>
      </c>
      <c r="M4304" s="34">
        <f t="shared" si="205"/>
        <v>0</v>
      </c>
    </row>
    <row r="4305" spans="7:13" x14ac:dyDescent="0.25">
      <c r="G4305" s="10" t="str">
        <f t="shared" si="203"/>
        <v/>
      </c>
      <c r="H4305" t="str">
        <f t="shared" si="204"/>
        <v/>
      </c>
      <c r="M4305" s="34">
        <f t="shared" si="205"/>
        <v>0</v>
      </c>
    </row>
    <row r="4306" spans="7:13" x14ac:dyDescent="0.25">
      <c r="G4306" s="10" t="str">
        <f t="shared" si="203"/>
        <v/>
      </c>
      <c r="H4306" t="str">
        <f t="shared" si="204"/>
        <v/>
      </c>
      <c r="M4306" s="34">
        <f t="shared" si="205"/>
        <v>0</v>
      </c>
    </row>
    <row r="4307" spans="7:13" x14ac:dyDescent="0.25">
      <c r="G4307" s="10" t="str">
        <f t="shared" si="203"/>
        <v/>
      </c>
      <c r="H4307" t="str">
        <f t="shared" si="204"/>
        <v/>
      </c>
      <c r="M4307" s="34">
        <f t="shared" si="205"/>
        <v>0</v>
      </c>
    </row>
    <row r="4308" spans="7:13" x14ac:dyDescent="0.25">
      <c r="G4308" s="10" t="str">
        <f t="shared" si="203"/>
        <v/>
      </c>
      <c r="H4308" t="str">
        <f t="shared" si="204"/>
        <v/>
      </c>
      <c r="M4308" s="34">
        <f t="shared" si="205"/>
        <v>0</v>
      </c>
    </row>
    <row r="4309" spans="7:13" x14ac:dyDescent="0.25">
      <c r="G4309" s="10" t="str">
        <f t="shared" si="203"/>
        <v/>
      </c>
      <c r="H4309" t="str">
        <f t="shared" si="204"/>
        <v/>
      </c>
      <c r="M4309" s="34">
        <f t="shared" si="205"/>
        <v>0</v>
      </c>
    </row>
    <row r="4310" spans="7:13" x14ac:dyDescent="0.25">
      <c r="G4310" s="10" t="str">
        <f t="shared" si="203"/>
        <v/>
      </c>
      <c r="H4310" t="str">
        <f t="shared" si="204"/>
        <v/>
      </c>
      <c r="M4310" s="34">
        <f t="shared" si="205"/>
        <v>0</v>
      </c>
    </row>
    <row r="4311" spans="7:13" x14ac:dyDescent="0.25">
      <c r="G4311" s="10" t="str">
        <f t="shared" si="203"/>
        <v/>
      </c>
      <c r="H4311" t="str">
        <f t="shared" si="204"/>
        <v/>
      </c>
      <c r="M4311" s="34">
        <f t="shared" si="205"/>
        <v>0</v>
      </c>
    </row>
    <row r="4312" spans="7:13" x14ac:dyDescent="0.25">
      <c r="G4312" s="10" t="str">
        <f t="shared" si="203"/>
        <v/>
      </c>
      <c r="H4312" t="str">
        <f t="shared" si="204"/>
        <v/>
      </c>
      <c r="M4312" s="34">
        <f t="shared" si="205"/>
        <v>0</v>
      </c>
    </row>
    <row r="4313" spans="7:13" x14ac:dyDescent="0.25">
      <c r="G4313" s="10" t="str">
        <f t="shared" si="203"/>
        <v/>
      </c>
      <c r="H4313" t="str">
        <f t="shared" si="204"/>
        <v/>
      </c>
      <c r="M4313" s="34">
        <f t="shared" si="205"/>
        <v>0</v>
      </c>
    </row>
    <row r="4314" spans="7:13" x14ac:dyDescent="0.25">
      <c r="G4314" s="10" t="str">
        <f t="shared" si="203"/>
        <v/>
      </c>
      <c r="H4314" t="str">
        <f t="shared" si="204"/>
        <v/>
      </c>
      <c r="M4314" s="34">
        <f t="shared" si="205"/>
        <v>0</v>
      </c>
    </row>
    <row r="4315" spans="7:13" x14ac:dyDescent="0.25">
      <c r="G4315" s="10" t="str">
        <f t="shared" si="203"/>
        <v/>
      </c>
      <c r="H4315" t="str">
        <f t="shared" si="204"/>
        <v/>
      </c>
      <c r="M4315" s="34">
        <f t="shared" si="205"/>
        <v>0</v>
      </c>
    </row>
    <row r="4316" spans="7:13" x14ac:dyDescent="0.25">
      <c r="G4316" s="10" t="str">
        <f t="shared" si="203"/>
        <v/>
      </c>
      <c r="H4316" t="str">
        <f t="shared" si="204"/>
        <v/>
      </c>
      <c r="M4316" s="34">
        <f t="shared" si="205"/>
        <v>0</v>
      </c>
    </row>
    <row r="4317" spans="7:13" x14ac:dyDescent="0.25">
      <c r="G4317" s="10" t="str">
        <f t="shared" si="203"/>
        <v/>
      </c>
      <c r="H4317" t="str">
        <f t="shared" si="204"/>
        <v/>
      </c>
      <c r="M4317" s="34">
        <f t="shared" si="205"/>
        <v>0</v>
      </c>
    </row>
    <row r="4318" spans="7:13" x14ac:dyDescent="0.25">
      <c r="G4318" s="10" t="str">
        <f t="shared" si="203"/>
        <v/>
      </c>
      <c r="H4318" t="str">
        <f t="shared" si="204"/>
        <v/>
      </c>
      <c r="M4318" s="34">
        <f t="shared" si="205"/>
        <v>0</v>
      </c>
    </row>
    <row r="4319" spans="7:13" x14ac:dyDescent="0.25">
      <c r="G4319" s="10" t="str">
        <f t="shared" si="203"/>
        <v/>
      </c>
      <c r="H4319" t="str">
        <f t="shared" si="204"/>
        <v/>
      </c>
      <c r="M4319" s="34">
        <f t="shared" si="205"/>
        <v>0</v>
      </c>
    </row>
    <row r="4320" spans="7:13" x14ac:dyDescent="0.25">
      <c r="G4320" s="10" t="str">
        <f t="shared" si="203"/>
        <v/>
      </c>
      <c r="H4320" t="str">
        <f t="shared" si="204"/>
        <v/>
      </c>
      <c r="M4320" s="34">
        <f t="shared" si="205"/>
        <v>0</v>
      </c>
    </row>
    <row r="4321" spans="7:13" x14ac:dyDescent="0.25">
      <c r="G4321" s="10" t="str">
        <f t="shared" si="203"/>
        <v/>
      </c>
      <c r="H4321" t="str">
        <f t="shared" si="204"/>
        <v/>
      </c>
      <c r="M4321" s="34">
        <f t="shared" si="205"/>
        <v>0</v>
      </c>
    </row>
    <row r="4322" spans="7:13" x14ac:dyDescent="0.25">
      <c r="G4322" s="10" t="str">
        <f t="shared" si="203"/>
        <v/>
      </c>
      <c r="H4322" t="str">
        <f t="shared" si="204"/>
        <v/>
      </c>
      <c r="M4322" s="34">
        <f t="shared" si="205"/>
        <v>0</v>
      </c>
    </row>
    <row r="4323" spans="7:13" x14ac:dyDescent="0.25">
      <c r="G4323" s="10" t="str">
        <f t="shared" si="203"/>
        <v/>
      </c>
      <c r="H4323" t="str">
        <f t="shared" si="204"/>
        <v/>
      </c>
      <c r="M4323" s="34">
        <f t="shared" si="205"/>
        <v>0</v>
      </c>
    </row>
    <row r="4324" spans="7:13" x14ac:dyDescent="0.25">
      <c r="G4324" s="10" t="str">
        <f t="shared" si="203"/>
        <v/>
      </c>
      <c r="H4324" t="str">
        <f t="shared" si="204"/>
        <v/>
      </c>
      <c r="M4324" s="34">
        <f t="shared" si="205"/>
        <v>0</v>
      </c>
    </row>
    <row r="4325" spans="7:13" x14ac:dyDescent="0.25">
      <c r="G4325" s="10" t="str">
        <f t="shared" si="203"/>
        <v/>
      </c>
      <c r="H4325" t="str">
        <f t="shared" si="204"/>
        <v/>
      </c>
      <c r="M4325" s="34">
        <f t="shared" si="205"/>
        <v>0</v>
      </c>
    </row>
    <row r="4326" spans="7:13" x14ac:dyDescent="0.25">
      <c r="G4326" s="10" t="str">
        <f t="shared" si="203"/>
        <v/>
      </c>
      <c r="H4326" t="str">
        <f t="shared" si="204"/>
        <v/>
      </c>
      <c r="M4326" s="34">
        <f t="shared" si="205"/>
        <v>0</v>
      </c>
    </row>
    <row r="4327" spans="7:13" x14ac:dyDescent="0.25">
      <c r="G4327" s="10" t="str">
        <f t="shared" si="203"/>
        <v/>
      </c>
      <c r="H4327" t="str">
        <f t="shared" si="204"/>
        <v/>
      </c>
      <c r="M4327" s="34">
        <f t="shared" si="205"/>
        <v>0</v>
      </c>
    </row>
    <row r="4328" spans="7:13" x14ac:dyDescent="0.25">
      <c r="G4328" s="10" t="str">
        <f t="shared" si="203"/>
        <v/>
      </c>
      <c r="H4328" t="str">
        <f t="shared" si="204"/>
        <v/>
      </c>
      <c r="M4328" s="34">
        <f t="shared" si="205"/>
        <v>0</v>
      </c>
    </row>
    <row r="4329" spans="7:13" x14ac:dyDescent="0.25">
      <c r="G4329" s="10" t="str">
        <f t="shared" si="203"/>
        <v/>
      </c>
      <c r="H4329" t="str">
        <f t="shared" si="204"/>
        <v/>
      </c>
      <c r="M4329" s="34">
        <f t="shared" si="205"/>
        <v>0</v>
      </c>
    </row>
    <row r="4330" spans="7:13" x14ac:dyDescent="0.25">
      <c r="G4330" s="10" t="str">
        <f t="shared" si="203"/>
        <v/>
      </c>
      <c r="H4330" t="str">
        <f t="shared" si="204"/>
        <v/>
      </c>
      <c r="M4330" s="34">
        <f t="shared" si="205"/>
        <v>0</v>
      </c>
    </row>
    <row r="4331" spans="7:13" x14ac:dyDescent="0.25">
      <c r="G4331" s="10" t="str">
        <f t="shared" si="203"/>
        <v/>
      </c>
      <c r="H4331" t="str">
        <f t="shared" si="204"/>
        <v/>
      </c>
      <c r="M4331" s="34">
        <f t="shared" si="205"/>
        <v>0</v>
      </c>
    </row>
    <row r="4332" spans="7:13" x14ac:dyDescent="0.25">
      <c r="G4332" s="10" t="str">
        <f t="shared" si="203"/>
        <v/>
      </c>
      <c r="H4332" t="str">
        <f t="shared" si="204"/>
        <v/>
      </c>
      <c r="M4332" s="34">
        <f t="shared" si="205"/>
        <v>0</v>
      </c>
    </row>
    <row r="4333" spans="7:13" x14ac:dyDescent="0.25">
      <c r="G4333" s="10" t="str">
        <f t="shared" si="203"/>
        <v/>
      </c>
      <c r="H4333" t="str">
        <f t="shared" si="204"/>
        <v/>
      </c>
      <c r="M4333" s="34">
        <f t="shared" si="205"/>
        <v>0</v>
      </c>
    </row>
    <row r="4334" spans="7:13" x14ac:dyDescent="0.25">
      <c r="G4334" s="10" t="str">
        <f t="shared" si="203"/>
        <v/>
      </c>
      <c r="H4334" t="str">
        <f t="shared" si="204"/>
        <v/>
      </c>
      <c r="M4334" s="34">
        <f t="shared" si="205"/>
        <v>0</v>
      </c>
    </row>
    <row r="4335" spans="7:13" x14ac:dyDescent="0.25">
      <c r="G4335" s="10" t="str">
        <f t="shared" si="203"/>
        <v/>
      </c>
      <c r="H4335" t="str">
        <f t="shared" si="204"/>
        <v/>
      </c>
      <c r="M4335" s="34">
        <f t="shared" si="205"/>
        <v>0</v>
      </c>
    </row>
    <row r="4336" spans="7:13" x14ac:dyDescent="0.25">
      <c r="G4336" s="10" t="str">
        <f t="shared" si="203"/>
        <v/>
      </c>
      <c r="H4336" t="str">
        <f t="shared" si="204"/>
        <v/>
      </c>
      <c r="M4336" s="34">
        <f t="shared" si="205"/>
        <v>0</v>
      </c>
    </row>
    <row r="4337" spans="7:13" x14ac:dyDescent="0.25">
      <c r="G4337" s="10" t="str">
        <f t="shared" si="203"/>
        <v/>
      </c>
      <c r="H4337" t="str">
        <f t="shared" si="204"/>
        <v/>
      </c>
      <c r="M4337" s="34">
        <f t="shared" si="205"/>
        <v>0</v>
      </c>
    </row>
    <row r="4338" spans="7:13" x14ac:dyDescent="0.25">
      <c r="G4338" s="10" t="str">
        <f t="shared" si="203"/>
        <v/>
      </c>
      <c r="H4338" t="str">
        <f t="shared" si="204"/>
        <v/>
      </c>
      <c r="M4338" s="34">
        <f t="shared" si="205"/>
        <v>0</v>
      </c>
    </row>
    <row r="4339" spans="7:13" x14ac:dyDescent="0.25">
      <c r="G4339" s="10" t="str">
        <f t="shared" si="203"/>
        <v/>
      </c>
      <c r="H4339" t="str">
        <f t="shared" si="204"/>
        <v/>
      </c>
      <c r="M4339" s="34">
        <f t="shared" si="205"/>
        <v>0</v>
      </c>
    </row>
    <row r="4340" spans="7:13" x14ac:dyDescent="0.25">
      <c r="G4340" s="10" t="str">
        <f t="shared" si="203"/>
        <v/>
      </c>
      <c r="H4340" t="str">
        <f t="shared" si="204"/>
        <v/>
      </c>
      <c r="M4340" s="34">
        <f t="shared" si="205"/>
        <v>0</v>
      </c>
    </row>
    <row r="4341" spans="7:13" x14ac:dyDescent="0.25">
      <c r="G4341" s="10" t="str">
        <f t="shared" si="203"/>
        <v/>
      </c>
      <c r="H4341" t="str">
        <f t="shared" si="204"/>
        <v/>
      </c>
      <c r="M4341" s="34">
        <f t="shared" si="205"/>
        <v>0</v>
      </c>
    </row>
    <row r="4342" spans="7:13" x14ac:dyDescent="0.25">
      <c r="G4342" s="10" t="str">
        <f t="shared" si="203"/>
        <v/>
      </c>
      <c r="H4342" t="str">
        <f t="shared" si="204"/>
        <v/>
      </c>
      <c r="M4342" s="34">
        <f t="shared" si="205"/>
        <v>0</v>
      </c>
    </row>
    <row r="4343" spans="7:13" x14ac:dyDescent="0.25">
      <c r="G4343" s="10" t="str">
        <f t="shared" si="203"/>
        <v/>
      </c>
      <c r="H4343" t="str">
        <f t="shared" si="204"/>
        <v/>
      </c>
      <c r="M4343" s="34">
        <f t="shared" si="205"/>
        <v>0</v>
      </c>
    </row>
    <row r="4344" spans="7:13" x14ac:dyDescent="0.25">
      <c r="G4344" s="10" t="str">
        <f t="shared" si="203"/>
        <v/>
      </c>
      <c r="H4344" t="str">
        <f t="shared" si="204"/>
        <v/>
      </c>
      <c r="M4344" s="34">
        <f t="shared" si="205"/>
        <v>0</v>
      </c>
    </row>
    <row r="4345" spans="7:13" x14ac:dyDescent="0.25">
      <c r="G4345" s="10" t="str">
        <f t="shared" si="203"/>
        <v/>
      </c>
      <c r="H4345" t="str">
        <f t="shared" si="204"/>
        <v/>
      </c>
      <c r="M4345" s="34">
        <f t="shared" si="205"/>
        <v>0</v>
      </c>
    </row>
    <row r="4346" spans="7:13" x14ac:dyDescent="0.25">
      <c r="G4346" s="10" t="str">
        <f t="shared" si="203"/>
        <v/>
      </c>
      <c r="H4346" t="str">
        <f t="shared" si="204"/>
        <v/>
      </c>
      <c r="M4346" s="34">
        <f t="shared" si="205"/>
        <v>0</v>
      </c>
    </row>
    <row r="4347" spans="7:13" x14ac:dyDescent="0.25">
      <c r="G4347" s="10" t="str">
        <f t="shared" si="203"/>
        <v/>
      </c>
      <c r="H4347" t="str">
        <f t="shared" si="204"/>
        <v/>
      </c>
      <c r="M4347" s="34">
        <f t="shared" si="205"/>
        <v>0</v>
      </c>
    </row>
    <row r="4348" spans="7:13" x14ac:dyDescent="0.25">
      <c r="G4348" s="10" t="str">
        <f t="shared" si="203"/>
        <v/>
      </c>
      <c r="H4348" t="str">
        <f t="shared" si="204"/>
        <v/>
      </c>
      <c r="M4348" s="34">
        <f t="shared" si="205"/>
        <v>0</v>
      </c>
    </row>
    <row r="4349" spans="7:13" x14ac:dyDescent="0.25">
      <c r="G4349" s="10" t="str">
        <f t="shared" si="203"/>
        <v/>
      </c>
      <c r="H4349" t="str">
        <f t="shared" si="204"/>
        <v/>
      </c>
      <c r="M4349" s="34">
        <f t="shared" si="205"/>
        <v>0</v>
      </c>
    </row>
    <row r="4350" spans="7:13" x14ac:dyDescent="0.25">
      <c r="G4350" s="10" t="str">
        <f t="shared" si="203"/>
        <v/>
      </c>
      <c r="H4350" t="str">
        <f t="shared" si="204"/>
        <v/>
      </c>
      <c r="M4350" s="34">
        <f t="shared" si="205"/>
        <v>0</v>
      </c>
    </row>
    <row r="4351" spans="7:13" x14ac:dyDescent="0.25">
      <c r="G4351" s="10" t="str">
        <f t="shared" si="203"/>
        <v/>
      </c>
      <c r="H4351" t="str">
        <f t="shared" si="204"/>
        <v/>
      </c>
      <c r="M4351" s="34">
        <f t="shared" si="205"/>
        <v>0</v>
      </c>
    </row>
    <row r="4352" spans="7:13" x14ac:dyDescent="0.25">
      <c r="G4352" s="10" t="str">
        <f t="shared" si="203"/>
        <v/>
      </c>
      <c r="H4352" t="str">
        <f t="shared" si="204"/>
        <v/>
      </c>
      <c r="M4352" s="34">
        <f t="shared" si="205"/>
        <v>0</v>
      </c>
    </row>
    <row r="4353" spans="7:13" x14ac:dyDescent="0.25">
      <c r="G4353" s="10" t="str">
        <f t="shared" si="203"/>
        <v/>
      </c>
      <c r="H4353" t="str">
        <f t="shared" si="204"/>
        <v/>
      </c>
      <c r="M4353" s="34">
        <f t="shared" si="205"/>
        <v>0</v>
      </c>
    </row>
    <row r="4354" spans="7:13" x14ac:dyDescent="0.25">
      <c r="G4354" s="10" t="str">
        <f t="shared" ref="G4354:G4417" si="206">IF(F4354&gt;0,"RECETTE",IF(F4354&lt;0,"DÉPENSE",""))</f>
        <v/>
      </c>
      <c r="H4354" t="str">
        <f t="shared" ref="H4354:H4417" si="207">+IF(ISNUMBER(D4354),D4354,"")</f>
        <v/>
      </c>
      <c r="M4354" s="34">
        <f t="shared" si="205"/>
        <v>0</v>
      </c>
    </row>
    <row r="4355" spans="7:13" x14ac:dyDescent="0.25">
      <c r="G4355" s="10" t="str">
        <f t="shared" si="206"/>
        <v/>
      </c>
      <c r="H4355" t="str">
        <f t="shared" si="207"/>
        <v/>
      </c>
      <c r="M4355" s="34">
        <f t="shared" ref="M4355:M4418" si="208">IF(AND(E4355="Chèque",G4355="RECETTE"),F4355,0)</f>
        <v>0</v>
      </c>
    </row>
    <row r="4356" spans="7:13" x14ac:dyDescent="0.25">
      <c r="G4356" s="10" t="str">
        <f t="shared" si="206"/>
        <v/>
      </c>
      <c r="H4356" t="str">
        <f t="shared" si="207"/>
        <v/>
      </c>
      <c r="M4356" s="34">
        <f t="shared" si="208"/>
        <v>0</v>
      </c>
    </row>
    <row r="4357" spans="7:13" x14ac:dyDescent="0.25">
      <c r="G4357" s="10" t="str">
        <f t="shared" si="206"/>
        <v/>
      </c>
      <c r="H4357" t="str">
        <f t="shared" si="207"/>
        <v/>
      </c>
      <c r="M4357" s="34">
        <f t="shared" si="208"/>
        <v>0</v>
      </c>
    </row>
    <row r="4358" spans="7:13" x14ac:dyDescent="0.25">
      <c r="G4358" s="10" t="str">
        <f t="shared" si="206"/>
        <v/>
      </c>
      <c r="H4358" t="str">
        <f t="shared" si="207"/>
        <v/>
      </c>
      <c r="M4358" s="34">
        <f t="shared" si="208"/>
        <v>0</v>
      </c>
    </row>
    <row r="4359" spans="7:13" x14ac:dyDescent="0.25">
      <c r="G4359" s="10" t="str">
        <f t="shared" si="206"/>
        <v/>
      </c>
      <c r="H4359" t="str">
        <f t="shared" si="207"/>
        <v/>
      </c>
      <c r="M4359" s="34">
        <f t="shared" si="208"/>
        <v>0</v>
      </c>
    </row>
    <row r="4360" spans="7:13" x14ac:dyDescent="0.25">
      <c r="G4360" s="10" t="str">
        <f t="shared" si="206"/>
        <v/>
      </c>
      <c r="H4360" t="str">
        <f t="shared" si="207"/>
        <v/>
      </c>
      <c r="M4360" s="34">
        <f t="shared" si="208"/>
        <v>0</v>
      </c>
    </row>
    <row r="4361" spans="7:13" x14ac:dyDescent="0.25">
      <c r="G4361" s="10" t="str">
        <f t="shared" si="206"/>
        <v/>
      </c>
      <c r="H4361" t="str">
        <f t="shared" si="207"/>
        <v/>
      </c>
      <c r="M4361" s="34">
        <f t="shared" si="208"/>
        <v>0</v>
      </c>
    </row>
    <row r="4362" spans="7:13" x14ac:dyDescent="0.25">
      <c r="G4362" s="10" t="str">
        <f t="shared" si="206"/>
        <v/>
      </c>
      <c r="H4362" t="str">
        <f t="shared" si="207"/>
        <v/>
      </c>
      <c r="M4362" s="34">
        <f t="shared" si="208"/>
        <v>0</v>
      </c>
    </row>
    <row r="4363" spans="7:13" x14ac:dyDescent="0.25">
      <c r="G4363" s="10" t="str">
        <f t="shared" si="206"/>
        <v/>
      </c>
      <c r="H4363" t="str">
        <f t="shared" si="207"/>
        <v/>
      </c>
      <c r="M4363" s="34">
        <f t="shared" si="208"/>
        <v>0</v>
      </c>
    </row>
    <row r="4364" spans="7:13" x14ac:dyDescent="0.25">
      <c r="G4364" s="10" t="str">
        <f t="shared" si="206"/>
        <v/>
      </c>
      <c r="H4364" t="str">
        <f t="shared" si="207"/>
        <v/>
      </c>
      <c r="M4364" s="34">
        <f t="shared" si="208"/>
        <v>0</v>
      </c>
    </row>
    <row r="4365" spans="7:13" x14ac:dyDescent="0.25">
      <c r="G4365" s="10" t="str">
        <f t="shared" si="206"/>
        <v/>
      </c>
      <c r="H4365" t="str">
        <f t="shared" si="207"/>
        <v/>
      </c>
      <c r="M4365" s="34">
        <f t="shared" si="208"/>
        <v>0</v>
      </c>
    </row>
    <row r="4366" spans="7:13" x14ac:dyDescent="0.25">
      <c r="G4366" s="10" t="str">
        <f t="shared" si="206"/>
        <v/>
      </c>
      <c r="H4366" t="str">
        <f t="shared" si="207"/>
        <v/>
      </c>
      <c r="M4366" s="34">
        <f t="shared" si="208"/>
        <v>0</v>
      </c>
    </row>
    <row r="4367" spans="7:13" x14ac:dyDescent="0.25">
      <c r="G4367" s="10" t="str">
        <f t="shared" si="206"/>
        <v/>
      </c>
      <c r="H4367" t="str">
        <f t="shared" si="207"/>
        <v/>
      </c>
      <c r="M4367" s="34">
        <f t="shared" si="208"/>
        <v>0</v>
      </c>
    </row>
    <row r="4368" spans="7:13" x14ac:dyDescent="0.25">
      <c r="G4368" s="10" t="str">
        <f t="shared" si="206"/>
        <v/>
      </c>
      <c r="H4368" t="str">
        <f t="shared" si="207"/>
        <v/>
      </c>
      <c r="M4368" s="34">
        <f t="shared" si="208"/>
        <v>0</v>
      </c>
    </row>
    <row r="4369" spans="7:13" x14ac:dyDescent="0.25">
      <c r="G4369" s="10" t="str">
        <f t="shared" si="206"/>
        <v/>
      </c>
      <c r="H4369" t="str">
        <f t="shared" si="207"/>
        <v/>
      </c>
      <c r="M4369" s="34">
        <f t="shared" si="208"/>
        <v>0</v>
      </c>
    </row>
    <row r="4370" spans="7:13" x14ac:dyDescent="0.25">
      <c r="G4370" s="10" t="str">
        <f t="shared" si="206"/>
        <v/>
      </c>
      <c r="H4370" t="str">
        <f t="shared" si="207"/>
        <v/>
      </c>
      <c r="M4370" s="34">
        <f t="shared" si="208"/>
        <v>0</v>
      </c>
    </row>
    <row r="4371" spans="7:13" x14ac:dyDescent="0.25">
      <c r="G4371" s="10" t="str">
        <f t="shared" si="206"/>
        <v/>
      </c>
      <c r="H4371" t="str">
        <f t="shared" si="207"/>
        <v/>
      </c>
      <c r="M4371" s="34">
        <f t="shared" si="208"/>
        <v>0</v>
      </c>
    </row>
    <row r="4372" spans="7:13" x14ac:dyDescent="0.25">
      <c r="G4372" s="10" t="str">
        <f t="shared" si="206"/>
        <v/>
      </c>
      <c r="H4372" t="str">
        <f t="shared" si="207"/>
        <v/>
      </c>
      <c r="M4372" s="34">
        <f t="shared" si="208"/>
        <v>0</v>
      </c>
    </row>
    <row r="4373" spans="7:13" x14ac:dyDescent="0.25">
      <c r="G4373" s="10" t="str">
        <f t="shared" si="206"/>
        <v/>
      </c>
      <c r="H4373" t="str">
        <f t="shared" si="207"/>
        <v/>
      </c>
      <c r="M4373" s="34">
        <f t="shared" si="208"/>
        <v>0</v>
      </c>
    </row>
    <row r="4374" spans="7:13" x14ac:dyDescent="0.25">
      <c r="G4374" s="10" t="str">
        <f t="shared" si="206"/>
        <v/>
      </c>
      <c r="H4374" t="str">
        <f t="shared" si="207"/>
        <v/>
      </c>
      <c r="M4374" s="34">
        <f t="shared" si="208"/>
        <v>0</v>
      </c>
    </row>
    <row r="4375" spans="7:13" x14ac:dyDescent="0.25">
      <c r="G4375" s="10" t="str">
        <f t="shared" si="206"/>
        <v/>
      </c>
      <c r="H4375" t="str">
        <f t="shared" si="207"/>
        <v/>
      </c>
      <c r="M4375" s="34">
        <f t="shared" si="208"/>
        <v>0</v>
      </c>
    </row>
    <row r="4376" spans="7:13" x14ac:dyDescent="0.25">
      <c r="G4376" s="10" t="str">
        <f t="shared" si="206"/>
        <v/>
      </c>
      <c r="H4376" t="str">
        <f t="shared" si="207"/>
        <v/>
      </c>
      <c r="M4376" s="34">
        <f t="shared" si="208"/>
        <v>0</v>
      </c>
    </row>
    <row r="4377" spans="7:13" x14ac:dyDescent="0.25">
      <c r="G4377" s="10" t="str">
        <f t="shared" si="206"/>
        <v/>
      </c>
      <c r="H4377" t="str">
        <f t="shared" si="207"/>
        <v/>
      </c>
      <c r="M4377" s="34">
        <f t="shared" si="208"/>
        <v>0</v>
      </c>
    </row>
    <row r="4378" spans="7:13" x14ac:dyDescent="0.25">
      <c r="G4378" s="10" t="str">
        <f t="shared" si="206"/>
        <v/>
      </c>
      <c r="H4378" t="str">
        <f t="shared" si="207"/>
        <v/>
      </c>
      <c r="M4378" s="34">
        <f t="shared" si="208"/>
        <v>0</v>
      </c>
    </row>
    <row r="4379" spans="7:13" x14ac:dyDescent="0.25">
      <c r="G4379" s="10" t="str">
        <f t="shared" si="206"/>
        <v/>
      </c>
      <c r="H4379" t="str">
        <f t="shared" si="207"/>
        <v/>
      </c>
      <c r="M4379" s="34">
        <f t="shared" si="208"/>
        <v>0</v>
      </c>
    </row>
    <row r="4380" spans="7:13" x14ac:dyDescent="0.25">
      <c r="G4380" s="10" t="str">
        <f t="shared" si="206"/>
        <v/>
      </c>
      <c r="H4380" t="str">
        <f t="shared" si="207"/>
        <v/>
      </c>
      <c r="M4380" s="34">
        <f t="shared" si="208"/>
        <v>0</v>
      </c>
    </row>
    <row r="4381" spans="7:13" x14ac:dyDescent="0.25">
      <c r="G4381" s="10" t="str">
        <f t="shared" si="206"/>
        <v/>
      </c>
      <c r="H4381" t="str">
        <f t="shared" si="207"/>
        <v/>
      </c>
      <c r="M4381" s="34">
        <f t="shared" si="208"/>
        <v>0</v>
      </c>
    </row>
    <row r="4382" spans="7:13" x14ac:dyDescent="0.25">
      <c r="G4382" s="10" t="str">
        <f t="shared" si="206"/>
        <v/>
      </c>
      <c r="H4382" t="str">
        <f t="shared" si="207"/>
        <v/>
      </c>
      <c r="M4382" s="34">
        <f t="shared" si="208"/>
        <v>0</v>
      </c>
    </row>
    <row r="4383" spans="7:13" x14ac:dyDescent="0.25">
      <c r="G4383" s="10" t="str">
        <f t="shared" si="206"/>
        <v/>
      </c>
      <c r="H4383" t="str">
        <f t="shared" si="207"/>
        <v/>
      </c>
      <c r="M4383" s="34">
        <f t="shared" si="208"/>
        <v>0</v>
      </c>
    </row>
    <row r="4384" spans="7:13" x14ac:dyDescent="0.25">
      <c r="G4384" s="10" t="str">
        <f t="shared" si="206"/>
        <v/>
      </c>
      <c r="H4384" t="str">
        <f t="shared" si="207"/>
        <v/>
      </c>
      <c r="M4384" s="34">
        <f t="shared" si="208"/>
        <v>0</v>
      </c>
    </row>
    <row r="4385" spans="7:13" x14ac:dyDescent="0.25">
      <c r="G4385" s="10" t="str">
        <f t="shared" si="206"/>
        <v/>
      </c>
      <c r="H4385" t="str">
        <f t="shared" si="207"/>
        <v/>
      </c>
      <c r="M4385" s="34">
        <f t="shared" si="208"/>
        <v>0</v>
      </c>
    </row>
    <row r="4386" spans="7:13" x14ac:dyDescent="0.25">
      <c r="G4386" s="10" t="str">
        <f t="shared" si="206"/>
        <v/>
      </c>
      <c r="H4386" t="str">
        <f t="shared" si="207"/>
        <v/>
      </c>
      <c r="M4386" s="34">
        <f t="shared" si="208"/>
        <v>0</v>
      </c>
    </row>
    <row r="4387" spans="7:13" x14ac:dyDescent="0.25">
      <c r="G4387" s="10" t="str">
        <f t="shared" si="206"/>
        <v/>
      </c>
      <c r="H4387" t="str">
        <f t="shared" si="207"/>
        <v/>
      </c>
      <c r="M4387" s="34">
        <f t="shared" si="208"/>
        <v>0</v>
      </c>
    </row>
    <row r="4388" spans="7:13" x14ac:dyDescent="0.25">
      <c r="G4388" s="10" t="str">
        <f t="shared" si="206"/>
        <v/>
      </c>
      <c r="H4388" t="str">
        <f t="shared" si="207"/>
        <v/>
      </c>
      <c r="M4388" s="34">
        <f t="shared" si="208"/>
        <v>0</v>
      </c>
    </row>
    <row r="4389" spans="7:13" x14ac:dyDescent="0.25">
      <c r="G4389" s="10" t="str">
        <f t="shared" si="206"/>
        <v/>
      </c>
      <c r="H4389" t="str">
        <f t="shared" si="207"/>
        <v/>
      </c>
      <c r="M4389" s="34">
        <f t="shared" si="208"/>
        <v>0</v>
      </c>
    </row>
    <row r="4390" spans="7:13" x14ac:dyDescent="0.25">
      <c r="G4390" s="10" t="str">
        <f t="shared" si="206"/>
        <v/>
      </c>
      <c r="H4390" t="str">
        <f t="shared" si="207"/>
        <v/>
      </c>
      <c r="M4390" s="34">
        <f t="shared" si="208"/>
        <v>0</v>
      </c>
    </row>
    <row r="4391" spans="7:13" x14ac:dyDescent="0.25">
      <c r="G4391" s="10" t="str">
        <f t="shared" si="206"/>
        <v/>
      </c>
      <c r="H4391" t="str">
        <f t="shared" si="207"/>
        <v/>
      </c>
      <c r="M4391" s="34">
        <f t="shared" si="208"/>
        <v>0</v>
      </c>
    </row>
    <row r="4392" spans="7:13" x14ac:dyDescent="0.25">
      <c r="G4392" s="10" t="str">
        <f t="shared" si="206"/>
        <v/>
      </c>
      <c r="H4392" t="str">
        <f t="shared" si="207"/>
        <v/>
      </c>
      <c r="M4392" s="34">
        <f t="shared" si="208"/>
        <v>0</v>
      </c>
    </row>
    <row r="4393" spans="7:13" x14ac:dyDescent="0.25">
      <c r="G4393" s="10" t="str">
        <f t="shared" si="206"/>
        <v/>
      </c>
      <c r="H4393" t="str">
        <f t="shared" si="207"/>
        <v/>
      </c>
      <c r="M4393" s="34">
        <f t="shared" si="208"/>
        <v>0</v>
      </c>
    </row>
    <row r="4394" spans="7:13" x14ac:dyDescent="0.25">
      <c r="G4394" s="10" t="str">
        <f t="shared" si="206"/>
        <v/>
      </c>
      <c r="H4394" t="str">
        <f t="shared" si="207"/>
        <v/>
      </c>
      <c r="M4394" s="34">
        <f t="shared" si="208"/>
        <v>0</v>
      </c>
    </row>
    <row r="4395" spans="7:13" x14ac:dyDescent="0.25">
      <c r="G4395" s="10" t="str">
        <f t="shared" si="206"/>
        <v/>
      </c>
      <c r="H4395" t="str">
        <f t="shared" si="207"/>
        <v/>
      </c>
      <c r="M4395" s="34">
        <f t="shared" si="208"/>
        <v>0</v>
      </c>
    </row>
    <row r="4396" spans="7:13" x14ac:dyDescent="0.25">
      <c r="G4396" s="10" t="str">
        <f t="shared" si="206"/>
        <v/>
      </c>
      <c r="H4396" t="str">
        <f t="shared" si="207"/>
        <v/>
      </c>
      <c r="M4396" s="34">
        <f t="shared" si="208"/>
        <v>0</v>
      </c>
    </row>
    <row r="4397" spans="7:13" x14ac:dyDescent="0.25">
      <c r="G4397" s="10" t="str">
        <f t="shared" si="206"/>
        <v/>
      </c>
      <c r="H4397" t="str">
        <f t="shared" si="207"/>
        <v/>
      </c>
      <c r="M4397" s="34">
        <f t="shared" si="208"/>
        <v>0</v>
      </c>
    </row>
    <row r="4398" spans="7:13" x14ac:dyDescent="0.25">
      <c r="G4398" s="10" t="str">
        <f t="shared" si="206"/>
        <v/>
      </c>
      <c r="H4398" t="str">
        <f t="shared" si="207"/>
        <v/>
      </c>
      <c r="M4398" s="34">
        <f t="shared" si="208"/>
        <v>0</v>
      </c>
    </row>
    <row r="4399" spans="7:13" x14ac:dyDescent="0.25">
      <c r="G4399" s="10" t="str">
        <f t="shared" si="206"/>
        <v/>
      </c>
      <c r="H4399" t="str">
        <f t="shared" si="207"/>
        <v/>
      </c>
      <c r="M4399" s="34">
        <f t="shared" si="208"/>
        <v>0</v>
      </c>
    </row>
    <row r="4400" spans="7:13" x14ac:dyDescent="0.25">
      <c r="G4400" s="10" t="str">
        <f t="shared" si="206"/>
        <v/>
      </c>
      <c r="H4400" t="str">
        <f t="shared" si="207"/>
        <v/>
      </c>
      <c r="M4400" s="34">
        <f t="shared" si="208"/>
        <v>0</v>
      </c>
    </row>
    <row r="4401" spans="7:13" x14ac:dyDescent="0.25">
      <c r="G4401" s="10" t="str">
        <f t="shared" si="206"/>
        <v/>
      </c>
      <c r="H4401" t="str">
        <f t="shared" si="207"/>
        <v/>
      </c>
      <c r="M4401" s="34">
        <f t="shared" si="208"/>
        <v>0</v>
      </c>
    </row>
    <row r="4402" spans="7:13" x14ac:dyDescent="0.25">
      <c r="G4402" s="10" t="str">
        <f t="shared" si="206"/>
        <v/>
      </c>
      <c r="H4402" t="str">
        <f t="shared" si="207"/>
        <v/>
      </c>
      <c r="M4402" s="34">
        <f t="shared" si="208"/>
        <v>0</v>
      </c>
    </row>
    <row r="4403" spans="7:13" x14ac:dyDescent="0.25">
      <c r="G4403" s="10" t="str">
        <f t="shared" si="206"/>
        <v/>
      </c>
      <c r="H4403" t="str">
        <f t="shared" si="207"/>
        <v/>
      </c>
      <c r="M4403" s="34">
        <f t="shared" si="208"/>
        <v>0</v>
      </c>
    </row>
    <row r="4404" spans="7:13" x14ac:dyDescent="0.25">
      <c r="G4404" s="10" t="str">
        <f t="shared" si="206"/>
        <v/>
      </c>
      <c r="H4404" t="str">
        <f t="shared" si="207"/>
        <v/>
      </c>
      <c r="M4404" s="34">
        <f t="shared" si="208"/>
        <v>0</v>
      </c>
    </row>
    <row r="4405" spans="7:13" x14ac:dyDescent="0.25">
      <c r="G4405" s="10" t="str">
        <f t="shared" si="206"/>
        <v/>
      </c>
      <c r="H4405" t="str">
        <f t="shared" si="207"/>
        <v/>
      </c>
      <c r="M4405" s="34">
        <f t="shared" si="208"/>
        <v>0</v>
      </c>
    </row>
    <row r="4406" spans="7:13" x14ac:dyDescent="0.25">
      <c r="G4406" s="10" t="str">
        <f t="shared" si="206"/>
        <v/>
      </c>
      <c r="H4406" t="str">
        <f t="shared" si="207"/>
        <v/>
      </c>
      <c r="M4406" s="34">
        <f t="shared" si="208"/>
        <v>0</v>
      </c>
    </row>
    <row r="4407" spans="7:13" x14ac:dyDescent="0.25">
      <c r="G4407" s="10" t="str">
        <f t="shared" si="206"/>
        <v/>
      </c>
      <c r="H4407" t="str">
        <f t="shared" si="207"/>
        <v/>
      </c>
      <c r="M4407" s="34">
        <f t="shared" si="208"/>
        <v>0</v>
      </c>
    </row>
    <row r="4408" spans="7:13" x14ac:dyDescent="0.25">
      <c r="G4408" s="10" t="str">
        <f t="shared" si="206"/>
        <v/>
      </c>
      <c r="H4408" t="str">
        <f t="shared" si="207"/>
        <v/>
      </c>
      <c r="M4408" s="34">
        <f t="shared" si="208"/>
        <v>0</v>
      </c>
    </row>
    <row r="4409" spans="7:13" x14ac:dyDescent="0.25">
      <c r="G4409" s="10" t="str">
        <f t="shared" si="206"/>
        <v/>
      </c>
      <c r="H4409" t="str">
        <f t="shared" si="207"/>
        <v/>
      </c>
      <c r="M4409" s="34">
        <f t="shared" si="208"/>
        <v>0</v>
      </c>
    </row>
    <row r="4410" spans="7:13" x14ac:dyDescent="0.25">
      <c r="G4410" s="10" t="str">
        <f t="shared" si="206"/>
        <v/>
      </c>
      <c r="H4410" t="str">
        <f t="shared" si="207"/>
        <v/>
      </c>
      <c r="M4410" s="34">
        <f t="shared" si="208"/>
        <v>0</v>
      </c>
    </row>
    <row r="4411" spans="7:13" x14ac:dyDescent="0.25">
      <c r="G4411" s="10" t="str">
        <f t="shared" si="206"/>
        <v/>
      </c>
      <c r="H4411" t="str">
        <f t="shared" si="207"/>
        <v/>
      </c>
      <c r="M4411" s="34">
        <f t="shared" si="208"/>
        <v>0</v>
      </c>
    </row>
    <row r="4412" spans="7:13" x14ac:dyDescent="0.25">
      <c r="G4412" s="10" t="str">
        <f t="shared" si="206"/>
        <v/>
      </c>
      <c r="H4412" t="str">
        <f t="shared" si="207"/>
        <v/>
      </c>
      <c r="M4412" s="34">
        <f t="shared" si="208"/>
        <v>0</v>
      </c>
    </row>
    <row r="4413" spans="7:13" x14ac:dyDescent="0.25">
      <c r="G4413" s="10" t="str">
        <f t="shared" si="206"/>
        <v/>
      </c>
      <c r="H4413" t="str">
        <f t="shared" si="207"/>
        <v/>
      </c>
      <c r="M4413" s="34">
        <f t="shared" si="208"/>
        <v>0</v>
      </c>
    </row>
    <row r="4414" spans="7:13" x14ac:dyDescent="0.25">
      <c r="G4414" s="10" t="str">
        <f t="shared" si="206"/>
        <v/>
      </c>
      <c r="H4414" t="str">
        <f t="shared" si="207"/>
        <v/>
      </c>
      <c r="M4414" s="34">
        <f t="shared" si="208"/>
        <v>0</v>
      </c>
    </row>
    <row r="4415" spans="7:13" x14ac:dyDescent="0.25">
      <c r="G4415" s="10" t="str">
        <f t="shared" si="206"/>
        <v/>
      </c>
      <c r="H4415" t="str">
        <f t="shared" si="207"/>
        <v/>
      </c>
      <c r="M4415" s="34">
        <f t="shared" si="208"/>
        <v>0</v>
      </c>
    </row>
    <row r="4416" spans="7:13" x14ac:dyDescent="0.25">
      <c r="G4416" s="10" t="str">
        <f t="shared" si="206"/>
        <v/>
      </c>
      <c r="H4416" t="str">
        <f t="shared" si="207"/>
        <v/>
      </c>
      <c r="M4416" s="34">
        <f t="shared" si="208"/>
        <v>0</v>
      </c>
    </row>
    <row r="4417" spans="7:13" x14ac:dyDescent="0.25">
      <c r="G4417" s="10" t="str">
        <f t="shared" si="206"/>
        <v/>
      </c>
      <c r="H4417" t="str">
        <f t="shared" si="207"/>
        <v/>
      </c>
      <c r="M4417" s="34">
        <f t="shared" si="208"/>
        <v>0</v>
      </c>
    </row>
    <row r="4418" spans="7:13" x14ac:dyDescent="0.25">
      <c r="G4418" s="10" t="str">
        <f t="shared" ref="G4418:G4481" si="209">IF(F4418&gt;0,"RECETTE",IF(F4418&lt;0,"DÉPENSE",""))</f>
        <v/>
      </c>
      <c r="H4418" t="str">
        <f t="shared" ref="H4418:H4481" si="210">+IF(ISNUMBER(D4418),D4418,"")</f>
        <v/>
      </c>
      <c r="M4418" s="34">
        <f t="shared" si="208"/>
        <v>0</v>
      </c>
    </row>
    <row r="4419" spans="7:13" x14ac:dyDescent="0.25">
      <c r="G4419" s="10" t="str">
        <f t="shared" si="209"/>
        <v/>
      </c>
      <c r="H4419" t="str">
        <f t="shared" si="210"/>
        <v/>
      </c>
      <c r="M4419" s="34">
        <f t="shared" ref="M4419:M4482" si="211">IF(AND(E4419="Chèque",G4419="RECETTE"),F4419,0)</f>
        <v>0</v>
      </c>
    </row>
    <row r="4420" spans="7:13" x14ac:dyDescent="0.25">
      <c r="G4420" s="10" t="str">
        <f t="shared" si="209"/>
        <v/>
      </c>
      <c r="H4420" t="str">
        <f t="shared" si="210"/>
        <v/>
      </c>
      <c r="M4420" s="34">
        <f t="shared" si="211"/>
        <v>0</v>
      </c>
    </row>
    <row r="4421" spans="7:13" x14ac:dyDescent="0.25">
      <c r="G4421" s="10" t="str">
        <f t="shared" si="209"/>
        <v/>
      </c>
      <c r="H4421" t="str">
        <f t="shared" si="210"/>
        <v/>
      </c>
      <c r="M4421" s="34">
        <f t="shared" si="211"/>
        <v>0</v>
      </c>
    </row>
    <row r="4422" spans="7:13" x14ac:dyDescent="0.25">
      <c r="G4422" s="10" t="str">
        <f t="shared" si="209"/>
        <v/>
      </c>
      <c r="H4422" t="str">
        <f t="shared" si="210"/>
        <v/>
      </c>
      <c r="M4422" s="34">
        <f t="shared" si="211"/>
        <v>0</v>
      </c>
    </row>
    <row r="4423" spans="7:13" x14ac:dyDescent="0.25">
      <c r="G4423" s="10" t="str">
        <f t="shared" si="209"/>
        <v/>
      </c>
      <c r="H4423" t="str">
        <f t="shared" si="210"/>
        <v/>
      </c>
      <c r="M4423" s="34">
        <f t="shared" si="211"/>
        <v>0</v>
      </c>
    </row>
    <row r="4424" spans="7:13" x14ac:dyDescent="0.25">
      <c r="G4424" s="10" t="str">
        <f t="shared" si="209"/>
        <v/>
      </c>
      <c r="H4424" t="str">
        <f t="shared" si="210"/>
        <v/>
      </c>
      <c r="M4424" s="34">
        <f t="shared" si="211"/>
        <v>0</v>
      </c>
    </row>
    <row r="4425" spans="7:13" x14ac:dyDescent="0.25">
      <c r="G4425" s="10" t="str">
        <f t="shared" si="209"/>
        <v/>
      </c>
      <c r="H4425" t="str">
        <f t="shared" si="210"/>
        <v/>
      </c>
      <c r="M4425" s="34">
        <f t="shared" si="211"/>
        <v>0</v>
      </c>
    </row>
    <row r="4426" spans="7:13" x14ac:dyDescent="0.25">
      <c r="G4426" s="10" t="str">
        <f t="shared" si="209"/>
        <v/>
      </c>
      <c r="H4426" t="str">
        <f t="shared" si="210"/>
        <v/>
      </c>
      <c r="M4426" s="34">
        <f t="shared" si="211"/>
        <v>0</v>
      </c>
    </row>
    <row r="4427" spans="7:13" x14ac:dyDescent="0.25">
      <c r="G4427" s="10" t="str">
        <f t="shared" si="209"/>
        <v/>
      </c>
      <c r="H4427" t="str">
        <f t="shared" si="210"/>
        <v/>
      </c>
      <c r="M4427" s="34">
        <f t="shared" si="211"/>
        <v>0</v>
      </c>
    </row>
    <row r="4428" spans="7:13" x14ac:dyDescent="0.25">
      <c r="G4428" s="10" t="str">
        <f t="shared" si="209"/>
        <v/>
      </c>
      <c r="H4428" t="str">
        <f t="shared" si="210"/>
        <v/>
      </c>
      <c r="M4428" s="34">
        <f t="shared" si="211"/>
        <v>0</v>
      </c>
    </row>
    <row r="4429" spans="7:13" x14ac:dyDescent="0.25">
      <c r="G4429" s="10" t="str">
        <f t="shared" si="209"/>
        <v/>
      </c>
      <c r="H4429" t="str">
        <f t="shared" si="210"/>
        <v/>
      </c>
      <c r="M4429" s="34">
        <f t="shared" si="211"/>
        <v>0</v>
      </c>
    </row>
    <row r="4430" spans="7:13" x14ac:dyDescent="0.25">
      <c r="G4430" s="10" t="str">
        <f t="shared" si="209"/>
        <v/>
      </c>
      <c r="H4430" t="str">
        <f t="shared" si="210"/>
        <v/>
      </c>
      <c r="M4430" s="34">
        <f t="shared" si="211"/>
        <v>0</v>
      </c>
    </row>
    <row r="4431" spans="7:13" x14ac:dyDescent="0.25">
      <c r="G4431" s="10" t="str">
        <f t="shared" si="209"/>
        <v/>
      </c>
      <c r="H4431" t="str">
        <f t="shared" si="210"/>
        <v/>
      </c>
      <c r="M4431" s="34">
        <f t="shared" si="211"/>
        <v>0</v>
      </c>
    </row>
    <row r="4432" spans="7:13" x14ac:dyDescent="0.25">
      <c r="G4432" s="10" t="str">
        <f t="shared" si="209"/>
        <v/>
      </c>
      <c r="H4432" t="str">
        <f t="shared" si="210"/>
        <v/>
      </c>
      <c r="M4432" s="34">
        <f t="shared" si="211"/>
        <v>0</v>
      </c>
    </row>
    <row r="4433" spans="7:13" x14ac:dyDescent="0.25">
      <c r="G4433" s="10" t="str">
        <f t="shared" si="209"/>
        <v/>
      </c>
      <c r="H4433" t="str">
        <f t="shared" si="210"/>
        <v/>
      </c>
      <c r="M4433" s="34">
        <f t="shared" si="211"/>
        <v>0</v>
      </c>
    </row>
    <row r="4434" spans="7:13" x14ac:dyDescent="0.25">
      <c r="G4434" s="10" t="str">
        <f t="shared" si="209"/>
        <v/>
      </c>
      <c r="H4434" t="str">
        <f t="shared" si="210"/>
        <v/>
      </c>
      <c r="M4434" s="34">
        <f t="shared" si="211"/>
        <v>0</v>
      </c>
    </row>
    <row r="4435" spans="7:13" x14ac:dyDescent="0.25">
      <c r="G4435" s="10" t="str">
        <f t="shared" si="209"/>
        <v/>
      </c>
      <c r="H4435" t="str">
        <f t="shared" si="210"/>
        <v/>
      </c>
      <c r="M4435" s="34">
        <f t="shared" si="211"/>
        <v>0</v>
      </c>
    </row>
    <row r="4436" spans="7:13" x14ac:dyDescent="0.25">
      <c r="G4436" s="10" t="str">
        <f t="shared" si="209"/>
        <v/>
      </c>
      <c r="H4436" t="str">
        <f t="shared" si="210"/>
        <v/>
      </c>
      <c r="M4436" s="34">
        <f t="shared" si="211"/>
        <v>0</v>
      </c>
    </row>
    <row r="4437" spans="7:13" x14ac:dyDescent="0.25">
      <c r="G4437" s="10" t="str">
        <f t="shared" si="209"/>
        <v/>
      </c>
      <c r="H4437" t="str">
        <f t="shared" si="210"/>
        <v/>
      </c>
      <c r="M4437" s="34">
        <f t="shared" si="211"/>
        <v>0</v>
      </c>
    </row>
    <row r="4438" spans="7:13" x14ac:dyDescent="0.25">
      <c r="G4438" s="10" t="str">
        <f t="shared" si="209"/>
        <v/>
      </c>
      <c r="H4438" t="str">
        <f t="shared" si="210"/>
        <v/>
      </c>
      <c r="M4438" s="34">
        <f t="shared" si="211"/>
        <v>0</v>
      </c>
    </row>
    <row r="4439" spans="7:13" x14ac:dyDescent="0.25">
      <c r="G4439" s="10" t="str">
        <f t="shared" si="209"/>
        <v/>
      </c>
      <c r="H4439" t="str">
        <f t="shared" si="210"/>
        <v/>
      </c>
      <c r="M4439" s="34">
        <f t="shared" si="211"/>
        <v>0</v>
      </c>
    </row>
    <row r="4440" spans="7:13" x14ac:dyDescent="0.25">
      <c r="G4440" s="10" t="str">
        <f t="shared" si="209"/>
        <v/>
      </c>
      <c r="H4440" t="str">
        <f t="shared" si="210"/>
        <v/>
      </c>
      <c r="M4440" s="34">
        <f t="shared" si="211"/>
        <v>0</v>
      </c>
    </row>
    <row r="4441" spans="7:13" x14ac:dyDescent="0.25">
      <c r="G4441" s="10" t="str">
        <f t="shared" si="209"/>
        <v/>
      </c>
      <c r="H4441" t="str">
        <f t="shared" si="210"/>
        <v/>
      </c>
      <c r="M4441" s="34">
        <f t="shared" si="211"/>
        <v>0</v>
      </c>
    </row>
    <row r="4442" spans="7:13" x14ac:dyDescent="0.25">
      <c r="G4442" s="10" t="str">
        <f t="shared" si="209"/>
        <v/>
      </c>
      <c r="H4442" t="str">
        <f t="shared" si="210"/>
        <v/>
      </c>
      <c r="M4442" s="34">
        <f t="shared" si="211"/>
        <v>0</v>
      </c>
    </row>
    <row r="4443" spans="7:13" x14ac:dyDescent="0.25">
      <c r="G4443" s="10" t="str">
        <f t="shared" si="209"/>
        <v/>
      </c>
      <c r="H4443" t="str">
        <f t="shared" si="210"/>
        <v/>
      </c>
      <c r="M4443" s="34">
        <f t="shared" si="211"/>
        <v>0</v>
      </c>
    </row>
    <row r="4444" spans="7:13" x14ac:dyDescent="0.25">
      <c r="G4444" s="10" t="str">
        <f t="shared" si="209"/>
        <v/>
      </c>
      <c r="H4444" t="str">
        <f t="shared" si="210"/>
        <v/>
      </c>
      <c r="M4444" s="34">
        <f t="shared" si="211"/>
        <v>0</v>
      </c>
    </row>
    <row r="4445" spans="7:13" x14ac:dyDescent="0.25">
      <c r="G4445" s="10" t="str">
        <f t="shared" si="209"/>
        <v/>
      </c>
      <c r="H4445" t="str">
        <f t="shared" si="210"/>
        <v/>
      </c>
      <c r="M4445" s="34">
        <f t="shared" si="211"/>
        <v>0</v>
      </c>
    </row>
    <row r="4446" spans="7:13" x14ac:dyDescent="0.25">
      <c r="G4446" s="10" t="str">
        <f t="shared" si="209"/>
        <v/>
      </c>
      <c r="H4446" t="str">
        <f t="shared" si="210"/>
        <v/>
      </c>
      <c r="M4446" s="34">
        <f t="shared" si="211"/>
        <v>0</v>
      </c>
    </row>
    <row r="4447" spans="7:13" x14ac:dyDescent="0.25">
      <c r="G4447" s="10" t="str">
        <f t="shared" si="209"/>
        <v/>
      </c>
      <c r="H4447" t="str">
        <f t="shared" si="210"/>
        <v/>
      </c>
      <c r="M4447" s="34">
        <f t="shared" si="211"/>
        <v>0</v>
      </c>
    </row>
    <row r="4448" spans="7:13" x14ac:dyDescent="0.25">
      <c r="G4448" s="10" t="str">
        <f t="shared" si="209"/>
        <v/>
      </c>
      <c r="H4448" t="str">
        <f t="shared" si="210"/>
        <v/>
      </c>
      <c r="M4448" s="34">
        <f t="shared" si="211"/>
        <v>0</v>
      </c>
    </row>
    <row r="4449" spans="7:13" x14ac:dyDescent="0.25">
      <c r="G4449" s="10" t="str">
        <f t="shared" si="209"/>
        <v/>
      </c>
      <c r="H4449" t="str">
        <f t="shared" si="210"/>
        <v/>
      </c>
      <c r="M4449" s="34">
        <f t="shared" si="211"/>
        <v>0</v>
      </c>
    </row>
    <row r="4450" spans="7:13" x14ac:dyDescent="0.25">
      <c r="G4450" s="10" t="str">
        <f t="shared" si="209"/>
        <v/>
      </c>
      <c r="H4450" t="str">
        <f t="shared" si="210"/>
        <v/>
      </c>
      <c r="M4450" s="34">
        <f t="shared" si="211"/>
        <v>0</v>
      </c>
    </row>
    <row r="4451" spans="7:13" x14ac:dyDescent="0.25">
      <c r="G4451" s="10" t="str">
        <f t="shared" si="209"/>
        <v/>
      </c>
      <c r="H4451" t="str">
        <f t="shared" si="210"/>
        <v/>
      </c>
      <c r="M4451" s="34">
        <f t="shared" si="211"/>
        <v>0</v>
      </c>
    </row>
    <row r="4452" spans="7:13" x14ac:dyDescent="0.25">
      <c r="G4452" s="10" t="str">
        <f t="shared" si="209"/>
        <v/>
      </c>
      <c r="H4452" t="str">
        <f t="shared" si="210"/>
        <v/>
      </c>
      <c r="M4452" s="34">
        <f t="shared" si="211"/>
        <v>0</v>
      </c>
    </row>
    <row r="4453" spans="7:13" x14ac:dyDescent="0.25">
      <c r="G4453" s="10" t="str">
        <f t="shared" si="209"/>
        <v/>
      </c>
      <c r="H4453" t="str">
        <f t="shared" si="210"/>
        <v/>
      </c>
      <c r="M4453" s="34">
        <f t="shared" si="211"/>
        <v>0</v>
      </c>
    </row>
    <row r="4454" spans="7:13" x14ac:dyDescent="0.25">
      <c r="G4454" s="10" t="str">
        <f t="shared" si="209"/>
        <v/>
      </c>
      <c r="H4454" t="str">
        <f t="shared" si="210"/>
        <v/>
      </c>
      <c r="M4454" s="34">
        <f t="shared" si="211"/>
        <v>0</v>
      </c>
    </row>
    <row r="4455" spans="7:13" x14ac:dyDescent="0.25">
      <c r="G4455" s="10" t="str">
        <f t="shared" si="209"/>
        <v/>
      </c>
      <c r="H4455" t="str">
        <f t="shared" si="210"/>
        <v/>
      </c>
      <c r="M4455" s="34">
        <f t="shared" si="211"/>
        <v>0</v>
      </c>
    </row>
    <row r="4456" spans="7:13" x14ac:dyDescent="0.25">
      <c r="G4456" s="10" t="str">
        <f t="shared" si="209"/>
        <v/>
      </c>
      <c r="H4456" t="str">
        <f t="shared" si="210"/>
        <v/>
      </c>
      <c r="M4456" s="34">
        <f t="shared" si="211"/>
        <v>0</v>
      </c>
    </row>
    <row r="4457" spans="7:13" x14ac:dyDescent="0.25">
      <c r="G4457" s="10" t="str">
        <f t="shared" si="209"/>
        <v/>
      </c>
      <c r="H4457" t="str">
        <f t="shared" si="210"/>
        <v/>
      </c>
      <c r="M4457" s="34">
        <f t="shared" si="211"/>
        <v>0</v>
      </c>
    </row>
    <row r="4458" spans="7:13" x14ac:dyDescent="0.25">
      <c r="G4458" s="10" t="str">
        <f t="shared" si="209"/>
        <v/>
      </c>
      <c r="H4458" t="str">
        <f t="shared" si="210"/>
        <v/>
      </c>
      <c r="M4458" s="34">
        <f t="shared" si="211"/>
        <v>0</v>
      </c>
    </row>
    <row r="4459" spans="7:13" x14ac:dyDescent="0.25">
      <c r="G4459" s="10" t="str">
        <f t="shared" si="209"/>
        <v/>
      </c>
      <c r="H4459" t="str">
        <f t="shared" si="210"/>
        <v/>
      </c>
      <c r="M4459" s="34">
        <f t="shared" si="211"/>
        <v>0</v>
      </c>
    </row>
    <row r="4460" spans="7:13" x14ac:dyDescent="0.25">
      <c r="G4460" s="10" t="str">
        <f t="shared" si="209"/>
        <v/>
      </c>
      <c r="H4460" t="str">
        <f t="shared" si="210"/>
        <v/>
      </c>
      <c r="M4460" s="34">
        <f t="shared" si="211"/>
        <v>0</v>
      </c>
    </row>
    <row r="4461" spans="7:13" x14ac:dyDescent="0.25">
      <c r="G4461" s="10" t="str">
        <f t="shared" si="209"/>
        <v/>
      </c>
      <c r="H4461" t="str">
        <f t="shared" si="210"/>
        <v/>
      </c>
      <c r="M4461" s="34">
        <f t="shared" si="211"/>
        <v>0</v>
      </c>
    </row>
    <row r="4462" spans="7:13" x14ac:dyDescent="0.25">
      <c r="G4462" s="10" t="str">
        <f t="shared" si="209"/>
        <v/>
      </c>
      <c r="H4462" t="str">
        <f t="shared" si="210"/>
        <v/>
      </c>
      <c r="M4462" s="34">
        <f t="shared" si="211"/>
        <v>0</v>
      </c>
    </row>
    <row r="4463" spans="7:13" x14ac:dyDescent="0.25">
      <c r="G4463" s="10" t="str">
        <f t="shared" si="209"/>
        <v/>
      </c>
      <c r="H4463" t="str">
        <f t="shared" si="210"/>
        <v/>
      </c>
      <c r="M4463" s="34">
        <f t="shared" si="211"/>
        <v>0</v>
      </c>
    </row>
    <row r="4464" spans="7:13" x14ac:dyDescent="0.25">
      <c r="G4464" s="10" t="str">
        <f t="shared" si="209"/>
        <v/>
      </c>
      <c r="H4464" t="str">
        <f t="shared" si="210"/>
        <v/>
      </c>
      <c r="M4464" s="34">
        <f t="shared" si="211"/>
        <v>0</v>
      </c>
    </row>
    <row r="4465" spans="7:13" x14ac:dyDescent="0.25">
      <c r="G4465" s="10" t="str">
        <f t="shared" si="209"/>
        <v/>
      </c>
      <c r="H4465" t="str">
        <f t="shared" si="210"/>
        <v/>
      </c>
      <c r="M4465" s="34">
        <f t="shared" si="211"/>
        <v>0</v>
      </c>
    </row>
    <row r="4466" spans="7:13" x14ac:dyDescent="0.25">
      <c r="G4466" s="10" t="str">
        <f t="shared" si="209"/>
        <v/>
      </c>
      <c r="H4466" t="str">
        <f t="shared" si="210"/>
        <v/>
      </c>
      <c r="M4466" s="34">
        <f t="shared" si="211"/>
        <v>0</v>
      </c>
    </row>
    <row r="4467" spans="7:13" x14ac:dyDescent="0.25">
      <c r="G4467" s="10" t="str">
        <f t="shared" si="209"/>
        <v/>
      </c>
      <c r="H4467" t="str">
        <f t="shared" si="210"/>
        <v/>
      </c>
      <c r="M4467" s="34">
        <f t="shared" si="211"/>
        <v>0</v>
      </c>
    </row>
    <row r="4468" spans="7:13" x14ac:dyDescent="0.25">
      <c r="G4468" s="10" t="str">
        <f t="shared" si="209"/>
        <v/>
      </c>
      <c r="H4468" t="str">
        <f t="shared" si="210"/>
        <v/>
      </c>
      <c r="M4468" s="34">
        <f t="shared" si="211"/>
        <v>0</v>
      </c>
    </row>
    <row r="4469" spans="7:13" x14ac:dyDescent="0.25">
      <c r="G4469" s="10" t="str">
        <f t="shared" si="209"/>
        <v/>
      </c>
      <c r="H4469" t="str">
        <f t="shared" si="210"/>
        <v/>
      </c>
      <c r="M4469" s="34">
        <f t="shared" si="211"/>
        <v>0</v>
      </c>
    </row>
    <row r="4470" spans="7:13" x14ac:dyDescent="0.25">
      <c r="G4470" s="10" t="str">
        <f t="shared" si="209"/>
        <v/>
      </c>
      <c r="H4470" t="str">
        <f t="shared" si="210"/>
        <v/>
      </c>
      <c r="M4470" s="34">
        <f t="shared" si="211"/>
        <v>0</v>
      </c>
    </row>
    <row r="4471" spans="7:13" x14ac:dyDescent="0.25">
      <c r="G4471" s="10" t="str">
        <f t="shared" si="209"/>
        <v/>
      </c>
      <c r="H4471" t="str">
        <f t="shared" si="210"/>
        <v/>
      </c>
      <c r="M4471" s="34">
        <f t="shared" si="211"/>
        <v>0</v>
      </c>
    </row>
    <row r="4472" spans="7:13" x14ac:dyDescent="0.25">
      <c r="G4472" s="10" t="str">
        <f t="shared" si="209"/>
        <v/>
      </c>
      <c r="H4472" t="str">
        <f t="shared" si="210"/>
        <v/>
      </c>
      <c r="M4472" s="34">
        <f t="shared" si="211"/>
        <v>0</v>
      </c>
    </row>
    <row r="4473" spans="7:13" x14ac:dyDescent="0.25">
      <c r="G4473" s="10" t="str">
        <f t="shared" si="209"/>
        <v/>
      </c>
      <c r="H4473" t="str">
        <f t="shared" si="210"/>
        <v/>
      </c>
      <c r="M4473" s="34">
        <f t="shared" si="211"/>
        <v>0</v>
      </c>
    </row>
    <row r="4474" spans="7:13" x14ac:dyDescent="0.25">
      <c r="G4474" s="10" t="str">
        <f t="shared" si="209"/>
        <v/>
      </c>
      <c r="H4474" t="str">
        <f t="shared" si="210"/>
        <v/>
      </c>
      <c r="M4474" s="34">
        <f t="shared" si="211"/>
        <v>0</v>
      </c>
    </row>
    <row r="4475" spans="7:13" x14ac:dyDescent="0.25">
      <c r="G4475" s="10" t="str">
        <f t="shared" si="209"/>
        <v/>
      </c>
      <c r="H4475" t="str">
        <f t="shared" si="210"/>
        <v/>
      </c>
      <c r="M4475" s="34">
        <f t="shared" si="211"/>
        <v>0</v>
      </c>
    </row>
    <row r="4476" spans="7:13" x14ac:dyDescent="0.25">
      <c r="G4476" s="10" t="str">
        <f t="shared" si="209"/>
        <v/>
      </c>
      <c r="H4476" t="str">
        <f t="shared" si="210"/>
        <v/>
      </c>
      <c r="M4476" s="34">
        <f t="shared" si="211"/>
        <v>0</v>
      </c>
    </row>
    <row r="4477" spans="7:13" x14ac:dyDescent="0.25">
      <c r="G4477" s="10" t="str">
        <f t="shared" si="209"/>
        <v/>
      </c>
      <c r="H4477" t="str">
        <f t="shared" si="210"/>
        <v/>
      </c>
      <c r="M4477" s="34">
        <f t="shared" si="211"/>
        <v>0</v>
      </c>
    </row>
    <row r="4478" spans="7:13" x14ac:dyDescent="0.25">
      <c r="G4478" s="10" t="str">
        <f t="shared" si="209"/>
        <v/>
      </c>
      <c r="H4478" t="str">
        <f t="shared" si="210"/>
        <v/>
      </c>
      <c r="M4478" s="34">
        <f t="shared" si="211"/>
        <v>0</v>
      </c>
    </row>
    <row r="4479" spans="7:13" x14ac:dyDescent="0.25">
      <c r="G4479" s="10" t="str">
        <f t="shared" si="209"/>
        <v/>
      </c>
      <c r="H4479" t="str">
        <f t="shared" si="210"/>
        <v/>
      </c>
      <c r="M4479" s="34">
        <f t="shared" si="211"/>
        <v>0</v>
      </c>
    </row>
    <row r="4480" spans="7:13" x14ac:dyDescent="0.25">
      <c r="G4480" s="10" t="str">
        <f t="shared" si="209"/>
        <v/>
      </c>
      <c r="H4480" t="str">
        <f t="shared" si="210"/>
        <v/>
      </c>
      <c r="M4480" s="34">
        <f t="shared" si="211"/>
        <v>0</v>
      </c>
    </row>
    <row r="4481" spans="7:13" x14ac:dyDescent="0.25">
      <c r="G4481" s="10" t="str">
        <f t="shared" si="209"/>
        <v/>
      </c>
      <c r="H4481" t="str">
        <f t="shared" si="210"/>
        <v/>
      </c>
      <c r="M4481" s="34">
        <f t="shared" si="211"/>
        <v>0</v>
      </c>
    </row>
    <row r="4482" spans="7:13" x14ac:dyDescent="0.25">
      <c r="G4482" s="10" t="str">
        <f t="shared" ref="G4482:G4545" si="212">IF(F4482&gt;0,"RECETTE",IF(F4482&lt;0,"DÉPENSE",""))</f>
        <v/>
      </c>
      <c r="H4482" t="str">
        <f t="shared" ref="H4482:H4545" si="213">+IF(ISNUMBER(D4482),D4482,"")</f>
        <v/>
      </c>
      <c r="M4482" s="34">
        <f t="shared" si="211"/>
        <v>0</v>
      </c>
    </row>
    <row r="4483" spans="7:13" x14ac:dyDescent="0.25">
      <c r="G4483" s="10" t="str">
        <f t="shared" si="212"/>
        <v/>
      </c>
      <c r="H4483" t="str">
        <f t="shared" si="213"/>
        <v/>
      </c>
      <c r="M4483" s="34">
        <f t="shared" ref="M4483:M4546" si="214">IF(AND(E4483="Chèque",G4483="RECETTE"),F4483,0)</f>
        <v>0</v>
      </c>
    </row>
    <row r="4484" spans="7:13" x14ac:dyDescent="0.25">
      <c r="G4484" s="10" t="str">
        <f t="shared" si="212"/>
        <v/>
      </c>
      <c r="H4484" t="str">
        <f t="shared" si="213"/>
        <v/>
      </c>
      <c r="M4484" s="34">
        <f t="shared" si="214"/>
        <v>0</v>
      </c>
    </row>
    <row r="4485" spans="7:13" x14ac:dyDescent="0.25">
      <c r="G4485" s="10" t="str">
        <f t="shared" si="212"/>
        <v/>
      </c>
      <c r="H4485" t="str">
        <f t="shared" si="213"/>
        <v/>
      </c>
      <c r="M4485" s="34">
        <f t="shared" si="214"/>
        <v>0</v>
      </c>
    </row>
    <row r="4486" spans="7:13" x14ac:dyDescent="0.25">
      <c r="G4486" s="10" t="str">
        <f t="shared" si="212"/>
        <v/>
      </c>
      <c r="H4486" t="str">
        <f t="shared" si="213"/>
        <v/>
      </c>
      <c r="M4486" s="34">
        <f t="shared" si="214"/>
        <v>0</v>
      </c>
    </row>
    <row r="4487" spans="7:13" x14ac:dyDescent="0.25">
      <c r="G4487" s="10" t="str">
        <f t="shared" si="212"/>
        <v/>
      </c>
      <c r="H4487" t="str">
        <f t="shared" si="213"/>
        <v/>
      </c>
      <c r="M4487" s="34">
        <f t="shared" si="214"/>
        <v>0</v>
      </c>
    </row>
    <row r="4488" spans="7:13" x14ac:dyDescent="0.25">
      <c r="G4488" s="10" t="str">
        <f t="shared" si="212"/>
        <v/>
      </c>
      <c r="H4488" t="str">
        <f t="shared" si="213"/>
        <v/>
      </c>
      <c r="M4488" s="34">
        <f t="shared" si="214"/>
        <v>0</v>
      </c>
    </row>
    <row r="4489" spans="7:13" x14ac:dyDescent="0.25">
      <c r="G4489" s="10" t="str">
        <f t="shared" si="212"/>
        <v/>
      </c>
      <c r="H4489" t="str">
        <f t="shared" si="213"/>
        <v/>
      </c>
      <c r="M4489" s="34">
        <f t="shared" si="214"/>
        <v>0</v>
      </c>
    </row>
    <row r="4490" spans="7:13" x14ac:dyDescent="0.25">
      <c r="G4490" s="10" t="str">
        <f t="shared" si="212"/>
        <v/>
      </c>
      <c r="H4490" t="str">
        <f t="shared" si="213"/>
        <v/>
      </c>
      <c r="M4490" s="34">
        <f t="shared" si="214"/>
        <v>0</v>
      </c>
    </row>
    <row r="4491" spans="7:13" x14ac:dyDescent="0.25">
      <c r="G4491" s="10" t="str">
        <f t="shared" si="212"/>
        <v/>
      </c>
      <c r="H4491" t="str">
        <f t="shared" si="213"/>
        <v/>
      </c>
      <c r="M4491" s="34">
        <f t="shared" si="214"/>
        <v>0</v>
      </c>
    </row>
    <row r="4492" spans="7:13" x14ac:dyDescent="0.25">
      <c r="G4492" s="10" t="str">
        <f t="shared" si="212"/>
        <v/>
      </c>
      <c r="H4492" t="str">
        <f t="shared" si="213"/>
        <v/>
      </c>
      <c r="M4492" s="34">
        <f t="shared" si="214"/>
        <v>0</v>
      </c>
    </row>
    <row r="4493" spans="7:13" x14ac:dyDescent="0.25">
      <c r="G4493" s="10" t="str">
        <f t="shared" si="212"/>
        <v/>
      </c>
      <c r="H4493" t="str">
        <f t="shared" si="213"/>
        <v/>
      </c>
      <c r="M4493" s="34">
        <f t="shared" si="214"/>
        <v>0</v>
      </c>
    </row>
    <row r="4494" spans="7:13" x14ac:dyDescent="0.25">
      <c r="G4494" s="10" t="str">
        <f t="shared" si="212"/>
        <v/>
      </c>
      <c r="H4494" t="str">
        <f t="shared" si="213"/>
        <v/>
      </c>
      <c r="M4494" s="34">
        <f t="shared" si="214"/>
        <v>0</v>
      </c>
    </row>
    <row r="4495" spans="7:13" x14ac:dyDescent="0.25">
      <c r="G4495" s="10" t="str">
        <f t="shared" si="212"/>
        <v/>
      </c>
      <c r="H4495" t="str">
        <f t="shared" si="213"/>
        <v/>
      </c>
      <c r="M4495" s="34">
        <f t="shared" si="214"/>
        <v>0</v>
      </c>
    </row>
    <row r="4496" spans="7:13" x14ac:dyDescent="0.25">
      <c r="G4496" s="10" t="str">
        <f t="shared" si="212"/>
        <v/>
      </c>
      <c r="H4496" t="str">
        <f t="shared" si="213"/>
        <v/>
      </c>
      <c r="M4496" s="34">
        <f t="shared" si="214"/>
        <v>0</v>
      </c>
    </row>
    <row r="4497" spans="7:13" x14ac:dyDescent="0.25">
      <c r="G4497" s="10" t="str">
        <f t="shared" si="212"/>
        <v/>
      </c>
      <c r="H4497" t="str">
        <f t="shared" si="213"/>
        <v/>
      </c>
      <c r="M4497" s="34">
        <f t="shared" si="214"/>
        <v>0</v>
      </c>
    </row>
    <row r="4498" spans="7:13" x14ac:dyDescent="0.25">
      <c r="G4498" s="10" t="str">
        <f t="shared" si="212"/>
        <v/>
      </c>
      <c r="H4498" t="str">
        <f t="shared" si="213"/>
        <v/>
      </c>
      <c r="M4498" s="34">
        <f t="shared" si="214"/>
        <v>0</v>
      </c>
    </row>
    <row r="4499" spans="7:13" x14ac:dyDescent="0.25">
      <c r="G4499" s="10" t="str">
        <f t="shared" si="212"/>
        <v/>
      </c>
      <c r="H4499" t="str">
        <f t="shared" si="213"/>
        <v/>
      </c>
      <c r="M4499" s="34">
        <f t="shared" si="214"/>
        <v>0</v>
      </c>
    </row>
    <row r="4500" spans="7:13" x14ac:dyDescent="0.25">
      <c r="G4500" s="10" t="str">
        <f t="shared" si="212"/>
        <v/>
      </c>
      <c r="H4500" t="str">
        <f t="shared" si="213"/>
        <v/>
      </c>
      <c r="M4500" s="34">
        <f t="shared" si="214"/>
        <v>0</v>
      </c>
    </row>
    <row r="4501" spans="7:13" x14ac:dyDescent="0.25">
      <c r="G4501" s="10" t="str">
        <f t="shared" si="212"/>
        <v/>
      </c>
      <c r="H4501" t="str">
        <f t="shared" si="213"/>
        <v/>
      </c>
      <c r="M4501" s="34">
        <f t="shared" si="214"/>
        <v>0</v>
      </c>
    </row>
    <row r="4502" spans="7:13" x14ac:dyDescent="0.25">
      <c r="G4502" s="10" t="str">
        <f t="shared" si="212"/>
        <v/>
      </c>
      <c r="H4502" t="str">
        <f t="shared" si="213"/>
        <v/>
      </c>
      <c r="M4502" s="34">
        <f t="shared" si="214"/>
        <v>0</v>
      </c>
    </row>
    <row r="4503" spans="7:13" x14ac:dyDescent="0.25">
      <c r="G4503" s="10" t="str">
        <f t="shared" si="212"/>
        <v/>
      </c>
      <c r="H4503" t="str">
        <f t="shared" si="213"/>
        <v/>
      </c>
      <c r="M4503" s="34">
        <f t="shared" si="214"/>
        <v>0</v>
      </c>
    </row>
    <row r="4504" spans="7:13" x14ac:dyDescent="0.25">
      <c r="G4504" s="10" t="str">
        <f t="shared" si="212"/>
        <v/>
      </c>
      <c r="H4504" t="str">
        <f t="shared" si="213"/>
        <v/>
      </c>
      <c r="M4504" s="34">
        <f t="shared" si="214"/>
        <v>0</v>
      </c>
    </row>
    <row r="4505" spans="7:13" x14ac:dyDescent="0.25">
      <c r="G4505" s="10" t="str">
        <f t="shared" si="212"/>
        <v/>
      </c>
      <c r="H4505" t="str">
        <f t="shared" si="213"/>
        <v/>
      </c>
      <c r="M4505" s="34">
        <f t="shared" si="214"/>
        <v>0</v>
      </c>
    </row>
    <row r="4506" spans="7:13" x14ac:dyDescent="0.25">
      <c r="G4506" s="10" t="str">
        <f t="shared" si="212"/>
        <v/>
      </c>
      <c r="H4506" t="str">
        <f t="shared" si="213"/>
        <v/>
      </c>
      <c r="M4506" s="34">
        <f t="shared" si="214"/>
        <v>0</v>
      </c>
    </row>
    <row r="4507" spans="7:13" x14ac:dyDescent="0.25">
      <c r="G4507" s="10" t="str">
        <f t="shared" si="212"/>
        <v/>
      </c>
      <c r="H4507" t="str">
        <f t="shared" si="213"/>
        <v/>
      </c>
      <c r="M4507" s="34">
        <f t="shared" si="214"/>
        <v>0</v>
      </c>
    </row>
    <row r="4508" spans="7:13" x14ac:dyDescent="0.25">
      <c r="G4508" s="10" t="str">
        <f t="shared" si="212"/>
        <v/>
      </c>
      <c r="H4508" t="str">
        <f t="shared" si="213"/>
        <v/>
      </c>
      <c r="M4508" s="34">
        <f t="shared" si="214"/>
        <v>0</v>
      </c>
    </row>
    <row r="4509" spans="7:13" x14ac:dyDescent="0.25">
      <c r="G4509" s="10" t="str">
        <f t="shared" si="212"/>
        <v/>
      </c>
      <c r="H4509" t="str">
        <f t="shared" si="213"/>
        <v/>
      </c>
      <c r="M4509" s="34">
        <f t="shared" si="214"/>
        <v>0</v>
      </c>
    </row>
    <row r="4510" spans="7:13" x14ac:dyDescent="0.25">
      <c r="G4510" s="10" t="str">
        <f t="shared" si="212"/>
        <v/>
      </c>
      <c r="H4510" t="str">
        <f t="shared" si="213"/>
        <v/>
      </c>
      <c r="M4510" s="34">
        <f t="shared" si="214"/>
        <v>0</v>
      </c>
    </row>
    <row r="4511" spans="7:13" x14ac:dyDescent="0.25">
      <c r="G4511" s="10" t="str">
        <f t="shared" si="212"/>
        <v/>
      </c>
      <c r="H4511" t="str">
        <f t="shared" si="213"/>
        <v/>
      </c>
      <c r="M4511" s="34">
        <f t="shared" si="214"/>
        <v>0</v>
      </c>
    </row>
    <row r="4512" spans="7:13" x14ac:dyDescent="0.25">
      <c r="G4512" s="10" t="str">
        <f t="shared" si="212"/>
        <v/>
      </c>
      <c r="H4512" t="str">
        <f t="shared" si="213"/>
        <v/>
      </c>
      <c r="M4512" s="34">
        <f t="shared" si="214"/>
        <v>0</v>
      </c>
    </row>
    <row r="4513" spans="7:13" x14ac:dyDescent="0.25">
      <c r="G4513" s="10" t="str">
        <f t="shared" si="212"/>
        <v/>
      </c>
      <c r="H4513" t="str">
        <f t="shared" si="213"/>
        <v/>
      </c>
      <c r="M4513" s="34">
        <f t="shared" si="214"/>
        <v>0</v>
      </c>
    </row>
    <row r="4514" spans="7:13" x14ac:dyDescent="0.25">
      <c r="G4514" s="10" t="str">
        <f t="shared" si="212"/>
        <v/>
      </c>
      <c r="H4514" t="str">
        <f t="shared" si="213"/>
        <v/>
      </c>
      <c r="M4514" s="34">
        <f t="shared" si="214"/>
        <v>0</v>
      </c>
    </row>
    <row r="4515" spans="7:13" x14ac:dyDescent="0.25">
      <c r="G4515" s="10" t="str">
        <f t="shared" si="212"/>
        <v/>
      </c>
      <c r="H4515" t="str">
        <f t="shared" si="213"/>
        <v/>
      </c>
      <c r="M4515" s="34">
        <f t="shared" si="214"/>
        <v>0</v>
      </c>
    </row>
    <row r="4516" spans="7:13" x14ac:dyDescent="0.25">
      <c r="G4516" s="10" t="str">
        <f t="shared" si="212"/>
        <v/>
      </c>
      <c r="H4516" t="str">
        <f t="shared" si="213"/>
        <v/>
      </c>
      <c r="M4516" s="34">
        <f t="shared" si="214"/>
        <v>0</v>
      </c>
    </row>
    <row r="4517" spans="7:13" x14ac:dyDescent="0.25">
      <c r="G4517" s="10" t="str">
        <f t="shared" si="212"/>
        <v/>
      </c>
      <c r="H4517" t="str">
        <f t="shared" si="213"/>
        <v/>
      </c>
      <c r="M4517" s="34">
        <f t="shared" si="214"/>
        <v>0</v>
      </c>
    </row>
    <row r="4518" spans="7:13" x14ac:dyDescent="0.25">
      <c r="G4518" s="10" t="str">
        <f t="shared" si="212"/>
        <v/>
      </c>
      <c r="H4518" t="str">
        <f t="shared" si="213"/>
        <v/>
      </c>
      <c r="M4518" s="34">
        <f t="shared" si="214"/>
        <v>0</v>
      </c>
    </row>
    <row r="4519" spans="7:13" x14ac:dyDescent="0.25">
      <c r="G4519" s="10" t="str">
        <f t="shared" si="212"/>
        <v/>
      </c>
      <c r="H4519" t="str">
        <f t="shared" si="213"/>
        <v/>
      </c>
      <c r="M4519" s="34">
        <f t="shared" si="214"/>
        <v>0</v>
      </c>
    </row>
    <row r="4520" spans="7:13" x14ac:dyDescent="0.25">
      <c r="G4520" s="10" t="str">
        <f t="shared" si="212"/>
        <v/>
      </c>
      <c r="H4520" t="str">
        <f t="shared" si="213"/>
        <v/>
      </c>
      <c r="M4520" s="34">
        <f t="shared" si="214"/>
        <v>0</v>
      </c>
    </row>
    <row r="4521" spans="7:13" x14ac:dyDescent="0.25">
      <c r="G4521" s="10" t="str">
        <f t="shared" si="212"/>
        <v/>
      </c>
      <c r="H4521" t="str">
        <f t="shared" si="213"/>
        <v/>
      </c>
      <c r="M4521" s="34">
        <f t="shared" si="214"/>
        <v>0</v>
      </c>
    </row>
    <row r="4522" spans="7:13" x14ac:dyDescent="0.25">
      <c r="G4522" s="10" t="str">
        <f t="shared" si="212"/>
        <v/>
      </c>
      <c r="H4522" t="str">
        <f t="shared" si="213"/>
        <v/>
      </c>
      <c r="M4522" s="34">
        <f t="shared" si="214"/>
        <v>0</v>
      </c>
    </row>
    <row r="4523" spans="7:13" x14ac:dyDescent="0.25">
      <c r="G4523" s="10" t="str">
        <f t="shared" si="212"/>
        <v/>
      </c>
      <c r="H4523" t="str">
        <f t="shared" si="213"/>
        <v/>
      </c>
      <c r="M4523" s="34">
        <f t="shared" si="214"/>
        <v>0</v>
      </c>
    </row>
    <row r="4524" spans="7:13" x14ac:dyDescent="0.25">
      <c r="G4524" s="10" t="str">
        <f t="shared" si="212"/>
        <v/>
      </c>
      <c r="H4524" t="str">
        <f t="shared" si="213"/>
        <v/>
      </c>
      <c r="M4524" s="34">
        <f t="shared" si="214"/>
        <v>0</v>
      </c>
    </row>
    <row r="4525" spans="7:13" x14ac:dyDescent="0.25">
      <c r="G4525" s="10" t="str">
        <f t="shared" si="212"/>
        <v/>
      </c>
      <c r="H4525" t="str">
        <f t="shared" si="213"/>
        <v/>
      </c>
      <c r="M4525" s="34">
        <f t="shared" si="214"/>
        <v>0</v>
      </c>
    </row>
    <row r="4526" spans="7:13" x14ac:dyDescent="0.25">
      <c r="G4526" s="10" t="str">
        <f t="shared" si="212"/>
        <v/>
      </c>
      <c r="H4526" t="str">
        <f t="shared" si="213"/>
        <v/>
      </c>
      <c r="M4526" s="34">
        <f t="shared" si="214"/>
        <v>0</v>
      </c>
    </row>
    <row r="4527" spans="7:13" x14ac:dyDescent="0.25">
      <c r="G4527" s="10" t="str">
        <f t="shared" si="212"/>
        <v/>
      </c>
      <c r="H4527" t="str">
        <f t="shared" si="213"/>
        <v/>
      </c>
      <c r="M4527" s="34">
        <f t="shared" si="214"/>
        <v>0</v>
      </c>
    </row>
    <row r="4528" spans="7:13" x14ac:dyDescent="0.25">
      <c r="G4528" s="10" t="str">
        <f t="shared" si="212"/>
        <v/>
      </c>
      <c r="H4528" t="str">
        <f t="shared" si="213"/>
        <v/>
      </c>
      <c r="M4528" s="34">
        <f t="shared" si="214"/>
        <v>0</v>
      </c>
    </row>
    <row r="4529" spans="7:13" x14ac:dyDescent="0.25">
      <c r="G4529" s="10" t="str">
        <f t="shared" si="212"/>
        <v/>
      </c>
      <c r="H4529" t="str">
        <f t="shared" si="213"/>
        <v/>
      </c>
      <c r="M4529" s="34">
        <f t="shared" si="214"/>
        <v>0</v>
      </c>
    </row>
    <row r="4530" spans="7:13" x14ac:dyDescent="0.25">
      <c r="G4530" s="10" t="str">
        <f t="shared" si="212"/>
        <v/>
      </c>
      <c r="H4530" t="str">
        <f t="shared" si="213"/>
        <v/>
      </c>
      <c r="M4530" s="34">
        <f t="shared" si="214"/>
        <v>0</v>
      </c>
    </row>
    <row r="4531" spans="7:13" x14ac:dyDescent="0.25">
      <c r="G4531" s="10" t="str">
        <f t="shared" si="212"/>
        <v/>
      </c>
      <c r="H4531" t="str">
        <f t="shared" si="213"/>
        <v/>
      </c>
      <c r="M4531" s="34">
        <f t="shared" si="214"/>
        <v>0</v>
      </c>
    </row>
    <row r="4532" spans="7:13" x14ac:dyDescent="0.25">
      <c r="G4532" s="10" t="str">
        <f t="shared" si="212"/>
        <v/>
      </c>
      <c r="H4532" t="str">
        <f t="shared" si="213"/>
        <v/>
      </c>
      <c r="M4532" s="34">
        <f t="shared" si="214"/>
        <v>0</v>
      </c>
    </row>
    <row r="4533" spans="7:13" x14ac:dyDescent="0.25">
      <c r="G4533" s="10" t="str">
        <f t="shared" si="212"/>
        <v/>
      </c>
      <c r="H4533" t="str">
        <f t="shared" si="213"/>
        <v/>
      </c>
      <c r="M4533" s="34">
        <f t="shared" si="214"/>
        <v>0</v>
      </c>
    </row>
    <row r="4534" spans="7:13" x14ac:dyDescent="0.25">
      <c r="G4534" s="10" t="str">
        <f t="shared" si="212"/>
        <v/>
      </c>
      <c r="H4534" t="str">
        <f t="shared" si="213"/>
        <v/>
      </c>
      <c r="M4534" s="34">
        <f t="shared" si="214"/>
        <v>0</v>
      </c>
    </row>
    <row r="4535" spans="7:13" x14ac:dyDescent="0.25">
      <c r="G4535" s="10" t="str">
        <f t="shared" si="212"/>
        <v/>
      </c>
      <c r="H4535" t="str">
        <f t="shared" si="213"/>
        <v/>
      </c>
      <c r="M4535" s="34">
        <f t="shared" si="214"/>
        <v>0</v>
      </c>
    </row>
    <row r="4536" spans="7:13" x14ac:dyDescent="0.25">
      <c r="G4536" s="10" t="str">
        <f t="shared" si="212"/>
        <v/>
      </c>
      <c r="H4536" t="str">
        <f t="shared" si="213"/>
        <v/>
      </c>
      <c r="M4536" s="34">
        <f t="shared" si="214"/>
        <v>0</v>
      </c>
    </row>
    <row r="4537" spans="7:13" x14ac:dyDescent="0.25">
      <c r="G4537" s="10" t="str">
        <f t="shared" si="212"/>
        <v/>
      </c>
      <c r="H4537" t="str">
        <f t="shared" si="213"/>
        <v/>
      </c>
      <c r="M4537" s="34">
        <f t="shared" si="214"/>
        <v>0</v>
      </c>
    </row>
    <row r="4538" spans="7:13" x14ac:dyDescent="0.25">
      <c r="G4538" s="10" t="str">
        <f t="shared" si="212"/>
        <v/>
      </c>
      <c r="H4538" t="str">
        <f t="shared" si="213"/>
        <v/>
      </c>
      <c r="M4538" s="34">
        <f t="shared" si="214"/>
        <v>0</v>
      </c>
    </row>
    <row r="4539" spans="7:13" x14ac:dyDescent="0.25">
      <c r="G4539" s="10" t="str">
        <f t="shared" si="212"/>
        <v/>
      </c>
      <c r="H4539" t="str">
        <f t="shared" si="213"/>
        <v/>
      </c>
      <c r="M4539" s="34">
        <f t="shared" si="214"/>
        <v>0</v>
      </c>
    </row>
    <row r="4540" spans="7:13" x14ac:dyDescent="0.25">
      <c r="G4540" s="10" t="str">
        <f t="shared" si="212"/>
        <v/>
      </c>
      <c r="H4540" t="str">
        <f t="shared" si="213"/>
        <v/>
      </c>
      <c r="M4540" s="34">
        <f t="shared" si="214"/>
        <v>0</v>
      </c>
    </row>
    <row r="4541" spans="7:13" x14ac:dyDescent="0.25">
      <c r="G4541" s="10" t="str">
        <f t="shared" si="212"/>
        <v/>
      </c>
      <c r="H4541" t="str">
        <f t="shared" si="213"/>
        <v/>
      </c>
      <c r="M4541" s="34">
        <f t="shared" si="214"/>
        <v>0</v>
      </c>
    </row>
    <row r="4542" spans="7:13" x14ac:dyDescent="0.25">
      <c r="G4542" s="10" t="str">
        <f t="shared" si="212"/>
        <v/>
      </c>
      <c r="H4542" t="str">
        <f t="shared" si="213"/>
        <v/>
      </c>
      <c r="M4542" s="34">
        <f t="shared" si="214"/>
        <v>0</v>
      </c>
    </row>
    <row r="4543" spans="7:13" x14ac:dyDescent="0.25">
      <c r="G4543" s="10" t="str">
        <f t="shared" si="212"/>
        <v/>
      </c>
      <c r="H4543" t="str">
        <f t="shared" si="213"/>
        <v/>
      </c>
      <c r="M4543" s="34">
        <f t="shared" si="214"/>
        <v>0</v>
      </c>
    </row>
    <row r="4544" spans="7:13" x14ac:dyDescent="0.25">
      <c r="G4544" s="10" t="str">
        <f t="shared" si="212"/>
        <v/>
      </c>
      <c r="H4544" t="str">
        <f t="shared" si="213"/>
        <v/>
      </c>
      <c r="M4544" s="34">
        <f t="shared" si="214"/>
        <v>0</v>
      </c>
    </row>
    <row r="4545" spans="7:13" x14ac:dyDescent="0.25">
      <c r="G4545" s="10" t="str">
        <f t="shared" si="212"/>
        <v/>
      </c>
      <c r="H4545" t="str">
        <f t="shared" si="213"/>
        <v/>
      </c>
      <c r="M4545" s="34">
        <f t="shared" si="214"/>
        <v>0</v>
      </c>
    </row>
    <row r="4546" spans="7:13" x14ac:dyDescent="0.25">
      <c r="G4546" s="10" t="str">
        <f t="shared" ref="G4546:G4609" si="215">IF(F4546&gt;0,"RECETTE",IF(F4546&lt;0,"DÉPENSE",""))</f>
        <v/>
      </c>
      <c r="H4546" t="str">
        <f t="shared" ref="H4546:H4609" si="216">+IF(ISNUMBER(D4546),D4546,"")</f>
        <v/>
      </c>
      <c r="M4546" s="34">
        <f t="shared" si="214"/>
        <v>0</v>
      </c>
    </row>
    <row r="4547" spans="7:13" x14ac:dyDescent="0.25">
      <c r="G4547" s="10" t="str">
        <f t="shared" si="215"/>
        <v/>
      </c>
      <c r="H4547" t="str">
        <f t="shared" si="216"/>
        <v/>
      </c>
      <c r="M4547" s="34">
        <f t="shared" ref="M4547:M4610" si="217">IF(AND(E4547="Chèque",G4547="RECETTE"),F4547,0)</f>
        <v>0</v>
      </c>
    </row>
    <row r="4548" spans="7:13" x14ac:dyDescent="0.25">
      <c r="G4548" s="10" t="str">
        <f t="shared" si="215"/>
        <v/>
      </c>
      <c r="H4548" t="str">
        <f t="shared" si="216"/>
        <v/>
      </c>
      <c r="M4548" s="34">
        <f t="shared" si="217"/>
        <v>0</v>
      </c>
    </row>
    <row r="4549" spans="7:13" x14ac:dyDescent="0.25">
      <c r="G4549" s="10" t="str">
        <f t="shared" si="215"/>
        <v/>
      </c>
      <c r="H4549" t="str">
        <f t="shared" si="216"/>
        <v/>
      </c>
      <c r="M4549" s="34">
        <f t="shared" si="217"/>
        <v>0</v>
      </c>
    </row>
    <row r="4550" spans="7:13" x14ac:dyDescent="0.25">
      <c r="G4550" s="10" t="str">
        <f t="shared" si="215"/>
        <v/>
      </c>
      <c r="H4550" t="str">
        <f t="shared" si="216"/>
        <v/>
      </c>
      <c r="M4550" s="34">
        <f t="shared" si="217"/>
        <v>0</v>
      </c>
    </row>
    <row r="4551" spans="7:13" x14ac:dyDescent="0.25">
      <c r="G4551" s="10" t="str">
        <f t="shared" si="215"/>
        <v/>
      </c>
      <c r="H4551" t="str">
        <f t="shared" si="216"/>
        <v/>
      </c>
      <c r="M4551" s="34">
        <f t="shared" si="217"/>
        <v>0</v>
      </c>
    </row>
    <row r="4552" spans="7:13" x14ac:dyDescent="0.25">
      <c r="G4552" s="10" t="str">
        <f t="shared" si="215"/>
        <v/>
      </c>
      <c r="H4552" t="str">
        <f t="shared" si="216"/>
        <v/>
      </c>
      <c r="M4552" s="34">
        <f t="shared" si="217"/>
        <v>0</v>
      </c>
    </row>
    <row r="4553" spans="7:13" x14ac:dyDescent="0.25">
      <c r="G4553" s="10" t="str">
        <f t="shared" si="215"/>
        <v/>
      </c>
      <c r="H4553" t="str">
        <f t="shared" si="216"/>
        <v/>
      </c>
      <c r="M4553" s="34">
        <f t="shared" si="217"/>
        <v>0</v>
      </c>
    </row>
    <row r="4554" spans="7:13" x14ac:dyDescent="0.25">
      <c r="G4554" s="10" t="str">
        <f t="shared" si="215"/>
        <v/>
      </c>
      <c r="H4554" t="str">
        <f t="shared" si="216"/>
        <v/>
      </c>
      <c r="M4554" s="34">
        <f t="shared" si="217"/>
        <v>0</v>
      </c>
    </row>
    <row r="4555" spans="7:13" x14ac:dyDescent="0.25">
      <c r="G4555" s="10" t="str">
        <f t="shared" si="215"/>
        <v/>
      </c>
      <c r="H4555" t="str">
        <f t="shared" si="216"/>
        <v/>
      </c>
      <c r="M4555" s="34">
        <f t="shared" si="217"/>
        <v>0</v>
      </c>
    </row>
    <row r="4556" spans="7:13" x14ac:dyDescent="0.25">
      <c r="G4556" s="10" t="str">
        <f t="shared" si="215"/>
        <v/>
      </c>
      <c r="H4556" t="str">
        <f t="shared" si="216"/>
        <v/>
      </c>
      <c r="M4556" s="34">
        <f t="shared" si="217"/>
        <v>0</v>
      </c>
    </row>
    <row r="4557" spans="7:13" x14ac:dyDescent="0.25">
      <c r="G4557" s="10" t="str">
        <f t="shared" si="215"/>
        <v/>
      </c>
      <c r="H4557" t="str">
        <f t="shared" si="216"/>
        <v/>
      </c>
      <c r="M4557" s="34">
        <f t="shared" si="217"/>
        <v>0</v>
      </c>
    </row>
    <row r="4558" spans="7:13" x14ac:dyDescent="0.25">
      <c r="G4558" s="10" t="str">
        <f t="shared" si="215"/>
        <v/>
      </c>
      <c r="H4558" t="str">
        <f t="shared" si="216"/>
        <v/>
      </c>
      <c r="M4558" s="34">
        <f t="shared" si="217"/>
        <v>0</v>
      </c>
    </row>
    <row r="4559" spans="7:13" x14ac:dyDescent="0.25">
      <c r="G4559" s="10" t="str">
        <f t="shared" si="215"/>
        <v/>
      </c>
      <c r="H4559" t="str">
        <f t="shared" si="216"/>
        <v/>
      </c>
      <c r="M4559" s="34">
        <f t="shared" si="217"/>
        <v>0</v>
      </c>
    </row>
    <row r="4560" spans="7:13" x14ac:dyDescent="0.25">
      <c r="G4560" s="10" t="str">
        <f t="shared" si="215"/>
        <v/>
      </c>
      <c r="H4560" t="str">
        <f t="shared" si="216"/>
        <v/>
      </c>
      <c r="M4560" s="34">
        <f t="shared" si="217"/>
        <v>0</v>
      </c>
    </row>
    <row r="4561" spans="7:13" x14ac:dyDescent="0.25">
      <c r="G4561" s="10" t="str">
        <f t="shared" si="215"/>
        <v/>
      </c>
      <c r="H4561" t="str">
        <f t="shared" si="216"/>
        <v/>
      </c>
      <c r="M4561" s="34">
        <f t="shared" si="217"/>
        <v>0</v>
      </c>
    </row>
    <row r="4562" spans="7:13" x14ac:dyDescent="0.25">
      <c r="G4562" s="10" t="str">
        <f t="shared" si="215"/>
        <v/>
      </c>
      <c r="H4562" t="str">
        <f t="shared" si="216"/>
        <v/>
      </c>
      <c r="M4562" s="34">
        <f t="shared" si="217"/>
        <v>0</v>
      </c>
    </row>
    <row r="4563" spans="7:13" x14ac:dyDescent="0.25">
      <c r="G4563" s="10" t="str">
        <f t="shared" si="215"/>
        <v/>
      </c>
      <c r="H4563" t="str">
        <f t="shared" si="216"/>
        <v/>
      </c>
      <c r="M4563" s="34">
        <f t="shared" si="217"/>
        <v>0</v>
      </c>
    </row>
    <row r="4564" spans="7:13" x14ac:dyDescent="0.25">
      <c r="G4564" s="10" t="str">
        <f t="shared" si="215"/>
        <v/>
      </c>
      <c r="H4564" t="str">
        <f t="shared" si="216"/>
        <v/>
      </c>
      <c r="M4564" s="34">
        <f t="shared" si="217"/>
        <v>0</v>
      </c>
    </row>
    <row r="4565" spans="7:13" x14ac:dyDescent="0.25">
      <c r="G4565" s="10" t="str">
        <f t="shared" si="215"/>
        <v/>
      </c>
      <c r="H4565" t="str">
        <f t="shared" si="216"/>
        <v/>
      </c>
      <c r="M4565" s="34">
        <f t="shared" si="217"/>
        <v>0</v>
      </c>
    </row>
    <row r="4566" spans="7:13" x14ac:dyDescent="0.25">
      <c r="G4566" s="10" t="str">
        <f t="shared" si="215"/>
        <v/>
      </c>
      <c r="H4566" t="str">
        <f t="shared" si="216"/>
        <v/>
      </c>
      <c r="M4566" s="34">
        <f t="shared" si="217"/>
        <v>0</v>
      </c>
    </row>
    <row r="4567" spans="7:13" x14ac:dyDescent="0.25">
      <c r="G4567" s="10" t="str">
        <f t="shared" si="215"/>
        <v/>
      </c>
      <c r="H4567" t="str">
        <f t="shared" si="216"/>
        <v/>
      </c>
      <c r="M4567" s="34">
        <f t="shared" si="217"/>
        <v>0</v>
      </c>
    </row>
    <row r="4568" spans="7:13" x14ac:dyDescent="0.25">
      <c r="G4568" s="10" t="str">
        <f t="shared" si="215"/>
        <v/>
      </c>
      <c r="H4568" t="str">
        <f t="shared" si="216"/>
        <v/>
      </c>
      <c r="M4568" s="34">
        <f t="shared" si="217"/>
        <v>0</v>
      </c>
    </row>
    <row r="4569" spans="7:13" x14ac:dyDescent="0.25">
      <c r="G4569" s="10" t="str">
        <f t="shared" si="215"/>
        <v/>
      </c>
      <c r="H4569" t="str">
        <f t="shared" si="216"/>
        <v/>
      </c>
      <c r="M4569" s="34">
        <f t="shared" si="217"/>
        <v>0</v>
      </c>
    </row>
    <row r="4570" spans="7:13" x14ac:dyDescent="0.25">
      <c r="G4570" s="10" t="str">
        <f t="shared" si="215"/>
        <v/>
      </c>
      <c r="H4570" t="str">
        <f t="shared" si="216"/>
        <v/>
      </c>
      <c r="M4570" s="34">
        <f t="shared" si="217"/>
        <v>0</v>
      </c>
    </row>
    <row r="4571" spans="7:13" x14ac:dyDescent="0.25">
      <c r="G4571" s="10" t="str">
        <f t="shared" si="215"/>
        <v/>
      </c>
      <c r="H4571" t="str">
        <f t="shared" si="216"/>
        <v/>
      </c>
      <c r="M4571" s="34">
        <f t="shared" si="217"/>
        <v>0</v>
      </c>
    </row>
    <row r="4572" spans="7:13" x14ac:dyDescent="0.25">
      <c r="G4572" s="10" t="str">
        <f t="shared" si="215"/>
        <v/>
      </c>
      <c r="H4572" t="str">
        <f t="shared" si="216"/>
        <v/>
      </c>
      <c r="M4572" s="34">
        <f t="shared" si="217"/>
        <v>0</v>
      </c>
    </row>
    <row r="4573" spans="7:13" x14ac:dyDescent="0.25">
      <c r="G4573" s="10" t="str">
        <f t="shared" si="215"/>
        <v/>
      </c>
      <c r="H4573" t="str">
        <f t="shared" si="216"/>
        <v/>
      </c>
      <c r="M4573" s="34">
        <f t="shared" si="217"/>
        <v>0</v>
      </c>
    </row>
    <row r="4574" spans="7:13" x14ac:dyDescent="0.25">
      <c r="G4574" s="10" t="str">
        <f t="shared" si="215"/>
        <v/>
      </c>
      <c r="H4574" t="str">
        <f t="shared" si="216"/>
        <v/>
      </c>
      <c r="M4574" s="34">
        <f t="shared" si="217"/>
        <v>0</v>
      </c>
    </row>
    <row r="4575" spans="7:13" x14ac:dyDescent="0.25">
      <c r="G4575" s="10" t="str">
        <f t="shared" si="215"/>
        <v/>
      </c>
      <c r="H4575" t="str">
        <f t="shared" si="216"/>
        <v/>
      </c>
      <c r="M4575" s="34">
        <f t="shared" si="217"/>
        <v>0</v>
      </c>
    </row>
    <row r="4576" spans="7:13" x14ac:dyDescent="0.25">
      <c r="G4576" s="10" t="str">
        <f t="shared" si="215"/>
        <v/>
      </c>
      <c r="H4576" t="str">
        <f t="shared" si="216"/>
        <v/>
      </c>
      <c r="M4576" s="34">
        <f t="shared" si="217"/>
        <v>0</v>
      </c>
    </row>
    <row r="4577" spans="7:13" x14ac:dyDescent="0.25">
      <c r="G4577" s="10" t="str">
        <f t="shared" si="215"/>
        <v/>
      </c>
      <c r="H4577" t="str">
        <f t="shared" si="216"/>
        <v/>
      </c>
      <c r="M4577" s="34">
        <f t="shared" si="217"/>
        <v>0</v>
      </c>
    </row>
    <row r="4578" spans="7:13" x14ac:dyDescent="0.25">
      <c r="G4578" s="10" t="str">
        <f t="shared" si="215"/>
        <v/>
      </c>
      <c r="H4578" t="str">
        <f t="shared" si="216"/>
        <v/>
      </c>
      <c r="M4578" s="34">
        <f t="shared" si="217"/>
        <v>0</v>
      </c>
    </row>
    <row r="4579" spans="7:13" x14ac:dyDescent="0.25">
      <c r="G4579" s="10" t="str">
        <f t="shared" si="215"/>
        <v/>
      </c>
      <c r="H4579" t="str">
        <f t="shared" si="216"/>
        <v/>
      </c>
      <c r="M4579" s="34">
        <f t="shared" si="217"/>
        <v>0</v>
      </c>
    </row>
    <row r="4580" spans="7:13" x14ac:dyDescent="0.25">
      <c r="G4580" s="10" t="str">
        <f t="shared" si="215"/>
        <v/>
      </c>
      <c r="H4580" t="str">
        <f t="shared" si="216"/>
        <v/>
      </c>
      <c r="M4580" s="34">
        <f t="shared" si="217"/>
        <v>0</v>
      </c>
    </row>
    <row r="4581" spans="7:13" x14ac:dyDescent="0.25">
      <c r="G4581" s="10" t="str">
        <f t="shared" si="215"/>
        <v/>
      </c>
      <c r="H4581" t="str">
        <f t="shared" si="216"/>
        <v/>
      </c>
      <c r="M4581" s="34">
        <f t="shared" si="217"/>
        <v>0</v>
      </c>
    </row>
    <row r="4582" spans="7:13" x14ac:dyDescent="0.25">
      <c r="G4582" s="10" t="str">
        <f t="shared" si="215"/>
        <v/>
      </c>
      <c r="H4582" t="str">
        <f t="shared" si="216"/>
        <v/>
      </c>
      <c r="M4582" s="34">
        <f t="shared" si="217"/>
        <v>0</v>
      </c>
    </row>
    <row r="4583" spans="7:13" x14ac:dyDescent="0.25">
      <c r="G4583" s="10" t="str">
        <f t="shared" si="215"/>
        <v/>
      </c>
      <c r="H4583" t="str">
        <f t="shared" si="216"/>
        <v/>
      </c>
      <c r="M4583" s="34">
        <f t="shared" si="217"/>
        <v>0</v>
      </c>
    </row>
    <row r="4584" spans="7:13" x14ac:dyDescent="0.25">
      <c r="G4584" s="10" t="str">
        <f t="shared" si="215"/>
        <v/>
      </c>
      <c r="H4584" t="str">
        <f t="shared" si="216"/>
        <v/>
      </c>
      <c r="M4584" s="34">
        <f t="shared" si="217"/>
        <v>0</v>
      </c>
    </row>
    <row r="4585" spans="7:13" x14ac:dyDescent="0.25">
      <c r="G4585" s="10" t="str">
        <f t="shared" si="215"/>
        <v/>
      </c>
      <c r="H4585" t="str">
        <f t="shared" si="216"/>
        <v/>
      </c>
      <c r="M4585" s="34">
        <f t="shared" si="217"/>
        <v>0</v>
      </c>
    </row>
    <row r="4586" spans="7:13" x14ac:dyDescent="0.25">
      <c r="G4586" s="10" t="str">
        <f t="shared" si="215"/>
        <v/>
      </c>
      <c r="H4586" t="str">
        <f t="shared" si="216"/>
        <v/>
      </c>
      <c r="M4586" s="34">
        <f t="shared" si="217"/>
        <v>0</v>
      </c>
    </row>
    <row r="4587" spans="7:13" x14ac:dyDescent="0.25">
      <c r="G4587" s="10" t="str">
        <f t="shared" si="215"/>
        <v/>
      </c>
      <c r="H4587" t="str">
        <f t="shared" si="216"/>
        <v/>
      </c>
      <c r="M4587" s="34">
        <f t="shared" si="217"/>
        <v>0</v>
      </c>
    </row>
    <row r="4588" spans="7:13" x14ac:dyDescent="0.25">
      <c r="G4588" s="10" t="str">
        <f t="shared" si="215"/>
        <v/>
      </c>
      <c r="H4588" t="str">
        <f t="shared" si="216"/>
        <v/>
      </c>
      <c r="M4588" s="34">
        <f t="shared" si="217"/>
        <v>0</v>
      </c>
    </row>
    <row r="4589" spans="7:13" x14ac:dyDescent="0.25">
      <c r="G4589" s="10" t="str">
        <f t="shared" si="215"/>
        <v/>
      </c>
      <c r="H4589" t="str">
        <f t="shared" si="216"/>
        <v/>
      </c>
      <c r="M4589" s="34">
        <f t="shared" si="217"/>
        <v>0</v>
      </c>
    </row>
    <row r="4590" spans="7:13" x14ac:dyDescent="0.25">
      <c r="G4590" s="10" t="str">
        <f t="shared" si="215"/>
        <v/>
      </c>
      <c r="H4590" t="str">
        <f t="shared" si="216"/>
        <v/>
      </c>
      <c r="M4590" s="34">
        <f t="shared" si="217"/>
        <v>0</v>
      </c>
    </row>
    <row r="4591" spans="7:13" x14ac:dyDescent="0.25">
      <c r="G4591" s="10" t="str">
        <f t="shared" si="215"/>
        <v/>
      </c>
      <c r="H4591" t="str">
        <f t="shared" si="216"/>
        <v/>
      </c>
      <c r="M4591" s="34">
        <f t="shared" si="217"/>
        <v>0</v>
      </c>
    </row>
    <row r="4592" spans="7:13" x14ac:dyDescent="0.25">
      <c r="G4592" s="10" t="str">
        <f t="shared" si="215"/>
        <v/>
      </c>
      <c r="H4592" t="str">
        <f t="shared" si="216"/>
        <v/>
      </c>
      <c r="M4592" s="34">
        <f t="shared" si="217"/>
        <v>0</v>
      </c>
    </row>
    <row r="4593" spans="7:13" x14ac:dyDescent="0.25">
      <c r="G4593" s="10" t="str">
        <f t="shared" si="215"/>
        <v/>
      </c>
      <c r="H4593" t="str">
        <f t="shared" si="216"/>
        <v/>
      </c>
      <c r="M4593" s="34">
        <f t="shared" si="217"/>
        <v>0</v>
      </c>
    </row>
    <row r="4594" spans="7:13" x14ac:dyDescent="0.25">
      <c r="G4594" s="10" t="str">
        <f t="shared" si="215"/>
        <v/>
      </c>
      <c r="H4594" t="str">
        <f t="shared" si="216"/>
        <v/>
      </c>
      <c r="M4594" s="34">
        <f t="shared" si="217"/>
        <v>0</v>
      </c>
    </row>
    <row r="4595" spans="7:13" x14ac:dyDescent="0.25">
      <c r="G4595" s="10" t="str">
        <f t="shared" si="215"/>
        <v/>
      </c>
      <c r="H4595" t="str">
        <f t="shared" si="216"/>
        <v/>
      </c>
      <c r="M4595" s="34">
        <f t="shared" si="217"/>
        <v>0</v>
      </c>
    </row>
    <row r="4596" spans="7:13" x14ac:dyDescent="0.25">
      <c r="G4596" s="10" t="str">
        <f t="shared" si="215"/>
        <v/>
      </c>
      <c r="H4596" t="str">
        <f t="shared" si="216"/>
        <v/>
      </c>
      <c r="M4596" s="34">
        <f t="shared" si="217"/>
        <v>0</v>
      </c>
    </row>
    <row r="4597" spans="7:13" x14ac:dyDescent="0.25">
      <c r="G4597" s="10" t="str">
        <f t="shared" si="215"/>
        <v/>
      </c>
      <c r="H4597" t="str">
        <f t="shared" si="216"/>
        <v/>
      </c>
      <c r="M4597" s="34">
        <f t="shared" si="217"/>
        <v>0</v>
      </c>
    </row>
    <row r="4598" spans="7:13" x14ac:dyDescent="0.25">
      <c r="G4598" s="10" t="str">
        <f t="shared" si="215"/>
        <v/>
      </c>
      <c r="H4598" t="str">
        <f t="shared" si="216"/>
        <v/>
      </c>
      <c r="M4598" s="34">
        <f t="shared" si="217"/>
        <v>0</v>
      </c>
    </row>
    <row r="4599" spans="7:13" x14ac:dyDescent="0.25">
      <c r="G4599" s="10" t="str">
        <f t="shared" si="215"/>
        <v/>
      </c>
      <c r="H4599" t="str">
        <f t="shared" si="216"/>
        <v/>
      </c>
      <c r="M4599" s="34">
        <f t="shared" si="217"/>
        <v>0</v>
      </c>
    </row>
    <row r="4600" spans="7:13" x14ac:dyDescent="0.25">
      <c r="G4600" s="10" t="str">
        <f t="shared" si="215"/>
        <v/>
      </c>
      <c r="H4600" t="str">
        <f t="shared" si="216"/>
        <v/>
      </c>
      <c r="M4600" s="34">
        <f t="shared" si="217"/>
        <v>0</v>
      </c>
    </row>
    <row r="4601" spans="7:13" x14ac:dyDescent="0.25">
      <c r="G4601" s="10" t="str">
        <f t="shared" si="215"/>
        <v/>
      </c>
      <c r="H4601" t="str">
        <f t="shared" si="216"/>
        <v/>
      </c>
      <c r="M4601" s="34">
        <f t="shared" si="217"/>
        <v>0</v>
      </c>
    </row>
    <row r="4602" spans="7:13" x14ac:dyDescent="0.25">
      <c r="G4602" s="10" t="str">
        <f t="shared" si="215"/>
        <v/>
      </c>
      <c r="H4602" t="str">
        <f t="shared" si="216"/>
        <v/>
      </c>
      <c r="M4602" s="34">
        <f t="shared" si="217"/>
        <v>0</v>
      </c>
    </row>
    <row r="4603" spans="7:13" x14ac:dyDescent="0.25">
      <c r="G4603" s="10" t="str">
        <f t="shared" si="215"/>
        <v/>
      </c>
      <c r="H4603" t="str">
        <f t="shared" si="216"/>
        <v/>
      </c>
      <c r="M4603" s="34">
        <f t="shared" si="217"/>
        <v>0</v>
      </c>
    </row>
    <row r="4604" spans="7:13" x14ac:dyDescent="0.25">
      <c r="G4604" s="10" t="str">
        <f t="shared" si="215"/>
        <v/>
      </c>
      <c r="H4604" t="str">
        <f t="shared" si="216"/>
        <v/>
      </c>
      <c r="M4604" s="34">
        <f t="shared" si="217"/>
        <v>0</v>
      </c>
    </row>
    <row r="4605" spans="7:13" x14ac:dyDescent="0.25">
      <c r="G4605" s="10" t="str">
        <f t="shared" si="215"/>
        <v/>
      </c>
      <c r="H4605" t="str">
        <f t="shared" si="216"/>
        <v/>
      </c>
      <c r="M4605" s="34">
        <f t="shared" si="217"/>
        <v>0</v>
      </c>
    </row>
    <row r="4606" spans="7:13" x14ac:dyDescent="0.25">
      <c r="G4606" s="10" t="str">
        <f t="shared" si="215"/>
        <v/>
      </c>
      <c r="H4606" t="str">
        <f t="shared" si="216"/>
        <v/>
      </c>
      <c r="M4606" s="34">
        <f t="shared" si="217"/>
        <v>0</v>
      </c>
    </row>
    <row r="4607" spans="7:13" x14ac:dyDescent="0.25">
      <c r="G4607" s="10" t="str">
        <f t="shared" si="215"/>
        <v/>
      </c>
      <c r="H4607" t="str">
        <f t="shared" si="216"/>
        <v/>
      </c>
      <c r="M4607" s="34">
        <f t="shared" si="217"/>
        <v>0</v>
      </c>
    </row>
    <row r="4608" spans="7:13" x14ac:dyDescent="0.25">
      <c r="G4608" s="10" t="str">
        <f t="shared" si="215"/>
        <v/>
      </c>
      <c r="H4608" t="str">
        <f t="shared" si="216"/>
        <v/>
      </c>
      <c r="M4608" s="34">
        <f t="shared" si="217"/>
        <v>0</v>
      </c>
    </row>
    <row r="4609" spans="7:13" x14ac:dyDescent="0.25">
      <c r="G4609" s="10" t="str">
        <f t="shared" si="215"/>
        <v/>
      </c>
      <c r="H4609" t="str">
        <f t="shared" si="216"/>
        <v/>
      </c>
      <c r="M4609" s="34">
        <f t="shared" si="217"/>
        <v>0</v>
      </c>
    </row>
    <row r="4610" spans="7:13" x14ac:dyDescent="0.25">
      <c r="G4610" s="10" t="str">
        <f t="shared" ref="G4610:G4673" si="218">IF(F4610&gt;0,"RECETTE",IF(F4610&lt;0,"DÉPENSE",""))</f>
        <v/>
      </c>
      <c r="H4610" t="str">
        <f t="shared" ref="H4610:H4673" si="219">+IF(ISNUMBER(D4610),D4610,"")</f>
        <v/>
      </c>
      <c r="M4610" s="34">
        <f t="shared" si="217"/>
        <v>0</v>
      </c>
    </row>
    <row r="4611" spans="7:13" x14ac:dyDescent="0.25">
      <c r="G4611" s="10" t="str">
        <f t="shared" si="218"/>
        <v/>
      </c>
      <c r="H4611" t="str">
        <f t="shared" si="219"/>
        <v/>
      </c>
      <c r="M4611" s="34">
        <f t="shared" ref="M4611:M4674" si="220">IF(AND(E4611="Chèque",G4611="RECETTE"),F4611,0)</f>
        <v>0</v>
      </c>
    </row>
    <row r="4612" spans="7:13" x14ac:dyDescent="0.25">
      <c r="G4612" s="10" t="str">
        <f t="shared" si="218"/>
        <v/>
      </c>
      <c r="H4612" t="str">
        <f t="shared" si="219"/>
        <v/>
      </c>
      <c r="M4612" s="34">
        <f t="shared" si="220"/>
        <v>0</v>
      </c>
    </row>
    <row r="4613" spans="7:13" x14ac:dyDescent="0.25">
      <c r="G4613" s="10" t="str">
        <f t="shared" si="218"/>
        <v/>
      </c>
      <c r="H4613" t="str">
        <f t="shared" si="219"/>
        <v/>
      </c>
      <c r="M4613" s="34">
        <f t="shared" si="220"/>
        <v>0</v>
      </c>
    </row>
    <row r="4614" spans="7:13" x14ac:dyDescent="0.25">
      <c r="G4614" s="10" t="str">
        <f t="shared" si="218"/>
        <v/>
      </c>
      <c r="H4614" t="str">
        <f t="shared" si="219"/>
        <v/>
      </c>
      <c r="M4614" s="34">
        <f t="shared" si="220"/>
        <v>0</v>
      </c>
    </row>
    <row r="4615" spans="7:13" x14ac:dyDescent="0.25">
      <c r="G4615" s="10" t="str">
        <f t="shared" si="218"/>
        <v/>
      </c>
      <c r="H4615" t="str">
        <f t="shared" si="219"/>
        <v/>
      </c>
      <c r="M4615" s="34">
        <f t="shared" si="220"/>
        <v>0</v>
      </c>
    </row>
    <row r="4616" spans="7:13" x14ac:dyDescent="0.25">
      <c r="G4616" s="10" t="str">
        <f t="shared" si="218"/>
        <v/>
      </c>
      <c r="H4616" t="str">
        <f t="shared" si="219"/>
        <v/>
      </c>
      <c r="M4616" s="34">
        <f t="shared" si="220"/>
        <v>0</v>
      </c>
    </row>
    <row r="4617" spans="7:13" x14ac:dyDescent="0.25">
      <c r="G4617" s="10" t="str">
        <f t="shared" si="218"/>
        <v/>
      </c>
      <c r="H4617" t="str">
        <f t="shared" si="219"/>
        <v/>
      </c>
      <c r="M4617" s="34">
        <f t="shared" si="220"/>
        <v>0</v>
      </c>
    </row>
    <row r="4618" spans="7:13" x14ac:dyDescent="0.25">
      <c r="G4618" s="10" t="str">
        <f t="shared" si="218"/>
        <v/>
      </c>
      <c r="H4618" t="str">
        <f t="shared" si="219"/>
        <v/>
      </c>
      <c r="M4618" s="34">
        <f t="shared" si="220"/>
        <v>0</v>
      </c>
    </row>
    <row r="4619" spans="7:13" x14ac:dyDescent="0.25">
      <c r="G4619" s="10" t="str">
        <f t="shared" si="218"/>
        <v/>
      </c>
      <c r="H4619" t="str">
        <f t="shared" si="219"/>
        <v/>
      </c>
      <c r="M4619" s="34">
        <f t="shared" si="220"/>
        <v>0</v>
      </c>
    </row>
    <row r="4620" spans="7:13" x14ac:dyDescent="0.25">
      <c r="G4620" s="10" t="str">
        <f t="shared" si="218"/>
        <v/>
      </c>
      <c r="H4620" t="str">
        <f t="shared" si="219"/>
        <v/>
      </c>
      <c r="M4620" s="34">
        <f t="shared" si="220"/>
        <v>0</v>
      </c>
    </row>
    <row r="4621" spans="7:13" x14ac:dyDescent="0.25">
      <c r="G4621" s="10" t="str">
        <f t="shared" si="218"/>
        <v/>
      </c>
      <c r="H4621" t="str">
        <f t="shared" si="219"/>
        <v/>
      </c>
      <c r="M4621" s="34">
        <f t="shared" si="220"/>
        <v>0</v>
      </c>
    </row>
    <row r="4622" spans="7:13" x14ac:dyDescent="0.25">
      <c r="G4622" s="10" t="str">
        <f t="shared" si="218"/>
        <v/>
      </c>
      <c r="H4622" t="str">
        <f t="shared" si="219"/>
        <v/>
      </c>
      <c r="M4622" s="34">
        <f t="shared" si="220"/>
        <v>0</v>
      </c>
    </row>
    <row r="4623" spans="7:13" x14ac:dyDescent="0.25">
      <c r="G4623" s="10" t="str">
        <f t="shared" si="218"/>
        <v/>
      </c>
      <c r="H4623" t="str">
        <f t="shared" si="219"/>
        <v/>
      </c>
      <c r="M4623" s="34">
        <f t="shared" si="220"/>
        <v>0</v>
      </c>
    </row>
    <row r="4624" spans="7:13" x14ac:dyDescent="0.25">
      <c r="G4624" s="10" t="str">
        <f t="shared" si="218"/>
        <v/>
      </c>
      <c r="H4624" t="str">
        <f t="shared" si="219"/>
        <v/>
      </c>
      <c r="M4624" s="34">
        <f t="shared" si="220"/>
        <v>0</v>
      </c>
    </row>
    <row r="4625" spans="7:13" x14ac:dyDescent="0.25">
      <c r="G4625" s="10" t="str">
        <f t="shared" si="218"/>
        <v/>
      </c>
      <c r="H4625" t="str">
        <f t="shared" si="219"/>
        <v/>
      </c>
      <c r="M4625" s="34">
        <f t="shared" si="220"/>
        <v>0</v>
      </c>
    </row>
    <row r="4626" spans="7:13" x14ac:dyDescent="0.25">
      <c r="G4626" s="10" t="str">
        <f t="shared" si="218"/>
        <v/>
      </c>
      <c r="H4626" t="str">
        <f t="shared" si="219"/>
        <v/>
      </c>
      <c r="M4626" s="34">
        <f t="shared" si="220"/>
        <v>0</v>
      </c>
    </row>
    <row r="4627" spans="7:13" x14ac:dyDescent="0.25">
      <c r="G4627" s="10" t="str">
        <f t="shared" si="218"/>
        <v/>
      </c>
      <c r="H4627" t="str">
        <f t="shared" si="219"/>
        <v/>
      </c>
      <c r="M4627" s="34">
        <f t="shared" si="220"/>
        <v>0</v>
      </c>
    </row>
    <row r="4628" spans="7:13" x14ac:dyDescent="0.25">
      <c r="G4628" s="10" t="str">
        <f t="shared" si="218"/>
        <v/>
      </c>
      <c r="H4628" t="str">
        <f t="shared" si="219"/>
        <v/>
      </c>
      <c r="M4628" s="34">
        <f t="shared" si="220"/>
        <v>0</v>
      </c>
    </row>
    <row r="4629" spans="7:13" x14ac:dyDescent="0.25">
      <c r="G4629" s="10" t="str">
        <f t="shared" si="218"/>
        <v/>
      </c>
      <c r="H4629" t="str">
        <f t="shared" si="219"/>
        <v/>
      </c>
      <c r="M4629" s="34">
        <f t="shared" si="220"/>
        <v>0</v>
      </c>
    </row>
    <row r="4630" spans="7:13" x14ac:dyDescent="0.25">
      <c r="G4630" s="10" t="str">
        <f t="shared" si="218"/>
        <v/>
      </c>
      <c r="H4630" t="str">
        <f t="shared" si="219"/>
        <v/>
      </c>
      <c r="M4630" s="34">
        <f t="shared" si="220"/>
        <v>0</v>
      </c>
    </row>
    <row r="4631" spans="7:13" x14ac:dyDescent="0.25">
      <c r="G4631" s="10" t="str">
        <f t="shared" si="218"/>
        <v/>
      </c>
      <c r="H4631" t="str">
        <f t="shared" si="219"/>
        <v/>
      </c>
      <c r="M4631" s="34">
        <f t="shared" si="220"/>
        <v>0</v>
      </c>
    </row>
    <row r="4632" spans="7:13" x14ac:dyDescent="0.25">
      <c r="G4632" s="10" t="str">
        <f t="shared" si="218"/>
        <v/>
      </c>
      <c r="H4632" t="str">
        <f t="shared" si="219"/>
        <v/>
      </c>
      <c r="M4632" s="34">
        <f t="shared" si="220"/>
        <v>0</v>
      </c>
    </row>
    <row r="4633" spans="7:13" x14ac:dyDescent="0.25">
      <c r="G4633" s="10" t="str">
        <f t="shared" si="218"/>
        <v/>
      </c>
      <c r="H4633" t="str">
        <f t="shared" si="219"/>
        <v/>
      </c>
      <c r="M4633" s="34">
        <f t="shared" si="220"/>
        <v>0</v>
      </c>
    </row>
    <row r="4634" spans="7:13" x14ac:dyDescent="0.25">
      <c r="G4634" s="10" t="str">
        <f t="shared" si="218"/>
        <v/>
      </c>
      <c r="H4634" t="str">
        <f t="shared" si="219"/>
        <v/>
      </c>
      <c r="M4634" s="34">
        <f t="shared" si="220"/>
        <v>0</v>
      </c>
    </row>
    <row r="4635" spans="7:13" x14ac:dyDescent="0.25">
      <c r="G4635" s="10" t="str">
        <f t="shared" si="218"/>
        <v/>
      </c>
      <c r="H4635" t="str">
        <f t="shared" si="219"/>
        <v/>
      </c>
      <c r="M4635" s="34">
        <f t="shared" si="220"/>
        <v>0</v>
      </c>
    </row>
    <row r="4636" spans="7:13" x14ac:dyDescent="0.25">
      <c r="G4636" s="10" t="str">
        <f t="shared" si="218"/>
        <v/>
      </c>
      <c r="H4636" t="str">
        <f t="shared" si="219"/>
        <v/>
      </c>
      <c r="M4636" s="34">
        <f t="shared" si="220"/>
        <v>0</v>
      </c>
    </row>
    <row r="4637" spans="7:13" x14ac:dyDescent="0.25">
      <c r="G4637" s="10" t="str">
        <f t="shared" si="218"/>
        <v/>
      </c>
      <c r="H4637" t="str">
        <f t="shared" si="219"/>
        <v/>
      </c>
      <c r="M4637" s="34">
        <f t="shared" si="220"/>
        <v>0</v>
      </c>
    </row>
    <row r="4638" spans="7:13" x14ac:dyDescent="0.25">
      <c r="G4638" s="10" t="str">
        <f t="shared" si="218"/>
        <v/>
      </c>
      <c r="H4638" t="str">
        <f t="shared" si="219"/>
        <v/>
      </c>
      <c r="M4638" s="34">
        <f t="shared" si="220"/>
        <v>0</v>
      </c>
    </row>
    <row r="4639" spans="7:13" x14ac:dyDescent="0.25">
      <c r="G4639" s="10" t="str">
        <f t="shared" si="218"/>
        <v/>
      </c>
      <c r="H4639" t="str">
        <f t="shared" si="219"/>
        <v/>
      </c>
      <c r="M4639" s="34">
        <f t="shared" si="220"/>
        <v>0</v>
      </c>
    </row>
    <row r="4640" spans="7:13" x14ac:dyDescent="0.25">
      <c r="G4640" s="10" t="str">
        <f t="shared" si="218"/>
        <v/>
      </c>
      <c r="H4640" t="str">
        <f t="shared" si="219"/>
        <v/>
      </c>
      <c r="M4640" s="34">
        <f t="shared" si="220"/>
        <v>0</v>
      </c>
    </row>
    <row r="4641" spans="7:13" x14ac:dyDescent="0.25">
      <c r="G4641" s="10" t="str">
        <f t="shared" si="218"/>
        <v/>
      </c>
      <c r="H4641" t="str">
        <f t="shared" si="219"/>
        <v/>
      </c>
      <c r="M4641" s="34">
        <f t="shared" si="220"/>
        <v>0</v>
      </c>
    </row>
    <row r="4642" spans="7:13" x14ac:dyDescent="0.25">
      <c r="G4642" s="10" t="str">
        <f t="shared" si="218"/>
        <v/>
      </c>
      <c r="H4642" t="str">
        <f t="shared" si="219"/>
        <v/>
      </c>
      <c r="M4642" s="34">
        <f t="shared" si="220"/>
        <v>0</v>
      </c>
    </row>
    <row r="4643" spans="7:13" x14ac:dyDescent="0.25">
      <c r="G4643" s="10" t="str">
        <f t="shared" si="218"/>
        <v/>
      </c>
      <c r="H4643" t="str">
        <f t="shared" si="219"/>
        <v/>
      </c>
      <c r="M4643" s="34">
        <f t="shared" si="220"/>
        <v>0</v>
      </c>
    </row>
    <row r="4644" spans="7:13" x14ac:dyDescent="0.25">
      <c r="G4644" s="10" t="str">
        <f t="shared" si="218"/>
        <v/>
      </c>
      <c r="H4644" t="str">
        <f t="shared" si="219"/>
        <v/>
      </c>
      <c r="M4644" s="34">
        <f t="shared" si="220"/>
        <v>0</v>
      </c>
    </row>
    <row r="4645" spans="7:13" x14ac:dyDescent="0.25">
      <c r="G4645" s="10" t="str">
        <f t="shared" si="218"/>
        <v/>
      </c>
      <c r="H4645" t="str">
        <f t="shared" si="219"/>
        <v/>
      </c>
      <c r="M4645" s="34">
        <f t="shared" si="220"/>
        <v>0</v>
      </c>
    </row>
    <row r="4646" spans="7:13" x14ac:dyDescent="0.25">
      <c r="G4646" s="10" t="str">
        <f t="shared" si="218"/>
        <v/>
      </c>
      <c r="H4646" t="str">
        <f t="shared" si="219"/>
        <v/>
      </c>
      <c r="M4646" s="34">
        <f t="shared" si="220"/>
        <v>0</v>
      </c>
    </row>
    <row r="4647" spans="7:13" x14ac:dyDescent="0.25">
      <c r="G4647" s="10" t="str">
        <f t="shared" si="218"/>
        <v/>
      </c>
      <c r="H4647" t="str">
        <f t="shared" si="219"/>
        <v/>
      </c>
      <c r="M4647" s="34">
        <f t="shared" si="220"/>
        <v>0</v>
      </c>
    </row>
    <row r="4648" spans="7:13" x14ac:dyDescent="0.25">
      <c r="G4648" s="10" t="str">
        <f t="shared" si="218"/>
        <v/>
      </c>
      <c r="H4648" t="str">
        <f t="shared" si="219"/>
        <v/>
      </c>
      <c r="M4648" s="34">
        <f t="shared" si="220"/>
        <v>0</v>
      </c>
    </row>
    <row r="4649" spans="7:13" x14ac:dyDescent="0.25">
      <c r="G4649" s="10" t="str">
        <f t="shared" si="218"/>
        <v/>
      </c>
      <c r="H4649" t="str">
        <f t="shared" si="219"/>
        <v/>
      </c>
      <c r="M4649" s="34">
        <f t="shared" si="220"/>
        <v>0</v>
      </c>
    </row>
    <row r="4650" spans="7:13" x14ac:dyDescent="0.25">
      <c r="G4650" s="10" t="str">
        <f t="shared" si="218"/>
        <v/>
      </c>
      <c r="H4650" t="str">
        <f t="shared" si="219"/>
        <v/>
      </c>
      <c r="M4650" s="34">
        <f t="shared" si="220"/>
        <v>0</v>
      </c>
    </row>
    <row r="4651" spans="7:13" x14ac:dyDescent="0.25">
      <c r="G4651" s="10" t="str">
        <f t="shared" si="218"/>
        <v/>
      </c>
      <c r="H4651" t="str">
        <f t="shared" si="219"/>
        <v/>
      </c>
      <c r="M4651" s="34">
        <f t="shared" si="220"/>
        <v>0</v>
      </c>
    </row>
    <row r="4652" spans="7:13" x14ac:dyDescent="0.25">
      <c r="G4652" s="10" t="str">
        <f t="shared" si="218"/>
        <v/>
      </c>
      <c r="H4652" t="str">
        <f t="shared" si="219"/>
        <v/>
      </c>
      <c r="M4652" s="34">
        <f t="shared" si="220"/>
        <v>0</v>
      </c>
    </row>
    <row r="4653" spans="7:13" x14ac:dyDescent="0.25">
      <c r="G4653" s="10" t="str">
        <f t="shared" si="218"/>
        <v/>
      </c>
      <c r="H4653" t="str">
        <f t="shared" si="219"/>
        <v/>
      </c>
      <c r="M4653" s="34">
        <f t="shared" si="220"/>
        <v>0</v>
      </c>
    </row>
    <row r="4654" spans="7:13" x14ac:dyDescent="0.25">
      <c r="G4654" s="10" t="str">
        <f t="shared" si="218"/>
        <v/>
      </c>
      <c r="H4654" t="str">
        <f t="shared" si="219"/>
        <v/>
      </c>
      <c r="M4654" s="34">
        <f t="shared" si="220"/>
        <v>0</v>
      </c>
    </row>
    <row r="4655" spans="7:13" x14ac:dyDescent="0.25">
      <c r="G4655" s="10" t="str">
        <f t="shared" si="218"/>
        <v/>
      </c>
      <c r="H4655" t="str">
        <f t="shared" si="219"/>
        <v/>
      </c>
      <c r="M4655" s="34">
        <f t="shared" si="220"/>
        <v>0</v>
      </c>
    </row>
    <row r="4656" spans="7:13" x14ac:dyDescent="0.25">
      <c r="G4656" s="10" t="str">
        <f t="shared" si="218"/>
        <v/>
      </c>
      <c r="H4656" t="str">
        <f t="shared" si="219"/>
        <v/>
      </c>
      <c r="M4656" s="34">
        <f t="shared" si="220"/>
        <v>0</v>
      </c>
    </row>
    <row r="4657" spans="7:13" x14ac:dyDescent="0.25">
      <c r="G4657" s="10" t="str">
        <f t="shared" si="218"/>
        <v/>
      </c>
      <c r="H4657" t="str">
        <f t="shared" si="219"/>
        <v/>
      </c>
      <c r="M4657" s="34">
        <f t="shared" si="220"/>
        <v>0</v>
      </c>
    </row>
    <row r="4658" spans="7:13" x14ac:dyDescent="0.25">
      <c r="G4658" s="10" t="str">
        <f t="shared" si="218"/>
        <v/>
      </c>
      <c r="H4658" t="str">
        <f t="shared" si="219"/>
        <v/>
      </c>
      <c r="M4658" s="34">
        <f t="shared" si="220"/>
        <v>0</v>
      </c>
    </row>
    <row r="4659" spans="7:13" x14ac:dyDescent="0.25">
      <c r="G4659" s="10" t="str">
        <f t="shared" si="218"/>
        <v/>
      </c>
      <c r="H4659" t="str">
        <f t="shared" si="219"/>
        <v/>
      </c>
      <c r="M4659" s="34">
        <f t="shared" si="220"/>
        <v>0</v>
      </c>
    </row>
    <row r="4660" spans="7:13" x14ac:dyDescent="0.25">
      <c r="G4660" s="10" t="str">
        <f t="shared" si="218"/>
        <v/>
      </c>
      <c r="H4660" t="str">
        <f t="shared" si="219"/>
        <v/>
      </c>
      <c r="M4660" s="34">
        <f t="shared" si="220"/>
        <v>0</v>
      </c>
    </row>
    <row r="4661" spans="7:13" x14ac:dyDescent="0.25">
      <c r="G4661" s="10" t="str">
        <f t="shared" si="218"/>
        <v/>
      </c>
      <c r="H4661" t="str">
        <f t="shared" si="219"/>
        <v/>
      </c>
      <c r="M4661" s="34">
        <f t="shared" si="220"/>
        <v>0</v>
      </c>
    </row>
    <row r="4662" spans="7:13" x14ac:dyDescent="0.25">
      <c r="G4662" s="10" t="str">
        <f t="shared" si="218"/>
        <v/>
      </c>
      <c r="H4662" t="str">
        <f t="shared" si="219"/>
        <v/>
      </c>
      <c r="M4662" s="34">
        <f t="shared" si="220"/>
        <v>0</v>
      </c>
    </row>
    <row r="4663" spans="7:13" x14ac:dyDescent="0.25">
      <c r="G4663" s="10" t="str">
        <f t="shared" si="218"/>
        <v/>
      </c>
      <c r="H4663" t="str">
        <f t="shared" si="219"/>
        <v/>
      </c>
      <c r="M4663" s="34">
        <f t="shared" si="220"/>
        <v>0</v>
      </c>
    </row>
    <row r="4664" spans="7:13" x14ac:dyDescent="0.25">
      <c r="G4664" s="10" t="str">
        <f t="shared" si="218"/>
        <v/>
      </c>
      <c r="H4664" t="str">
        <f t="shared" si="219"/>
        <v/>
      </c>
      <c r="M4664" s="34">
        <f t="shared" si="220"/>
        <v>0</v>
      </c>
    </row>
    <row r="4665" spans="7:13" x14ac:dyDescent="0.25">
      <c r="G4665" s="10" t="str">
        <f t="shared" si="218"/>
        <v/>
      </c>
      <c r="H4665" t="str">
        <f t="shared" si="219"/>
        <v/>
      </c>
      <c r="M4665" s="34">
        <f t="shared" si="220"/>
        <v>0</v>
      </c>
    </row>
    <row r="4666" spans="7:13" x14ac:dyDescent="0.25">
      <c r="G4666" s="10" t="str">
        <f t="shared" si="218"/>
        <v/>
      </c>
      <c r="H4666" t="str">
        <f t="shared" si="219"/>
        <v/>
      </c>
      <c r="M4666" s="34">
        <f t="shared" si="220"/>
        <v>0</v>
      </c>
    </row>
    <row r="4667" spans="7:13" x14ac:dyDescent="0.25">
      <c r="G4667" s="10" t="str">
        <f t="shared" si="218"/>
        <v/>
      </c>
      <c r="H4667" t="str">
        <f t="shared" si="219"/>
        <v/>
      </c>
      <c r="M4667" s="34">
        <f t="shared" si="220"/>
        <v>0</v>
      </c>
    </row>
    <row r="4668" spans="7:13" x14ac:dyDescent="0.25">
      <c r="G4668" s="10" t="str">
        <f t="shared" si="218"/>
        <v/>
      </c>
      <c r="H4668" t="str">
        <f t="shared" si="219"/>
        <v/>
      </c>
      <c r="M4668" s="34">
        <f t="shared" si="220"/>
        <v>0</v>
      </c>
    </row>
    <row r="4669" spans="7:13" x14ac:dyDescent="0.25">
      <c r="G4669" s="10" t="str">
        <f t="shared" si="218"/>
        <v/>
      </c>
      <c r="H4669" t="str">
        <f t="shared" si="219"/>
        <v/>
      </c>
      <c r="M4669" s="34">
        <f t="shared" si="220"/>
        <v>0</v>
      </c>
    </row>
    <row r="4670" spans="7:13" x14ac:dyDescent="0.25">
      <c r="G4670" s="10" t="str">
        <f t="shared" si="218"/>
        <v/>
      </c>
      <c r="H4670" t="str">
        <f t="shared" si="219"/>
        <v/>
      </c>
      <c r="M4670" s="34">
        <f t="shared" si="220"/>
        <v>0</v>
      </c>
    </row>
    <row r="4671" spans="7:13" x14ac:dyDescent="0.25">
      <c r="G4671" s="10" t="str">
        <f t="shared" si="218"/>
        <v/>
      </c>
      <c r="H4671" t="str">
        <f t="shared" si="219"/>
        <v/>
      </c>
      <c r="M4671" s="34">
        <f t="shared" si="220"/>
        <v>0</v>
      </c>
    </row>
    <row r="4672" spans="7:13" x14ac:dyDescent="0.25">
      <c r="G4672" s="10" t="str">
        <f t="shared" si="218"/>
        <v/>
      </c>
      <c r="H4672" t="str">
        <f t="shared" si="219"/>
        <v/>
      </c>
      <c r="M4672" s="34">
        <f t="shared" si="220"/>
        <v>0</v>
      </c>
    </row>
    <row r="4673" spans="7:13" x14ac:dyDescent="0.25">
      <c r="G4673" s="10" t="str">
        <f t="shared" si="218"/>
        <v/>
      </c>
      <c r="H4673" t="str">
        <f t="shared" si="219"/>
        <v/>
      </c>
      <c r="M4673" s="34">
        <f t="shared" si="220"/>
        <v>0</v>
      </c>
    </row>
    <row r="4674" spans="7:13" x14ac:dyDescent="0.25">
      <c r="G4674" s="10" t="str">
        <f t="shared" ref="G4674:G4737" si="221">IF(F4674&gt;0,"RECETTE",IF(F4674&lt;0,"DÉPENSE",""))</f>
        <v/>
      </c>
      <c r="H4674" t="str">
        <f t="shared" ref="H4674:H4737" si="222">+IF(ISNUMBER(D4674),D4674,"")</f>
        <v/>
      </c>
      <c r="M4674" s="34">
        <f t="shared" si="220"/>
        <v>0</v>
      </c>
    </row>
    <row r="4675" spans="7:13" x14ac:dyDescent="0.25">
      <c r="G4675" s="10" t="str">
        <f t="shared" si="221"/>
        <v/>
      </c>
      <c r="H4675" t="str">
        <f t="shared" si="222"/>
        <v/>
      </c>
      <c r="M4675" s="34">
        <f t="shared" ref="M4675:M4738" si="223">IF(AND(E4675="Chèque",G4675="RECETTE"),F4675,0)</f>
        <v>0</v>
      </c>
    </row>
    <row r="4676" spans="7:13" x14ac:dyDescent="0.25">
      <c r="G4676" s="10" t="str">
        <f t="shared" si="221"/>
        <v/>
      </c>
      <c r="H4676" t="str">
        <f t="shared" si="222"/>
        <v/>
      </c>
      <c r="M4676" s="34">
        <f t="shared" si="223"/>
        <v>0</v>
      </c>
    </row>
    <row r="4677" spans="7:13" x14ac:dyDescent="0.25">
      <c r="G4677" s="10" t="str">
        <f t="shared" si="221"/>
        <v/>
      </c>
      <c r="H4677" t="str">
        <f t="shared" si="222"/>
        <v/>
      </c>
      <c r="M4677" s="34">
        <f t="shared" si="223"/>
        <v>0</v>
      </c>
    </row>
    <row r="4678" spans="7:13" x14ac:dyDescent="0.25">
      <c r="G4678" s="10" t="str">
        <f t="shared" si="221"/>
        <v/>
      </c>
      <c r="H4678" t="str">
        <f t="shared" si="222"/>
        <v/>
      </c>
      <c r="M4678" s="34">
        <f t="shared" si="223"/>
        <v>0</v>
      </c>
    </row>
    <row r="4679" spans="7:13" x14ac:dyDescent="0.25">
      <c r="G4679" s="10" t="str">
        <f t="shared" si="221"/>
        <v/>
      </c>
      <c r="H4679" t="str">
        <f t="shared" si="222"/>
        <v/>
      </c>
      <c r="M4679" s="34">
        <f t="shared" si="223"/>
        <v>0</v>
      </c>
    </row>
    <row r="4680" spans="7:13" x14ac:dyDescent="0.25">
      <c r="G4680" s="10" t="str">
        <f t="shared" si="221"/>
        <v/>
      </c>
      <c r="H4680" t="str">
        <f t="shared" si="222"/>
        <v/>
      </c>
      <c r="M4680" s="34">
        <f t="shared" si="223"/>
        <v>0</v>
      </c>
    </row>
    <row r="4681" spans="7:13" x14ac:dyDescent="0.25">
      <c r="G4681" s="10" t="str">
        <f t="shared" si="221"/>
        <v/>
      </c>
      <c r="H4681" t="str">
        <f t="shared" si="222"/>
        <v/>
      </c>
      <c r="M4681" s="34">
        <f t="shared" si="223"/>
        <v>0</v>
      </c>
    </row>
    <row r="4682" spans="7:13" x14ac:dyDescent="0.25">
      <c r="G4682" s="10" t="str">
        <f t="shared" si="221"/>
        <v/>
      </c>
      <c r="H4682" t="str">
        <f t="shared" si="222"/>
        <v/>
      </c>
      <c r="M4682" s="34">
        <f t="shared" si="223"/>
        <v>0</v>
      </c>
    </row>
    <row r="4683" spans="7:13" x14ac:dyDescent="0.25">
      <c r="G4683" s="10" t="str">
        <f t="shared" si="221"/>
        <v/>
      </c>
      <c r="H4683" t="str">
        <f t="shared" si="222"/>
        <v/>
      </c>
      <c r="M4683" s="34">
        <f t="shared" si="223"/>
        <v>0</v>
      </c>
    </row>
    <row r="4684" spans="7:13" x14ac:dyDescent="0.25">
      <c r="G4684" s="10" t="str">
        <f t="shared" si="221"/>
        <v/>
      </c>
      <c r="H4684" t="str">
        <f t="shared" si="222"/>
        <v/>
      </c>
      <c r="M4684" s="34">
        <f t="shared" si="223"/>
        <v>0</v>
      </c>
    </row>
    <row r="4685" spans="7:13" x14ac:dyDescent="0.25">
      <c r="G4685" s="10" t="str">
        <f t="shared" si="221"/>
        <v/>
      </c>
      <c r="H4685" t="str">
        <f t="shared" si="222"/>
        <v/>
      </c>
      <c r="M4685" s="34">
        <f t="shared" si="223"/>
        <v>0</v>
      </c>
    </row>
    <row r="4686" spans="7:13" x14ac:dyDescent="0.25">
      <c r="G4686" s="10" t="str">
        <f t="shared" si="221"/>
        <v/>
      </c>
      <c r="H4686" t="str">
        <f t="shared" si="222"/>
        <v/>
      </c>
      <c r="M4686" s="34">
        <f t="shared" si="223"/>
        <v>0</v>
      </c>
    </row>
    <row r="4687" spans="7:13" x14ac:dyDescent="0.25">
      <c r="G4687" s="10" t="str">
        <f t="shared" si="221"/>
        <v/>
      </c>
      <c r="H4687" t="str">
        <f t="shared" si="222"/>
        <v/>
      </c>
      <c r="M4687" s="34">
        <f t="shared" si="223"/>
        <v>0</v>
      </c>
    </row>
    <row r="4688" spans="7:13" x14ac:dyDescent="0.25">
      <c r="G4688" s="10" t="str">
        <f t="shared" si="221"/>
        <v/>
      </c>
      <c r="H4688" t="str">
        <f t="shared" si="222"/>
        <v/>
      </c>
      <c r="M4688" s="34">
        <f t="shared" si="223"/>
        <v>0</v>
      </c>
    </row>
    <row r="4689" spans="7:13" x14ac:dyDescent="0.25">
      <c r="G4689" s="10" t="str">
        <f t="shared" si="221"/>
        <v/>
      </c>
      <c r="H4689" t="str">
        <f t="shared" si="222"/>
        <v/>
      </c>
      <c r="M4689" s="34">
        <f t="shared" si="223"/>
        <v>0</v>
      </c>
    </row>
    <row r="4690" spans="7:13" x14ac:dyDescent="0.25">
      <c r="G4690" s="10" t="str">
        <f t="shared" si="221"/>
        <v/>
      </c>
      <c r="H4690" t="str">
        <f t="shared" si="222"/>
        <v/>
      </c>
      <c r="M4690" s="34">
        <f t="shared" si="223"/>
        <v>0</v>
      </c>
    </row>
    <row r="4691" spans="7:13" x14ac:dyDescent="0.25">
      <c r="G4691" s="10" t="str">
        <f t="shared" si="221"/>
        <v/>
      </c>
      <c r="H4691" t="str">
        <f t="shared" si="222"/>
        <v/>
      </c>
      <c r="M4691" s="34">
        <f t="shared" si="223"/>
        <v>0</v>
      </c>
    </row>
    <row r="4692" spans="7:13" x14ac:dyDescent="0.25">
      <c r="G4692" s="10" t="str">
        <f t="shared" si="221"/>
        <v/>
      </c>
      <c r="H4692" t="str">
        <f t="shared" si="222"/>
        <v/>
      </c>
      <c r="M4692" s="34">
        <f t="shared" si="223"/>
        <v>0</v>
      </c>
    </row>
    <row r="4693" spans="7:13" x14ac:dyDescent="0.25">
      <c r="G4693" s="10" t="str">
        <f t="shared" si="221"/>
        <v/>
      </c>
      <c r="H4693" t="str">
        <f t="shared" si="222"/>
        <v/>
      </c>
      <c r="M4693" s="34">
        <f t="shared" si="223"/>
        <v>0</v>
      </c>
    </row>
    <row r="4694" spans="7:13" x14ac:dyDescent="0.25">
      <c r="G4694" s="10" t="str">
        <f t="shared" si="221"/>
        <v/>
      </c>
      <c r="H4694" t="str">
        <f t="shared" si="222"/>
        <v/>
      </c>
      <c r="M4694" s="34">
        <f t="shared" si="223"/>
        <v>0</v>
      </c>
    </row>
    <row r="4695" spans="7:13" x14ac:dyDescent="0.25">
      <c r="G4695" s="10" t="str">
        <f t="shared" si="221"/>
        <v/>
      </c>
      <c r="H4695" t="str">
        <f t="shared" si="222"/>
        <v/>
      </c>
      <c r="M4695" s="34">
        <f t="shared" si="223"/>
        <v>0</v>
      </c>
    </row>
    <row r="4696" spans="7:13" x14ac:dyDescent="0.25">
      <c r="G4696" s="10" t="str">
        <f t="shared" si="221"/>
        <v/>
      </c>
      <c r="H4696" t="str">
        <f t="shared" si="222"/>
        <v/>
      </c>
      <c r="M4696" s="34">
        <f t="shared" si="223"/>
        <v>0</v>
      </c>
    </row>
    <row r="4697" spans="7:13" x14ac:dyDescent="0.25">
      <c r="G4697" s="10" t="str">
        <f t="shared" si="221"/>
        <v/>
      </c>
      <c r="H4697" t="str">
        <f t="shared" si="222"/>
        <v/>
      </c>
      <c r="M4697" s="34">
        <f t="shared" si="223"/>
        <v>0</v>
      </c>
    </row>
    <row r="4698" spans="7:13" x14ac:dyDescent="0.25">
      <c r="G4698" s="10" t="str">
        <f t="shared" si="221"/>
        <v/>
      </c>
      <c r="H4698" t="str">
        <f t="shared" si="222"/>
        <v/>
      </c>
      <c r="M4698" s="34">
        <f t="shared" si="223"/>
        <v>0</v>
      </c>
    </row>
    <row r="4699" spans="7:13" x14ac:dyDescent="0.25">
      <c r="G4699" s="10" t="str">
        <f t="shared" si="221"/>
        <v/>
      </c>
      <c r="H4699" t="str">
        <f t="shared" si="222"/>
        <v/>
      </c>
      <c r="M4699" s="34">
        <f t="shared" si="223"/>
        <v>0</v>
      </c>
    </row>
    <row r="4700" spans="7:13" x14ac:dyDescent="0.25">
      <c r="G4700" s="10" t="str">
        <f t="shared" si="221"/>
        <v/>
      </c>
      <c r="H4700" t="str">
        <f t="shared" si="222"/>
        <v/>
      </c>
      <c r="M4700" s="34">
        <f t="shared" si="223"/>
        <v>0</v>
      </c>
    </row>
    <row r="4701" spans="7:13" x14ac:dyDescent="0.25">
      <c r="G4701" s="10" t="str">
        <f t="shared" si="221"/>
        <v/>
      </c>
      <c r="H4701" t="str">
        <f t="shared" si="222"/>
        <v/>
      </c>
      <c r="M4701" s="34">
        <f t="shared" si="223"/>
        <v>0</v>
      </c>
    </row>
    <row r="4702" spans="7:13" x14ac:dyDescent="0.25">
      <c r="G4702" s="10" t="str">
        <f t="shared" si="221"/>
        <v/>
      </c>
      <c r="H4702" t="str">
        <f t="shared" si="222"/>
        <v/>
      </c>
      <c r="M4702" s="34">
        <f t="shared" si="223"/>
        <v>0</v>
      </c>
    </row>
    <row r="4703" spans="7:13" x14ac:dyDescent="0.25">
      <c r="G4703" s="10" t="str">
        <f t="shared" si="221"/>
        <v/>
      </c>
      <c r="H4703" t="str">
        <f t="shared" si="222"/>
        <v/>
      </c>
      <c r="M4703" s="34">
        <f t="shared" si="223"/>
        <v>0</v>
      </c>
    </row>
    <row r="4704" spans="7:13" x14ac:dyDescent="0.25">
      <c r="G4704" s="10" t="str">
        <f t="shared" si="221"/>
        <v/>
      </c>
      <c r="H4704" t="str">
        <f t="shared" si="222"/>
        <v/>
      </c>
      <c r="M4704" s="34">
        <f t="shared" si="223"/>
        <v>0</v>
      </c>
    </row>
    <row r="4705" spans="7:13" x14ac:dyDescent="0.25">
      <c r="G4705" s="10" t="str">
        <f t="shared" si="221"/>
        <v/>
      </c>
      <c r="H4705" t="str">
        <f t="shared" si="222"/>
        <v/>
      </c>
      <c r="M4705" s="34">
        <f t="shared" si="223"/>
        <v>0</v>
      </c>
    </row>
    <row r="4706" spans="7:13" x14ac:dyDescent="0.25">
      <c r="G4706" s="10" t="str">
        <f t="shared" si="221"/>
        <v/>
      </c>
      <c r="H4706" t="str">
        <f t="shared" si="222"/>
        <v/>
      </c>
      <c r="M4706" s="34">
        <f t="shared" si="223"/>
        <v>0</v>
      </c>
    </row>
    <row r="4707" spans="7:13" x14ac:dyDescent="0.25">
      <c r="G4707" s="10" t="str">
        <f t="shared" si="221"/>
        <v/>
      </c>
      <c r="H4707" t="str">
        <f t="shared" si="222"/>
        <v/>
      </c>
      <c r="M4707" s="34">
        <f t="shared" si="223"/>
        <v>0</v>
      </c>
    </row>
    <row r="4708" spans="7:13" x14ac:dyDescent="0.25">
      <c r="G4708" s="10" t="str">
        <f t="shared" si="221"/>
        <v/>
      </c>
      <c r="H4708" t="str">
        <f t="shared" si="222"/>
        <v/>
      </c>
      <c r="M4708" s="34">
        <f t="shared" si="223"/>
        <v>0</v>
      </c>
    </row>
    <row r="4709" spans="7:13" x14ac:dyDescent="0.25">
      <c r="G4709" s="10" t="str">
        <f t="shared" si="221"/>
        <v/>
      </c>
      <c r="H4709" t="str">
        <f t="shared" si="222"/>
        <v/>
      </c>
      <c r="M4709" s="34">
        <f t="shared" si="223"/>
        <v>0</v>
      </c>
    </row>
    <row r="4710" spans="7:13" x14ac:dyDescent="0.25">
      <c r="G4710" s="10" t="str">
        <f t="shared" si="221"/>
        <v/>
      </c>
      <c r="H4710" t="str">
        <f t="shared" si="222"/>
        <v/>
      </c>
      <c r="M4710" s="34">
        <f t="shared" si="223"/>
        <v>0</v>
      </c>
    </row>
    <row r="4711" spans="7:13" x14ac:dyDescent="0.25">
      <c r="G4711" s="10" t="str">
        <f t="shared" si="221"/>
        <v/>
      </c>
      <c r="H4711" t="str">
        <f t="shared" si="222"/>
        <v/>
      </c>
      <c r="M4711" s="34">
        <f t="shared" si="223"/>
        <v>0</v>
      </c>
    </row>
    <row r="4712" spans="7:13" x14ac:dyDescent="0.25">
      <c r="G4712" s="10" t="str">
        <f t="shared" si="221"/>
        <v/>
      </c>
      <c r="H4712" t="str">
        <f t="shared" si="222"/>
        <v/>
      </c>
      <c r="M4712" s="34">
        <f t="shared" si="223"/>
        <v>0</v>
      </c>
    </row>
    <row r="4713" spans="7:13" x14ac:dyDescent="0.25">
      <c r="G4713" s="10" t="str">
        <f t="shared" si="221"/>
        <v/>
      </c>
      <c r="H4713" t="str">
        <f t="shared" si="222"/>
        <v/>
      </c>
      <c r="M4713" s="34">
        <f t="shared" si="223"/>
        <v>0</v>
      </c>
    </row>
    <row r="4714" spans="7:13" x14ac:dyDescent="0.25">
      <c r="G4714" s="10" t="str">
        <f t="shared" si="221"/>
        <v/>
      </c>
      <c r="H4714" t="str">
        <f t="shared" si="222"/>
        <v/>
      </c>
      <c r="M4714" s="34">
        <f t="shared" si="223"/>
        <v>0</v>
      </c>
    </row>
    <row r="4715" spans="7:13" x14ac:dyDescent="0.25">
      <c r="G4715" s="10" t="str">
        <f t="shared" si="221"/>
        <v/>
      </c>
      <c r="H4715" t="str">
        <f t="shared" si="222"/>
        <v/>
      </c>
      <c r="M4715" s="34">
        <f t="shared" si="223"/>
        <v>0</v>
      </c>
    </row>
    <row r="4716" spans="7:13" x14ac:dyDescent="0.25">
      <c r="G4716" s="10" t="str">
        <f t="shared" si="221"/>
        <v/>
      </c>
      <c r="H4716" t="str">
        <f t="shared" si="222"/>
        <v/>
      </c>
      <c r="M4716" s="34">
        <f t="shared" si="223"/>
        <v>0</v>
      </c>
    </row>
    <row r="4717" spans="7:13" x14ac:dyDescent="0.25">
      <c r="G4717" s="10" t="str">
        <f t="shared" si="221"/>
        <v/>
      </c>
      <c r="H4717" t="str">
        <f t="shared" si="222"/>
        <v/>
      </c>
      <c r="M4717" s="34">
        <f t="shared" si="223"/>
        <v>0</v>
      </c>
    </row>
    <row r="4718" spans="7:13" x14ac:dyDescent="0.25">
      <c r="G4718" s="10" t="str">
        <f t="shared" si="221"/>
        <v/>
      </c>
      <c r="H4718" t="str">
        <f t="shared" si="222"/>
        <v/>
      </c>
      <c r="M4718" s="34">
        <f t="shared" si="223"/>
        <v>0</v>
      </c>
    </row>
    <row r="4719" spans="7:13" x14ac:dyDescent="0.25">
      <c r="G4719" s="10" t="str">
        <f t="shared" si="221"/>
        <v/>
      </c>
      <c r="H4719" t="str">
        <f t="shared" si="222"/>
        <v/>
      </c>
      <c r="M4719" s="34">
        <f t="shared" si="223"/>
        <v>0</v>
      </c>
    </row>
    <row r="4720" spans="7:13" x14ac:dyDescent="0.25">
      <c r="G4720" s="10" t="str">
        <f t="shared" si="221"/>
        <v/>
      </c>
      <c r="H4720" t="str">
        <f t="shared" si="222"/>
        <v/>
      </c>
      <c r="M4720" s="34">
        <f t="shared" si="223"/>
        <v>0</v>
      </c>
    </row>
    <row r="4721" spans="7:13" x14ac:dyDescent="0.25">
      <c r="G4721" s="10" t="str">
        <f t="shared" si="221"/>
        <v/>
      </c>
      <c r="H4721" t="str">
        <f t="shared" si="222"/>
        <v/>
      </c>
      <c r="M4721" s="34">
        <f t="shared" si="223"/>
        <v>0</v>
      </c>
    </row>
    <row r="4722" spans="7:13" x14ac:dyDescent="0.25">
      <c r="G4722" s="10" t="str">
        <f t="shared" si="221"/>
        <v/>
      </c>
      <c r="H4722" t="str">
        <f t="shared" si="222"/>
        <v/>
      </c>
      <c r="M4722" s="34">
        <f t="shared" si="223"/>
        <v>0</v>
      </c>
    </row>
    <row r="4723" spans="7:13" x14ac:dyDescent="0.25">
      <c r="G4723" s="10" t="str">
        <f t="shared" si="221"/>
        <v/>
      </c>
      <c r="H4723" t="str">
        <f t="shared" si="222"/>
        <v/>
      </c>
      <c r="M4723" s="34">
        <f t="shared" si="223"/>
        <v>0</v>
      </c>
    </row>
    <row r="4724" spans="7:13" x14ac:dyDescent="0.25">
      <c r="G4724" s="10" t="str">
        <f t="shared" si="221"/>
        <v/>
      </c>
      <c r="H4724" t="str">
        <f t="shared" si="222"/>
        <v/>
      </c>
      <c r="M4724" s="34">
        <f t="shared" si="223"/>
        <v>0</v>
      </c>
    </row>
    <row r="4725" spans="7:13" x14ac:dyDescent="0.25">
      <c r="G4725" s="10" t="str">
        <f t="shared" si="221"/>
        <v/>
      </c>
      <c r="H4725" t="str">
        <f t="shared" si="222"/>
        <v/>
      </c>
      <c r="M4725" s="34">
        <f t="shared" si="223"/>
        <v>0</v>
      </c>
    </row>
    <row r="4726" spans="7:13" x14ac:dyDescent="0.25">
      <c r="G4726" s="10" t="str">
        <f t="shared" si="221"/>
        <v/>
      </c>
      <c r="H4726" t="str">
        <f t="shared" si="222"/>
        <v/>
      </c>
      <c r="M4726" s="34">
        <f t="shared" si="223"/>
        <v>0</v>
      </c>
    </row>
    <row r="4727" spans="7:13" x14ac:dyDescent="0.25">
      <c r="G4727" s="10" t="str">
        <f t="shared" si="221"/>
        <v/>
      </c>
      <c r="H4727" t="str">
        <f t="shared" si="222"/>
        <v/>
      </c>
      <c r="M4727" s="34">
        <f t="shared" si="223"/>
        <v>0</v>
      </c>
    </row>
    <row r="4728" spans="7:13" x14ac:dyDescent="0.25">
      <c r="G4728" s="10" t="str">
        <f t="shared" si="221"/>
        <v/>
      </c>
      <c r="H4728" t="str">
        <f t="shared" si="222"/>
        <v/>
      </c>
      <c r="M4728" s="34">
        <f t="shared" si="223"/>
        <v>0</v>
      </c>
    </row>
    <row r="4729" spans="7:13" x14ac:dyDescent="0.25">
      <c r="G4729" s="10" t="str">
        <f t="shared" si="221"/>
        <v/>
      </c>
      <c r="H4729" t="str">
        <f t="shared" si="222"/>
        <v/>
      </c>
      <c r="M4729" s="34">
        <f t="shared" si="223"/>
        <v>0</v>
      </c>
    </row>
    <row r="4730" spans="7:13" x14ac:dyDescent="0.25">
      <c r="G4730" s="10" t="str">
        <f t="shared" si="221"/>
        <v/>
      </c>
      <c r="H4730" t="str">
        <f t="shared" si="222"/>
        <v/>
      </c>
      <c r="M4730" s="34">
        <f t="shared" si="223"/>
        <v>0</v>
      </c>
    </row>
    <row r="4731" spans="7:13" x14ac:dyDescent="0.25">
      <c r="G4731" s="10" t="str">
        <f t="shared" si="221"/>
        <v/>
      </c>
      <c r="H4731" t="str">
        <f t="shared" si="222"/>
        <v/>
      </c>
      <c r="M4731" s="34">
        <f t="shared" si="223"/>
        <v>0</v>
      </c>
    </row>
    <row r="4732" spans="7:13" x14ac:dyDescent="0.25">
      <c r="G4732" s="10" t="str">
        <f t="shared" si="221"/>
        <v/>
      </c>
      <c r="H4732" t="str">
        <f t="shared" si="222"/>
        <v/>
      </c>
      <c r="M4732" s="34">
        <f t="shared" si="223"/>
        <v>0</v>
      </c>
    </row>
    <row r="4733" spans="7:13" x14ac:dyDescent="0.25">
      <c r="G4733" s="10" t="str">
        <f t="shared" si="221"/>
        <v/>
      </c>
      <c r="H4733" t="str">
        <f t="shared" si="222"/>
        <v/>
      </c>
      <c r="M4733" s="34">
        <f t="shared" si="223"/>
        <v>0</v>
      </c>
    </row>
    <row r="4734" spans="7:13" x14ac:dyDescent="0.25">
      <c r="G4734" s="10" t="str">
        <f t="shared" si="221"/>
        <v/>
      </c>
      <c r="H4734" t="str">
        <f t="shared" si="222"/>
        <v/>
      </c>
      <c r="M4734" s="34">
        <f t="shared" si="223"/>
        <v>0</v>
      </c>
    </row>
    <row r="4735" spans="7:13" x14ac:dyDescent="0.25">
      <c r="G4735" s="10" t="str">
        <f t="shared" si="221"/>
        <v/>
      </c>
      <c r="H4735" t="str">
        <f t="shared" si="222"/>
        <v/>
      </c>
      <c r="M4735" s="34">
        <f t="shared" si="223"/>
        <v>0</v>
      </c>
    </row>
    <row r="4736" spans="7:13" x14ac:dyDescent="0.25">
      <c r="G4736" s="10" t="str">
        <f t="shared" si="221"/>
        <v/>
      </c>
      <c r="H4736" t="str">
        <f t="shared" si="222"/>
        <v/>
      </c>
      <c r="M4736" s="34">
        <f t="shared" si="223"/>
        <v>0</v>
      </c>
    </row>
    <row r="4737" spans="7:13" x14ac:dyDescent="0.25">
      <c r="G4737" s="10" t="str">
        <f t="shared" si="221"/>
        <v/>
      </c>
      <c r="H4737" t="str">
        <f t="shared" si="222"/>
        <v/>
      </c>
      <c r="M4737" s="34">
        <f t="shared" si="223"/>
        <v>0</v>
      </c>
    </row>
    <row r="4738" spans="7:13" x14ac:dyDescent="0.25">
      <c r="G4738" s="10" t="str">
        <f t="shared" ref="G4738:G4801" si="224">IF(F4738&gt;0,"RECETTE",IF(F4738&lt;0,"DÉPENSE",""))</f>
        <v/>
      </c>
      <c r="H4738" t="str">
        <f t="shared" ref="H4738:H4801" si="225">+IF(ISNUMBER(D4738),D4738,"")</f>
        <v/>
      </c>
      <c r="M4738" s="34">
        <f t="shared" si="223"/>
        <v>0</v>
      </c>
    </row>
    <row r="4739" spans="7:13" x14ac:dyDescent="0.25">
      <c r="G4739" s="10" t="str">
        <f t="shared" si="224"/>
        <v/>
      </c>
      <c r="H4739" t="str">
        <f t="shared" si="225"/>
        <v/>
      </c>
      <c r="M4739" s="34">
        <f t="shared" ref="M4739:M4802" si="226">IF(AND(E4739="Chèque",G4739="RECETTE"),F4739,0)</f>
        <v>0</v>
      </c>
    </row>
    <row r="4740" spans="7:13" x14ac:dyDescent="0.25">
      <c r="G4740" s="10" t="str">
        <f t="shared" si="224"/>
        <v/>
      </c>
      <c r="H4740" t="str">
        <f t="shared" si="225"/>
        <v/>
      </c>
      <c r="M4740" s="34">
        <f t="shared" si="226"/>
        <v>0</v>
      </c>
    </row>
    <row r="4741" spans="7:13" x14ac:dyDescent="0.25">
      <c r="G4741" s="10" t="str">
        <f t="shared" si="224"/>
        <v/>
      </c>
      <c r="H4741" t="str">
        <f t="shared" si="225"/>
        <v/>
      </c>
      <c r="M4741" s="34">
        <f t="shared" si="226"/>
        <v>0</v>
      </c>
    </row>
    <row r="4742" spans="7:13" x14ac:dyDescent="0.25">
      <c r="G4742" s="10" t="str">
        <f t="shared" si="224"/>
        <v/>
      </c>
      <c r="H4742" t="str">
        <f t="shared" si="225"/>
        <v/>
      </c>
      <c r="M4742" s="34">
        <f t="shared" si="226"/>
        <v>0</v>
      </c>
    </row>
    <row r="4743" spans="7:13" x14ac:dyDescent="0.25">
      <c r="G4743" s="10" t="str">
        <f t="shared" si="224"/>
        <v/>
      </c>
      <c r="H4743" t="str">
        <f t="shared" si="225"/>
        <v/>
      </c>
      <c r="M4743" s="34">
        <f t="shared" si="226"/>
        <v>0</v>
      </c>
    </row>
    <row r="4744" spans="7:13" x14ac:dyDescent="0.25">
      <c r="G4744" s="10" t="str">
        <f t="shared" si="224"/>
        <v/>
      </c>
      <c r="H4744" t="str">
        <f t="shared" si="225"/>
        <v/>
      </c>
      <c r="M4744" s="34">
        <f t="shared" si="226"/>
        <v>0</v>
      </c>
    </row>
    <row r="4745" spans="7:13" x14ac:dyDescent="0.25">
      <c r="G4745" s="10" t="str">
        <f t="shared" si="224"/>
        <v/>
      </c>
      <c r="H4745" t="str">
        <f t="shared" si="225"/>
        <v/>
      </c>
      <c r="M4745" s="34">
        <f t="shared" si="226"/>
        <v>0</v>
      </c>
    </row>
    <row r="4746" spans="7:13" x14ac:dyDescent="0.25">
      <c r="G4746" s="10" t="str">
        <f t="shared" si="224"/>
        <v/>
      </c>
      <c r="H4746" t="str">
        <f t="shared" si="225"/>
        <v/>
      </c>
      <c r="M4746" s="34">
        <f t="shared" si="226"/>
        <v>0</v>
      </c>
    </row>
    <row r="4747" spans="7:13" x14ac:dyDescent="0.25">
      <c r="G4747" s="10" t="str">
        <f t="shared" si="224"/>
        <v/>
      </c>
      <c r="H4747" t="str">
        <f t="shared" si="225"/>
        <v/>
      </c>
      <c r="M4747" s="34">
        <f t="shared" si="226"/>
        <v>0</v>
      </c>
    </row>
    <row r="4748" spans="7:13" x14ac:dyDescent="0.25">
      <c r="G4748" s="10" t="str">
        <f t="shared" si="224"/>
        <v/>
      </c>
      <c r="H4748" t="str">
        <f t="shared" si="225"/>
        <v/>
      </c>
      <c r="M4748" s="34">
        <f t="shared" si="226"/>
        <v>0</v>
      </c>
    </row>
    <row r="4749" spans="7:13" x14ac:dyDescent="0.25">
      <c r="G4749" s="10" t="str">
        <f t="shared" si="224"/>
        <v/>
      </c>
      <c r="H4749" t="str">
        <f t="shared" si="225"/>
        <v/>
      </c>
      <c r="M4749" s="34">
        <f t="shared" si="226"/>
        <v>0</v>
      </c>
    </row>
    <row r="4750" spans="7:13" x14ac:dyDescent="0.25">
      <c r="G4750" s="10" t="str">
        <f t="shared" si="224"/>
        <v/>
      </c>
      <c r="H4750" t="str">
        <f t="shared" si="225"/>
        <v/>
      </c>
      <c r="M4750" s="34">
        <f t="shared" si="226"/>
        <v>0</v>
      </c>
    </row>
    <row r="4751" spans="7:13" x14ac:dyDescent="0.25">
      <c r="G4751" s="10" t="str">
        <f t="shared" si="224"/>
        <v/>
      </c>
      <c r="H4751" t="str">
        <f t="shared" si="225"/>
        <v/>
      </c>
      <c r="M4751" s="34">
        <f t="shared" si="226"/>
        <v>0</v>
      </c>
    </row>
    <row r="4752" spans="7:13" x14ac:dyDescent="0.25">
      <c r="G4752" s="10" t="str">
        <f t="shared" si="224"/>
        <v/>
      </c>
      <c r="H4752" t="str">
        <f t="shared" si="225"/>
        <v/>
      </c>
      <c r="M4752" s="34">
        <f t="shared" si="226"/>
        <v>0</v>
      </c>
    </row>
    <row r="4753" spans="7:13" x14ac:dyDescent="0.25">
      <c r="G4753" s="10" t="str">
        <f t="shared" si="224"/>
        <v/>
      </c>
      <c r="H4753" t="str">
        <f t="shared" si="225"/>
        <v/>
      </c>
      <c r="M4753" s="34">
        <f t="shared" si="226"/>
        <v>0</v>
      </c>
    </row>
    <row r="4754" spans="7:13" x14ac:dyDescent="0.25">
      <c r="G4754" s="10" t="str">
        <f t="shared" si="224"/>
        <v/>
      </c>
      <c r="H4754" t="str">
        <f t="shared" si="225"/>
        <v/>
      </c>
      <c r="M4754" s="34">
        <f t="shared" si="226"/>
        <v>0</v>
      </c>
    </row>
    <row r="4755" spans="7:13" x14ac:dyDescent="0.25">
      <c r="G4755" s="10" t="str">
        <f t="shared" si="224"/>
        <v/>
      </c>
      <c r="H4755" t="str">
        <f t="shared" si="225"/>
        <v/>
      </c>
      <c r="M4755" s="34">
        <f t="shared" si="226"/>
        <v>0</v>
      </c>
    </row>
    <row r="4756" spans="7:13" x14ac:dyDescent="0.25">
      <c r="G4756" s="10" t="str">
        <f t="shared" si="224"/>
        <v/>
      </c>
      <c r="H4756" t="str">
        <f t="shared" si="225"/>
        <v/>
      </c>
      <c r="M4756" s="34">
        <f t="shared" si="226"/>
        <v>0</v>
      </c>
    </row>
    <row r="4757" spans="7:13" x14ac:dyDescent="0.25">
      <c r="G4757" s="10" t="str">
        <f t="shared" si="224"/>
        <v/>
      </c>
      <c r="H4757" t="str">
        <f t="shared" si="225"/>
        <v/>
      </c>
      <c r="M4757" s="34">
        <f t="shared" si="226"/>
        <v>0</v>
      </c>
    </row>
    <row r="4758" spans="7:13" x14ac:dyDescent="0.25">
      <c r="G4758" s="10" t="str">
        <f t="shared" si="224"/>
        <v/>
      </c>
      <c r="H4758" t="str">
        <f t="shared" si="225"/>
        <v/>
      </c>
      <c r="M4758" s="34">
        <f t="shared" si="226"/>
        <v>0</v>
      </c>
    </row>
    <row r="4759" spans="7:13" x14ac:dyDescent="0.25">
      <c r="G4759" s="10" t="str">
        <f t="shared" si="224"/>
        <v/>
      </c>
      <c r="H4759" t="str">
        <f t="shared" si="225"/>
        <v/>
      </c>
      <c r="M4759" s="34">
        <f t="shared" si="226"/>
        <v>0</v>
      </c>
    </row>
    <row r="4760" spans="7:13" x14ac:dyDescent="0.25">
      <c r="G4760" s="10" t="str">
        <f t="shared" si="224"/>
        <v/>
      </c>
      <c r="H4760" t="str">
        <f t="shared" si="225"/>
        <v/>
      </c>
      <c r="M4760" s="34">
        <f t="shared" si="226"/>
        <v>0</v>
      </c>
    </row>
    <row r="4761" spans="7:13" x14ac:dyDescent="0.25">
      <c r="G4761" s="10" t="str">
        <f t="shared" si="224"/>
        <v/>
      </c>
      <c r="H4761" t="str">
        <f t="shared" si="225"/>
        <v/>
      </c>
      <c r="M4761" s="34">
        <f t="shared" si="226"/>
        <v>0</v>
      </c>
    </row>
    <row r="4762" spans="7:13" x14ac:dyDescent="0.25">
      <c r="G4762" s="10" t="str">
        <f t="shared" si="224"/>
        <v/>
      </c>
      <c r="H4762" t="str">
        <f t="shared" si="225"/>
        <v/>
      </c>
      <c r="M4762" s="34">
        <f t="shared" si="226"/>
        <v>0</v>
      </c>
    </row>
    <row r="4763" spans="7:13" x14ac:dyDescent="0.25">
      <c r="G4763" s="10" t="str">
        <f t="shared" si="224"/>
        <v/>
      </c>
      <c r="H4763" t="str">
        <f t="shared" si="225"/>
        <v/>
      </c>
      <c r="M4763" s="34">
        <f t="shared" si="226"/>
        <v>0</v>
      </c>
    </row>
    <row r="4764" spans="7:13" x14ac:dyDescent="0.25">
      <c r="G4764" s="10" t="str">
        <f t="shared" si="224"/>
        <v/>
      </c>
      <c r="H4764" t="str">
        <f t="shared" si="225"/>
        <v/>
      </c>
      <c r="M4764" s="34">
        <f t="shared" si="226"/>
        <v>0</v>
      </c>
    </row>
    <row r="4765" spans="7:13" x14ac:dyDescent="0.25">
      <c r="G4765" s="10" t="str">
        <f t="shared" si="224"/>
        <v/>
      </c>
      <c r="H4765" t="str">
        <f t="shared" si="225"/>
        <v/>
      </c>
      <c r="M4765" s="34">
        <f t="shared" si="226"/>
        <v>0</v>
      </c>
    </row>
    <row r="4766" spans="7:13" x14ac:dyDescent="0.25">
      <c r="G4766" s="10" t="str">
        <f t="shared" si="224"/>
        <v/>
      </c>
      <c r="H4766" t="str">
        <f t="shared" si="225"/>
        <v/>
      </c>
      <c r="M4766" s="34">
        <f t="shared" si="226"/>
        <v>0</v>
      </c>
    </row>
    <row r="4767" spans="7:13" x14ac:dyDescent="0.25">
      <c r="G4767" s="10" t="str">
        <f t="shared" si="224"/>
        <v/>
      </c>
      <c r="H4767" t="str">
        <f t="shared" si="225"/>
        <v/>
      </c>
      <c r="M4767" s="34">
        <f t="shared" si="226"/>
        <v>0</v>
      </c>
    </row>
    <row r="4768" spans="7:13" x14ac:dyDescent="0.25">
      <c r="G4768" s="10" t="str">
        <f t="shared" si="224"/>
        <v/>
      </c>
      <c r="H4768" t="str">
        <f t="shared" si="225"/>
        <v/>
      </c>
      <c r="M4768" s="34">
        <f t="shared" si="226"/>
        <v>0</v>
      </c>
    </row>
    <row r="4769" spans="7:13" x14ac:dyDescent="0.25">
      <c r="G4769" s="10" t="str">
        <f t="shared" si="224"/>
        <v/>
      </c>
      <c r="H4769" t="str">
        <f t="shared" si="225"/>
        <v/>
      </c>
      <c r="M4769" s="34">
        <f t="shared" si="226"/>
        <v>0</v>
      </c>
    </row>
    <row r="4770" spans="7:13" x14ac:dyDescent="0.25">
      <c r="G4770" s="10" t="str">
        <f t="shared" si="224"/>
        <v/>
      </c>
      <c r="H4770" t="str">
        <f t="shared" si="225"/>
        <v/>
      </c>
      <c r="M4770" s="34">
        <f t="shared" si="226"/>
        <v>0</v>
      </c>
    </row>
    <row r="4771" spans="7:13" x14ac:dyDescent="0.25">
      <c r="G4771" s="10" t="str">
        <f t="shared" si="224"/>
        <v/>
      </c>
      <c r="H4771" t="str">
        <f t="shared" si="225"/>
        <v/>
      </c>
      <c r="M4771" s="34">
        <f t="shared" si="226"/>
        <v>0</v>
      </c>
    </row>
    <row r="4772" spans="7:13" x14ac:dyDescent="0.25">
      <c r="G4772" s="10" t="str">
        <f t="shared" si="224"/>
        <v/>
      </c>
      <c r="H4772" t="str">
        <f t="shared" si="225"/>
        <v/>
      </c>
      <c r="M4772" s="34">
        <f t="shared" si="226"/>
        <v>0</v>
      </c>
    </row>
    <row r="4773" spans="7:13" x14ac:dyDescent="0.25">
      <c r="G4773" s="10" t="str">
        <f t="shared" si="224"/>
        <v/>
      </c>
      <c r="H4773" t="str">
        <f t="shared" si="225"/>
        <v/>
      </c>
      <c r="M4773" s="34">
        <f t="shared" si="226"/>
        <v>0</v>
      </c>
    </row>
    <row r="4774" spans="7:13" x14ac:dyDescent="0.25">
      <c r="G4774" s="10" t="str">
        <f t="shared" si="224"/>
        <v/>
      </c>
      <c r="H4774" t="str">
        <f t="shared" si="225"/>
        <v/>
      </c>
      <c r="M4774" s="34">
        <f t="shared" si="226"/>
        <v>0</v>
      </c>
    </row>
    <row r="4775" spans="7:13" x14ac:dyDescent="0.25">
      <c r="G4775" s="10" t="str">
        <f t="shared" si="224"/>
        <v/>
      </c>
      <c r="H4775" t="str">
        <f t="shared" si="225"/>
        <v/>
      </c>
      <c r="M4775" s="34">
        <f t="shared" si="226"/>
        <v>0</v>
      </c>
    </row>
    <row r="4776" spans="7:13" x14ac:dyDescent="0.25">
      <c r="G4776" s="10" t="str">
        <f t="shared" si="224"/>
        <v/>
      </c>
      <c r="H4776" t="str">
        <f t="shared" si="225"/>
        <v/>
      </c>
      <c r="M4776" s="34">
        <f t="shared" si="226"/>
        <v>0</v>
      </c>
    </row>
    <row r="4777" spans="7:13" x14ac:dyDescent="0.25">
      <c r="G4777" s="10" t="str">
        <f t="shared" si="224"/>
        <v/>
      </c>
      <c r="H4777" t="str">
        <f t="shared" si="225"/>
        <v/>
      </c>
      <c r="M4777" s="34">
        <f t="shared" si="226"/>
        <v>0</v>
      </c>
    </row>
    <row r="4778" spans="7:13" x14ac:dyDescent="0.25">
      <c r="G4778" s="10" t="str">
        <f t="shared" si="224"/>
        <v/>
      </c>
      <c r="H4778" t="str">
        <f t="shared" si="225"/>
        <v/>
      </c>
      <c r="M4778" s="34">
        <f t="shared" si="226"/>
        <v>0</v>
      </c>
    </row>
    <row r="4779" spans="7:13" x14ac:dyDescent="0.25">
      <c r="G4779" s="10" t="str">
        <f t="shared" si="224"/>
        <v/>
      </c>
      <c r="H4779" t="str">
        <f t="shared" si="225"/>
        <v/>
      </c>
      <c r="M4779" s="34">
        <f t="shared" si="226"/>
        <v>0</v>
      </c>
    </row>
    <row r="4780" spans="7:13" x14ac:dyDescent="0.25">
      <c r="G4780" s="10" t="str">
        <f t="shared" si="224"/>
        <v/>
      </c>
      <c r="H4780" t="str">
        <f t="shared" si="225"/>
        <v/>
      </c>
      <c r="M4780" s="34">
        <f t="shared" si="226"/>
        <v>0</v>
      </c>
    </row>
    <row r="4781" spans="7:13" x14ac:dyDescent="0.25">
      <c r="G4781" s="10" t="str">
        <f t="shared" si="224"/>
        <v/>
      </c>
      <c r="H4781" t="str">
        <f t="shared" si="225"/>
        <v/>
      </c>
      <c r="M4781" s="34">
        <f t="shared" si="226"/>
        <v>0</v>
      </c>
    </row>
    <row r="4782" spans="7:13" x14ac:dyDescent="0.25">
      <c r="G4782" s="10" t="str">
        <f t="shared" si="224"/>
        <v/>
      </c>
      <c r="H4782" t="str">
        <f t="shared" si="225"/>
        <v/>
      </c>
      <c r="M4782" s="34">
        <f t="shared" si="226"/>
        <v>0</v>
      </c>
    </row>
    <row r="4783" spans="7:13" x14ac:dyDescent="0.25">
      <c r="G4783" s="10" t="str">
        <f t="shared" si="224"/>
        <v/>
      </c>
      <c r="H4783" t="str">
        <f t="shared" si="225"/>
        <v/>
      </c>
      <c r="M4783" s="34">
        <f t="shared" si="226"/>
        <v>0</v>
      </c>
    </row>
    <row r="4784" spans="7:13" x14ac:dyDescent="0.25">
      <c r="G4784" s="10" t="str">
        <f t="shared" si="224"/>
        <v/>
      </c>
      <c r="H4784" t="str">
        <f t="shared" si="225"/>
        <v/>
      </c>
      <c r="M4784" s="34">
        <f t="shared" si="226"/>
        <v>0</v>
      </c>
    </row>
    <row r="4785" spans="7:13" x14ac:dyDescent="0.25">
      <c r="G4785" s="10" t="str">
        <f t="shared" si="224"/>
        <v/>
      </c>
      <c r="H4785" t="str">
        <f t="shared" si="225"/>
        <v/>
      </c>
      <c r="M4785" s="34">
        <f t="shared" si="226"/>
        <v>0</v>
      </c>
    </row>
    <row r="4786" spans="7:13" x14ac:dyDescent="0.25">
      <c r="G4786" s="10" t="str">
        <f t="shared" si="224"/>
        <v/>
      </c>
      <c r="H4786" t="str">
        <f t="shared" si="225"/>
        <v/>
      </c>
      <c r="M4786" s="34">
        <f t="shared" si="226"/>
        <v>0</v>
      </c>
    </row>
    <row r="4787" spans="7:13" x14ac:dyDescent="0.25">
      <c r="G4787" s="10" t="str">
        <f t="shared" si="224"/>
        <v/>
      </c>
      <c r="H4787" t="str">
        <f t="shared" si="225"/>
        <v/>
      </c>
      <c r="M4787" s="34">
        <f t="shared" si="226"/>
        <v>0</v>
      </c>
    </row>
    <row r="4788" spans="7:13" x14ac:dyDescent="0.25">
      <c r="G4788" s="10" t="str">
        <f t="shared" si="224"/>
        <v/>
      </c>
      <c r="H4788" t="str">
        <f t="shared" si="225"/>
        <v/>
      </c>
      <c r="M4788" s="34">
        <f t="shared" si="226"/>
        <v>0</v>
      </c>
    </row>
    <row r="4789" spans="7:13" x14ac:dyDescent="0.25">
      <c r="G4789" s="10" t="str">
        <f t="shared" si="224"/>
        <v/>
      </c>
      <c r="H4789" t="str">
        <f t="shared" si="225"/>
        <v/>
      </c>
      <c r="M4789" s="34">
        <f t="shared" si="226"/>
        <v>0</v>
      </c>
    </row>
    <row r="4790" spans="7:13" x14ac:dyDescent="0.25">
      <c r="G4790" s="10" t="str">
        <f t="shared" si="224"/>
        <v/>
      </c>
      <c r="H4790" t="str">
        <f t="shared" si="225"/>
        <v/>
      </c>
      <c r="M4790" s="34">
        <f t="shared" si="226"/>
        <v>0</v>
      </c>
    </row>
    <row r="4791" spans="7:13" x14ac:dyDescent="0.25">
      <c r="G4791" s="10" t="str">
        <f t="shared" si="224"/>
        <v/>
      </c>
      <c r="H4791" t="str">
        <f t="shared" si="225"/>
        <v/>
      </c>
      <c r="M4791" s="34">
        <f t="shared" si="226"/>
        <v>0</v>
      </c>
    </row>
    <row r="4792" spans="7:13" x14ac:dyDescent="0.25">
      <c r="G4792" s="10" t="str">
        <f t="shared" si="224"/>
        <v/>
      </c>
      <c r="H4792" t="str">
        <f t="shared" si="225"/>
        <v/>
      </c>
      <c r="M4792" s="34">
        <f t="shared" si="226"/>
        <v>0</v>
      </c>
    </row>
    <row r="4793" spans="7:13" x14ac:dyDescent="0.25">
      <c r="G4793" s="10" t="str">
        <f t="shared" si="224"/>
        <v/>
      </c>
      <c r="H4793" t="str">
        <f t="shared" si="225"/>
        <v/>
      </c>
      <c r="M4793" s="34">
        <f t="shared" si="226"/>
        <v>0</v>
      </c>
    </row>
    <row r="4794" spans="7:13" x14ac:dyDescent="0.25">
      <c r="G4794" s="10" t="str">
        <f t="shared" si="224"/>
        <v/>
      </c>
      <c r="H4794" t="str">
        <f t="shared" si="225"/>
        <v/>
      </c>
      <c r="M4794" s="34">
        <f t="shared" si="226"/>
        <v>0</v>
      </c>
    </row>
    <row r="4795" spans="7:13" x14ac:dyDescent="0.25">
      <c r="G4795" s="10" t="str">
        <f t="shared" si="224"/>
        <v/>
      </c>
      <c r="H4795" t="str">
        <f t="shared" si="225"/>
        <v/>
      </c>
      <c r="M4795" s="34">
        <f t="shared" si="226"/>
        <v>0</v>
      </c>
    </row>
    <row r="4796" spans="7:13" x14ac:dyDescent="0.25">
      <c r="G4796" s="10" t="str">
        <f t="shared" si="224"/>
        <v/>
      </c>
      <c r="H4796" t="str">
        <f t="shared" si="225"/>
        <v/>
      </c>
      <c r="M4796" s="34">
        <f t="shared" si="226"/>
        <v>0</v>
      </c>
    </row>
    <row r="4797" spans="7:13" x14ac:dyDescent="0.25">
      <c r="G4797" s="10" t="str">
        <f t="shared" si="224"/>
        <v/>
      </c>
      <c r="H4797" t="str">
        <f t="shared" si="225"/>
        <v/>
      </c>
      <c r="M4797" s="34">
        <f t="shared" si="226"/>
        <v>0</v>
      </c>
    </row>
    <row r="4798" spans="7:13" x14ac:dyDescent="0.25">
      <c r="G4798" s="10" t="str">
        <f t="shared" si="224"/>
        <v/>
      </c>
      <c r="H4798" t="str">
        <f t="shared" si="225"/>
        <v/>
      </c>
      <c r="M4798" s="34">
        <f t="shared" si="226"/>
        <v>0</v>
      </c>
    </row>
    <row r="4799" spans="7:13" x14ac:dyDescent="0.25">
      <c r="G4799" s="10" t="str">
        <f t="shared" si="224"/>
        <v/>
      </c>
      <c r="H4799" t="str">
        <f t="shared" si="225"/>
        <v/>
      </c>
      <c r="M4799" s="34">
        <f t="shared" si="226"/>
        <v>0</v>
      </c>
    </row>
    <row r="4800" spans="7:13" x14ac:dyDescent="0.25">
      <c r="G4800" s="10" t="str">
        <f t="shared" si="224"/>
        <v/>
      </c>
      <c r="H4800" t="str">
        <f t="shared" si="225"/>
        <v/>
      </c>
      <c r="M4800" s="34">
        <f t="shared" si="226"/>
        <v>0</v>
      </c>
    </row>
    <row r="4801" spans="7:13" x14ac:dyDescent="0.25">
      <c r="G4801" s="10" t="str">
        <f t="shared" si="224"/>
        <v/>
      </c>
      <c r="H4801" t="str">
        <f t="shared" si="225"/>
        <v/>
      </c>
      <c r="M4801" s="34">
        <f t="shared" si="226"/>
        <v>0</v>
      </c>
    </row>
    <row r="4802" spans="7:13" x14ac:dyDescent="0.25">
      <c r="G4802" s="10" t="str">
        <f t="shared" ref="G4802:G4865" si="227">IF(F4802&gt;0,"RECETTE",IF(F4802&lt;0,"DÉPENSE",""))</f>
        <v/>
      </c>
      <c r="H4802" t="str">
        <f t="shared" ref="H4802:H4865" si="228">+IF(ISNUMBER(D4802),D4802,"")</f>
        <v/>
      </c>
      <c r="M4802" s="34">
        <f t="shared" si="226"/>
        <v>0</v>
      </c>
    </row>
    <row r="4803" spans="7:13" x14ac:dyDescent="0.25">
      <c r="G4803" s="10" t="str">
        <f t="shared" si="227"/>
        <v/>
      </c>
      <c r="H4803" t="str">
        <f t="shared" si="228"/>
        <v/>
      </c>
      <c r="M4803" s="34">
        <f t="shared" ref="M4803:M4866" si="229">IF(AND(E4803="Chèque",G4803="RECETTE"),F4803,0)</f>
        <v>0</v>
      </c>
    </row>
    <row r="4804" spans="7:13" x14ac:dyDescent="0.25">
      <c r="G4804" s="10" t="str">
        <f t="shared" si="227"/>
        <v/>
      </c>
      <c r="H4804" t="str">
        <f t="shared" si="228"/>
        <v/>
      </c>
      <c r="M4804" s="34">
        <f t="shared" si="229"/>
        <v>0</v>
      </c>
    </row>
    <row r="4805" spans="7:13" x14ac:dyDescent="0.25">
      <c r="G4805" s="10" t="str">
        <f t="shared" si="227"/>
        <v/>
      </c>
      <c r="H4805" t="str">
        <f t="shared" si="228"/>
        <v/>
      </c>
      <c r="M4805" s="34">
        <f t="shared" si="229"/>
        <v>0</v>
      </c>
    </row>
    <row r="4806" spans="7:13" x14ac:dyDescent="0.25">
      <c r="G4806" s="10" t="str">
        <f t="shared" si="227"/>
        <v/>
      </c>
      <c r="H4806" t="str">
        <f t="shared" si="228"/>
        <v/>
      </c>
      <c r="M4806" s="34">
        <f t="shared" si="229"/>
        <v>0</v>
      </c>
    </row>
    <row r="4807" spans="7:13" x14ac:dyDescent="0.25">
      <c r="G4807" s="10" t="str">
        <f t="shared" si="227"/>
        <v/>
      </c>
      <c r="H4807" t="str">
        <f t="shared" si="228"/>
        <v/>
      </c>
      <c r="M4807" s="34">
        <f t="shared" si="229"/>
        <v>0</v>
      </c>
    </row>
    <row r="4808" spans="7:13" x14ac:dyDescent="0.25">
      <c r="G4808" s="10" t="str">
        <f t="shared" si="227"/>
        <v/>
      </c>
      <c r="H4808" t="str">
        <f t="shared" si="228"/>
        <v/>
      </c>
      <c r="M4808" s="34">
        <f t="shared" si="229"/>
        <v>0</v>
      </c>
    </row>
    <row r="4809" spans="7:13" x14ac:dyDescent="0.25">
      <c r="G4809" s="10" t="str">
        <f t="shared" si="227"/>
        <v/>
      </c>
      <c r="H4809" t="str">
        <f t="shared" si="228"/>
        <v/>
      </c>
      <c r="M4809" s="34">
        <f t="shared" si="229"/>
        <v>0</v>
      </c>
    </row>
    <row r="4810" spans="7:13" x14ac:dyDescent="0.25">
      <c r="G4810" s="10" t="str">
        <f t="shared" si="227"/>
        <v/>
      </c>
      <c r="H4810" t="str">
        <f t="shared" si="228"/>
        <v/>
      </c>
      <c r="M4810" s="34">
        <f t="shared" si="229"/>
        <v>0</v>
      </c>
    </row>
    <row r="4811" spans="7:13" x14ac:dyDescent="0.25">
      <c r="G4811" s="10" t="str">
        <f t="shared" si="227"/>
        <v/>
      </c>
      <c r="H4811" t="str">
        <f t="shared" si="228"/>
        <v/>
      </c>
      <c r="M4811" s="34">
        <f t="shared" si="229"/>
        <v>0</v>
      </c>
    </row>
    <row r="4812" spans="7:13" x14ac:dyDescent="0.25">
      <c r="G4812" s="10" t="str">
        <f t="shared" si="227"/>
        <v/>
      </c>
      <c r="H4812" t="str">
        <f t="shared" si="228"/>
        <v/>
      </c>
      <c r="M4812" s="34">
        <f t="shared" si="229"/>
        <v>0</v>
      </c>
    </row>
    <row r="4813" spans="7:13" x14ac:dyDescent="0.25">
      <c r="G4813" s="10" t="str">
        <f t="shared" si="227"/>
        <v/>
      </c>
      <c r="H4813" t="str">
        <f t="shared" si="228"/>
        <v/>
      </c>
      <c r="M4813" s="34">
        <f t="shared" si="229"/>
        <v>0</v>
      </c>
    </row>
    <row r="4814" spans="7:13" x14ac:dyDescent="0.25">
      <c r="G4814" s="10" t="str">
        <f t="shared" si="227"/>
        <v/>
      </c>
      <c r="H4814" t="str">
        <f t="shared" si="228"/>
        <v/>
      </c>
      <c r="M4814" s="34">
        <f t="shared" si="229"/>
        <v>0</v>
      </c>
    </row>
    <row r="4815" spans="7:13" x14ac:dyDescent="0.25">
      <c r="G4815" s="10" t="str">
        <f t="shared" si="227"/>
        <v/>
      </c>
      <c r="H4815" t="str">
        <f t="shared" si="228"/>
        <v/>
      </c>
      <c r="M4815" s="34">
        <f t="shared" si="229"/>
        <v>0</v>
      </c>
    </row>
    <row r="4816" spans="7:13" x14ac:dyDescent="0.25">
      <c r="G4816" s="10" t="str">
        <f t="shared" si="227"/>
        <v/>
      </c>
      <c r="H4816" t="str">
        <f t="shared" si="228"/>
        <v/>
      </c>
      <c r="M4816" s="34">
        <f t="shared" si="229"/>
        <v>0</v>
      </c>
    </row>
    <row r="4817" spans="7:13" x14ac:dyDescent="0.25">
      <c r="G4817" s="10" t="str">
        <f t="shared" si="227"/>
        <v/>
      </c>
      <c r="H4817" t="str">
        <f t="shared" si="228"/>
        <v/>
      </c>
      <c r="M4817" s="34">
        <f t="shared" si="229"/>
        <v>0</v>
      </c>
    </row>
    <row r="4818" spans="7:13" x14ac:dyDescent="0.25">
      <c r="G4818" s="10" t="str">
        <f t="shared" si="227"/>
        <v/>
      </c>
      <c r="H4818" t="str">
        <f t="shared" si="228"/>
        <v/>
      </c>
      <c r="M4818" s="34">
        <f t="shared" si="229"/>
        <v>0</v>
      </c>
    </row>
    <row r="4819" spans="7:13" x14ac:dyDescent="0.25">
      <c r="G4819" s="10" t="str">
        <f t="shared" si="227"/>
        <v/>
      </c>
      <c r="H4819" t="str">
        <f t="shared" si="228"/>
        <v/>
      </c>
      <c r="M4819" s="34">
        <f t="shared" si="229"/>
        <v>0</v>
      </c>
    </row>
    <row r="4820" spans="7:13" x14ac:dyDescent="0.25">
      <c r="G4820" s="10" t="str">
        <f t="shared" si="227"/>
        <v/>
      </c>
      <c r="H4820" t="str">
        <f t="shared" si="228"/>
        <v/>
      </c>
      <c r="M4820" s="34">
        <f t="shared" si="229"/>
        <v>0</v>
      </c>
    </row>
    <row r="4821" spans="7:13" x14ac:dyDescent="0.25">
      <c r="G4821" s="10" t="str">
        <f t="shared" si="227"/>
        <v/>
      </c>
      <c r="H4821" t="str">
        <f t="shared" si="228"/>
        <v/>
      </c>
      <c r="M4821" s="34">
        <f t="shared" si="229"/>
        <v>0</v>
      </c>
    </row>
    <row r="4822" spans="7:13" x14ac:dyDescent="0.25">
      <c r="G4822" s="10" t="str">
        <f t="shared" si="227"/>
        <v/>
      </c>
      <c r="H4822" t="str">
        <f t="shared" si="228"/>
        <v/>
      </c>
      <c r="M4822" s="34">
        <f t="shared" si="229"/>
        <v>0</v>
      </c>
    </row>
    <row r="4823" spans="7:13" x14ac:dyDescent="0.25">
      <c r="G4823" s="10" t="str">
        <f t="shared" si="227"/>
        <v/>
      </c>
      <c r="H4823" t="str">
        <f t="shared" si="228"/>
        <v/>
      </c>
      <c r="M4823" s="34">
        <f t="shared" si="229"/>
        <v>0</v>
      </c>
    </row>
    <row r="4824" spans="7:13" x14ac:dyDescent="0.25">
      <c r="G4824" s="10" t="str">
        <f t="shared" si="227"/>
        <v/>
      </c>
      <c r="H4824" t="str">
        <f t="shared" si="228"/>
        <v/>
      </c>
      <c r="M4824" s="34">
        <f t="shared" si="229"/>
        <v>0</v>
      </c>
    </row>
    <row r="4825" spans="7:13" x14ac:dyDescent="0.25">
      <c r="G4825" s="10" t="str">
        <f t="shared" si="227"/>
        <v/>
      </c>
      <c r="H4825" t="str">
        <f t="shared" si="228"/>
        <v/>
      </c>
      <c r="M4825" s="34">
        <f t="shared" si="229"/>
        <v>0</v>
      </c>
    </row>
    <row r="4826" spans="7:13" x14ac:dyDescent="0.25">
      <c r="G4826" s="10" t="str">
        <f t="shared" si="227"/>
        <v/>
      </c>
      <c r="H4826" t="str">
        <f t="shared" si="228"/>
        <v/>
      </c>
      <c r="M4826" s="34">
        <f t="shared" si="229"/>
        <v>0</v>
      </c>
    </row>
    <row r="4827" spans="7:13" x14ac:dyDescent="0.25">
      <c r="G4827" s="10" t="str">
        <f t="shared" si="227"/>
        <v/>
      </c>
      <c r="H4827" t="str">
        <f t="shared" si="228"/>
        <v/>
      </c>
      <c r="M4827" s="34">
        <f t="shared" si="229"/>
        <v>0</v>
      </c>
    </row>
    <row r="4828" spans="7:13" x14ac:dyDescent="0.25">
      <c r="G4828" s="10" t="str">
        <f t="shared" si="227"/>
        <v/>
      </c>
      <c r="H4828" t="str">
        <f t="shared" si="228"/>
        <v/>
      </c>
      <c r="M4828" s="34">
        <f t="shared" si="229"/>
        <v>0</v>
      </c>
    </row>
    <row r="4829" spans="7:13" x14ac:dyDescent="0.25">
      <c r="G4829" s="10" t="str">
        <f t="shared" si="227"/>
        <v/>
      </c>
      <c r="H4829" t="str">
        <f t="shared" si="228"/>
        <v/>
      </c>
      <c r="M4829" s="34">
        <f t="shared" si="229"/>
        <v>0</v>
      </c>
    </row>
    <row r="4830" spans="7:13" x14ac:dyDescent="0.25">
      <c r="G4830" s="10" t="str">
        <f t="shared" si="227"/>
        <v/>
      </c>
      <c r="H4830" t="str">
        <f t="shared" si="228"/>
        <v/>
      </c>
      <c r="M4830" s="34">
        <f t="shared" si="229"/>
        <v>0</v>
      </c>
    </row>
    <row r="4831" spans="7:13" x14ac:dyDescent="0.25">
      <c r="G4831" s="10" t="str">
        <f t="shared" si="227"/>
        <v/>
      </c>
      <c r="H4831" t="str">
        <f t="shared" si="228"/>
        <v/>
      </c>
      <c r="M4831" s="34">
        <f t="shared" si="229"/>
        <v>0</v>
      </c>
    </row>
    <row r="4832" spans="7:13" x14ac:dyDescent="0.25">
      <c r="G4832" s="10" t="str">
        <f t="shared" si="227"/>
        <v/>
      </c>
      <c r="H4832" t="str">
        <f t="shared" si="228"/>
        <v/>
      </c>
      <c r="M4832" s="34">
        <f t="shared" si="229"/>
        <v>0</v>
      </c>
    </row>
    <row r="4833" spans="7:13" x14ac:dyDescent="0.25">
      <c r="G4833" s="10" t="str">
        <f t="shared" si="227"/>
        <v/>
      </c>
      <c r="H4833" t="str">
        <f t="shared" si="228"/>
        <v/>
      </c>
      <c r="M4833" s="34">
        <f t="shared" si="229"/>
        <v>0</v>
      </c>
    </row>
    <row r="4834" spans="7:13" x14ac:dyDescent="0.25">
      <c r="G4834" s="10" t="str">
        <f t="shared" si="227"/>
        <v/>
      </c>
      <c r="H4834" t="str">
        <f t="shared" si="228"/>
        <v/>
      </c>
      <c r="M4834" s="34">
        <f t="shared" si="229"/>
        <v>0</v>
      </c>
    </row>
    <row r="4835" spans="7:13" x14ac:dyDescent="0.25">
      <c r="G4835" s="10" t="str">
        <f t="shared" si="227"/>
        <v/>
      </c>
      <c r="H4835" t="str">
        <f t="shared" si="228"/>
        <v/>
      </c>
      <c r="M4835" s="34">
        <f t="shared" si="229"/>
        <v>0</v>
      </c>
    </row>
    <row r="4836" spans="7:13" x14ac:dyDescent="0.25">
      <c r="G4836" s="10" t="str">
        <f t="shared" si="227"/>
        <v/>
      </c>
      <c r="H4836" t="str">
        <f t="shared" si="228"/>
        <v/>
      </c>
      <c r="M4836" s="34">
        <f t="shared" si="229"/>
        <v>0</v>
      </c>
    </row>
    <row r="4837" spans="7:13" x14ac:dyDescent="0.25">
      <c r="G4837" s="10" t="str">
        <f t="shared" si="227"/>
        <v/>
      </c>
      <c r="H4837" t="str">
        <f t="shared" si="228"/>
        <v/>
      </c>
      <c r="M4837" s="34">
        <f t="shared" si="229"/>
        <v>0</v>
      </c>
    </row>
    <row r="4838" spans="7:13" x14ac:dyDescent="0.25">
      <c r="G4838" s="10" t="str">
        <f t="shared" si="227"/>
        <v/>
      </c>
      <c r="H4838" t="str">
        <f t="shared" si="228"/>
        <v/>
      </c>
      <c r="M4838" s="34">
        <f t="shared" si="229"/>
        <v>0</v>
      </c>
    </row>
    <row r="4839" spans="7:13" x14ac:dyDescent="0.25">
      <c r="G4839" s="10" t="str">
        <f t="shared" si="227"/>
        <v/>
      </c>
      <c r="H4839" t="str">
        <f t="shared" si="228"/>
        <v/>
      </c>
      <c r="M4839" s="34">
        <f t="shared" si="229"/>
        <v>0</v>
      </c>
    </row>
    <row r="4840" spans="7:13" x14ac:dyDescent="0.25">
      <c r="G4840" s="10" t="str">
        <f t="shared" si="227"/>
        <v/>
      </c>
      <c r="H4840" t="str">
        <f t="shared" si="228"/>
        <v/>
      </c>
      <c r="M4840" s="34">
        <f t="shared" si="229"/>
        <v>0</v>
      </c>
    </row>
    <row r="4841" spans="7:13" x14ac:dyDescent="0.25">
      <c r="G4841" s="10" t="str">
        <f t="shared" si="227"/>
        <v/>
      </c>
      <c r="H4841" t="str">
        <f t="shared" si="228"/>
        <v/>
      </c>
      <c r="M4841" s="34">
        <f t="shared" si="229"/>
        <v>0</v>
      </c>
    </row>
    <row r="4842" spans="7:13" x14ac:dyDescent="0.25">
      <c r="G4842" s="10" t="str">
        <f t="shared" si="227"/>
        <v/>
      </c>
      <c r="H4842" t="str">
        <f t="shared" si="228"/>
        <v/>
      </c>
      <c r="M4842" s="34">
        <f t="shared" si="229"/>
        <v>0</v>
      </c>
    </row>
    <row r="4843" spans="7:13" x14ac:dyDescent="0.25">
      <c r="G4843" s="10" t="str">
        <f t="shared" si="227"/>
        <v/>
      </c>
      <c r="H4843" t="str">
        <f t="shared" si="228"/>
        <v/>
      </c>
      <c r="M4843" s="34">
        <f t="shared" si="229"/>
        <v>0</v>
      </c>
    </row>
    <row r="4844" spans="7:13" x14ac:dyDescent="0.25">
      <c r="G4844" s="10" t="str">
        <f t="shared" si="227"/>
        <v/>
      </c>
      <c r="H4844" t="str">
        <f t="shared" si="228"/>
        <v/>
      </c>
      <c r="M4844" s="34">
        <f t="shared" si="229"/>
        <v>0</v>
      </c>
    </row>
    <row r="4845" spans="7:13" x14ac:dyDescent="0.25">
      <c r="G4845" s="10" t="str">
        <f t="shared" si="227"/>
        <v/>
      </c>
      <c r="H4845" t="str">
        <f t="shared" si="228"/>
        <v/>
      </c>
      <c r="M4845" s="34">
        <f t="shared" si="229"/>
        <v>0</v>
      </c>
    </row>
    <row r="4846" spans="7:13" x14ac:dyDescent="0.25">
      <c r="G4846" s="10" t="str">
        <f t="shared" si="227"/>
        <v/>
      </c>
      <c r="H4846" t="str">
        <f t="shared" si="228"/>
        <v/>
      </c>
      <c r="M4846" s="34">
        <f t="shared" si="229"/>
        <v>0</v>
      </c>
    </row>
    <row r="4847" spans="7:13" x14ac:dyDescent="0.25">
      <c r="G4847" s="10" t="str">
        <f t="shared" si="227"/>
        <v/>
      </c>
      <c r="H4847" t="str">
        <f t="shared" si="228"/>
        <v/>
      </c>
      <c r="M4847" s="34">
        <f t="shared" si="229"/>
        <v>0</v>
      </c>
    </row>
    <row r="4848" spans="7:13" x14ac:dyDescent="0.25">
      <c r="G4848" s="10" t="str">
        <f t="shared" si="227"/>
        <v/>
      </c>
      <c r="H4848" t="str">
        <f t="shared" si="228"/>
        <v/>
      </c>
      <c r="M4848" s="34">
        <f t="shared" si="229"/>
        <v>0</v>
      </c>
    </row>
    <row r="4849" spans="7:13" x14ac:dyDescent="0.25">
      <c r="G4849" s="10" t="str">
        <f t="shared" si="227"/>
        <v/>
      </c>
      <c r="H4849" t="str">
        <f t="shared" si="228"/>
        <v/>
      </c>
      <c r="M4849" s="34">
        <f t="shared" si="229"/>
        <v>0</v>
      </c>
    </row>
    <row r="4850" spans="7:13" x14ac:dyDescent="0.25">
      <c r="G4850" s="10" t="str">
        <f t="shared" si="227"/>
        <v/>
      </c>
      <c r="H4850" t="str">
        <f t="shared" si="228"/>
        <v/>
      </c>
      <c r="M4850" s="34">
        <f t="shared" si="229"/>
        <v>0</v>
      </c>
    </row>
    <row r="4851" spans="7:13" x14ac:dyDescent="0.25">
      <c r="G4851" s="10" t="str">
        <f t="shared" si="227"/>
        <v/>
      </c>
      <c r="H4851" t="str">
        <f t="shared" si="228"/>
        <v/>
      </c>
      <c r="M4851" s="34">
        <f t="shared" si="229"/>
        <v>0</v>
      </c>
    </row>
    <row r="4852" spans="7:13" x14ac:dyDescent="0.25">
      <c r="G4852" s="10" t="str">
        <f t="shared" si="227"/>
        <v/>
      </c>
      <c r="H4852" t="str">
        <f t="shared" si="228"/>
        <v/>
      </c>
      <c r="M4852" s="34">
        <f t="shared" si="229"/>
        <v>0</v>
      </c>
    </row>
    <row r="4853" spans="7:13" x14ac:dyDescent="0.25">
      <c r="G4853" s="10" t="str">
        <f t="shared" si="227"/>
        <v/>
      </c>
      <c r="H4853" t="str">
        <f t="shared" si="228"/>
        <v/>
      </c>
      <c r="M4853" s="34">
        <f t="shared" si="229"/>
        <v>0</v>
      </c>
    </row>
    <row r="4854" spans="7:13" x14ac:dyDescent="0.25">
      <c r="G4854" s="10" t="str">
        <f t="shared" si="227"/>
        <v/>
      </c>
      <c r="H4854" t="str">
        <f t="shared" si="228"/>
        <v/>
      </c>
      <c r="M4854" s="34">
        <f t="shared" si="229"/>
        <v>0</v>
      </c>
    </row>
    <row r="4855" spans="7:13" x14ac:dyDescent="0.25">
      <c r="G4855" s="10" t="str">
        <f t="shared" si="227"/>
        <v/>
      </c>
      <c r="H4855" t="str">
        <f t="shared" si="228"/>
        <v/>
      </c>
      <c r="M4855" s="34">
        <f t="shared" si="229"/>
        <v>0</v>
      </c>
    </row>
    <row r="4856" spans="7:13" x14ac:dyDescent="0.25">
      <c r="G4856" s="10" t="str">
        <f t="shared" si="227"/>
        <v/>
      </c>
      <c r="H4856" t="str">
        <f t="shared" si="228"/>
        <v/>
      </c>
      <c r="M4856" s="34">
        <f t="shared" si="229"/>
        <v>0</v>
      </c>
    </row>
    <row r="4857" spans="7:13" x14ac:dyDescent="0.25">
      <c r="G4857" s="10" t="str">
        <f t="shared" si="227"/>
        <v/>
      </c>
      <c r="H4857" t="str">
        <f t="shared" si="228"/>
        <v/>
      </c>
      <c r="M4857" s="34">
        <f t="shared" si="229"/>
        <v>0</v>
      </c>
    </row>
    <row r="4858" spans="7:13" x14ac:dyDescent="0.25">
      <c r="G4858" s="10" t="str">
        <f t="shared" si="227"/>
        <v/>
      </c>
      <c r="H4858" t="str">
        <f t="shared" si="228"/>
        <v/>
      </c>
      <c r="M4858" s="34">
        <f t="shared" si="229"/>
        <v>0</v>
      </c>
    </row>
    <row r="4859" spans="7:13" x14ac:dyDescent="0.25">
      <c r="G4859" s="10" t="str">
        <f t="shared" si="227"/>
        <v/>
      </c>
      <c r="H4859" t="str">
        <f t="shared" si="228"/>
        <v/>
      </c>
      <c r="M4859" s="34">
        <f t="shared" si="229"/>
        <v>0</v>
      </c>
    </row>
    <row r="4860" spans="7:13" x14ac:dyDescent="0.25">
      <c r="G4860" s="10" t="str">
        <f t="shared" si="227"/>
        <v/>
      </c>
      <c r="H4860" t="str">
        <f t="shared" si="228"/>
        <v/>
      </c>
      <c r="M4860" s="34">
        <f t="shared" si="229"/>
        <v>0</v>
      </c>
    </row>
    <row r="4861" spans="7:13" x14ac:dyDescent="0.25">
      <c r="G4861" s="10" t="str">
        <f t="shared" si="227"/>
        <v/>
      </c>
      <c r="H4861" t="str">
        <f t="shared" si="228"/>
        <v/>
      </c>
      <c r="M4861" s="34">
        <f t="shared" si="229"/>
        <v>0</v>
      </c>
    </row>
    <row r="4862" spans="7:13" x14ac:dyDescent="0.25">
      <c r="G4862" s="10" t="str">
        <f t="shared" si="227"/>
        <v/>
      </c>
      <c r="H4862" t="str">
        <f t="shared" si="228"/>
        <v/>
      </c>
      <c r="M4862" s="34">
        <f t="shared" si="229"/>
        <v>0</v>
      </c>
    </row>
    <row r="4863" spans="7:13" x14ac:dyDescent="0.25">
      <c r="G4863" s="10" t="str">
        <f t="shared" si="227"/>
        <v/>
      </c>
      <c r="H4863" t="str">
        <f t="shared" si="228"/>
        <v/>
      </c>
      <c r="M4863" s="34">
        <f t="shared" si="229"/>
        <v>0</v>
      </c>
    </row>
    <row r="4864" spans="7:13" x14ac:dyDescent="0.25">
      <c r="G4864" s="10" t="str">
        <f t="shared" si="227"/>
        <v/>
      </c>
      <c r="H4864" t="str">
        <f t="shared" si="228"/>
        <v/>
      </c>
      <c r="M4864" s="34">
        <f t="shared" si="229"/>
        <v>0</v>
      </c>
    </row>
    <row r="4865" spans="7:13" x14ac:dyDescent="0.25">
      <c r="G4865" s="10" t="str">
        <f t="shared" si="227"/>
        <v/>
      </c>
      <c r="H4865" t="str">
        <f t="shared" si="228"/>
        <v/>
      </c>
      <c r="M4865" s="34">
        <f t="shared" si="229"/>
        <v>0</v>
      </c>
    </row>
    <row r="4866" spans="7:13" x14ac:dyDescent="0.25">
      <c r="G4866" s="10" t="str">
        <f t="shared" ref="G4866:G4929" si="230">IF(F4866&gt;0,"RECETTE",IF(F4866&lt;0,"DÉPENSE",""))</f>
        <v/>
      </c>
      <c r="H4866" t="str">
        <f t="shared" ref="H4866:H4929" si="231">+IF(ISNUMBER(D4866),D4866,"")</f>
        <v/>
      </c>
      <c r="M4866" s="34">
        <f t="shared" si="229"/>
        <v>0</v>
      </c>
    </row>
    <row r="4867" spans="7:13" x14ac:dyDescent="0.25">
      <c r="G4867" s="10" t="str">
        <f t="shared" si="230"/>
        <v/>
      </c>
      <c r="H4867" t="str">
        <f t="shared" si="231"/>
        <v/>
      </c>
      <c r="M4867" s="34">
        <f t="shared" ref="M4867:M4930" si="232">IF(AND(E4867="Chèque",G4867="RECETTE"),F4867,0)</f>
        <v>0</v>
      </c>
    </row>
    <row r="4868" spans="7:13" x14ac:dyDescent="0.25">
      <c r="G4868" s="10" t="str">
        <f t="shared" si="230"/>
        <v/>
      </c>
      <c r="H4868" t="str">
        <f t="shared" si="231"/>
        <v/>
      </c>
      <c r="M4868" s="34">
        <f t="shared" si="232"/>
        <v>0</v>
      </c>
    </row>
    <row r="4869" spans="7:13" x14ac:dyDescent="0.25">
      <c r="G4869" s="10" t="str">
        <f t="shared" si="230"/>
        <v/>
      </c>
      <c r="H4869" t="str">
        <f t="shared" si="231"/>
        <v/>
      </c>
      <c r="M4869" s="34">
        <f t="shared" si="232"/>
        <v>0</v>
      </c>
    </row>
    <row r="4870" spans="7:13" x14ac:dyDescent="0.25">
      <c r="G4870" s="10" t="str">
        <f t="shared" si="230"/>
        <v/>
      </c>
      <c r="H4870" t="str">
        <f t="shared" si="231"/>
        <v/>
      </c>
      <c r="M4870" s="34">
        <f t="shared" si="232"/>
        <v>0</v>
      </c>
    </row>
    <row r="4871" spans="7:13" x14ac:dyDescent="0.25">
      <c r="G4871" s="10" t="str">
        <f t="shared" si="230"/>
        <v/>
      </c>
      <c r="H4871" t="str">
        <f t="shared" si="231"/>
        <v/>
      </c>
      <c r="M4871" s="34">
        <f t="shared" si="232"/>
        <v>0</v>
      </c>
    </row>
    <row r="4872" spans="7:13" x14ac:dyDescent="0.25">
      <c r="G4872" s="10" t="str">
        <f t="shared" si="230"/>
        <v/>
      </c>
      <c r="H4872" t="str">
        <f t="shared" si="231"/>
        <v/>
      </c>
      <c r="M4872" s="34">
        <f t="shared" si="232"/>
        <v>0</v>
      </c>
    </row>
    <row r="4873" spans="7:13" x14ac:dyDescent="0.25">
      <c r="G4873" s="10" t="str">
        <f t="shared" si="230"/>
        <v/>
      </c>
      <c r="H4873" t="str">
        <f t="shared" si="231"/>
        <v/>
      </c>
      <c r="M4873" s="34">
        <f t="shared" si="232"/>
        <v>0</v>
      </c>
    </row>
    <row r="4874" spans="7:13" x14ac:dyDescent="0.25">
      <c r="G4874" s="10" t="str">
        <f t="shared" si="230"/>
        <v/>
      </c>
      <c r="H4874" t="str">
        <f t="shared" si="231"/>
        <v/>
      </c>
      <c r="M4874" s="34">
        <f t="shared" si="232"/>
        <v>0</v>
      </c>
    </row>
    <row r="4875" spans="7:13" x14ac:dyDescent="0.25">
      <c r="G4875" s="10" t="str">
        <f t="shared" si="230"/>
        <v/>
      </c>
      <c r="H4875" t="str">
        <f t="shared" si="231"/>
        <v/>
      </c>
      <c r="M4875" s="34">
        <f t="shared" si="232"/>
        <v>0</v>
      </c>
    </row>
    <row r="4876" spans="7:13" x14ac:dyDescent="0.25">
      <c r="G4876" s="10" t="str">
        <f t="shared" si="230"/>
        <v/>
      </c>
      <c r="H4876" t="str">
        <f t="shared" si="231"/>
        <v/>
      </c>
      <c r="M4876" s="34">
        <f t="shared" si="232"/>
        <v>0</v>
      </c>
    </row>
    <row r="4877" spans="7:13" x14ac:dyDescent="0.25">
      <c r="G4877" s="10" t="str">
        <f t="shared" si="230"/>
        <v/>
      </c>
      <c r="H4877" t="str">
        <f t="shared" si="231"/>
        <v/>
      </c>
      <c r="M4877" s="34">
        <f t="shared" si="232"/>
        <v>0</v>
      </c>
    </row>
    <row r="4878" spans="7:13" x14ac:dyDescent="0.25">
      <c r="G4878" s="10" t="str">
        <f t="shared" si="230"/>
        <v/>
      </c>
      <c r="H4878" t="str">
        <f t="shared" si="231"/>
        <v/>
      </c>
      <c r="M4878" s="34">
        <f t="shared" si="232"/>
        <v>0</v>
      </c>
    </row>
    <row r="4879" spans="7:13" x14ac:dyDescent="0.25">
      <c r="G4879" s="10" t="str">
        <f t="shared" si="230"/>
        <v/>
      </c>
      <c r="H4879" t="str">
        <f t="shared" si="231"/>
        <v/>
      </c>
      <c r="M4879" s="34">
        <f t="shared" si="232"/>
        <v>0</v>
      </c>
    </row>
    <row r="4880" spans="7:13" x14ac:dyDescent="0.25">
      <c r="G4880" s="10" t="str">
        <f t="shared" si="230"/>
        <v/>
      </c>
      <c r="H4880" t="str">
        <f t="shared" si="231"/>
        <v/>
      </c>
      <c r="M4880" s="34">
        <f t="shared" si="232"/>
        <v>0</v>
      </c>
    </row>
    <row r="4881" spans="7:13" x14ac:dyDescent="0.25">
      <c r="G4881" s="10" t="str">
        <f t="shared" si="230"/>
        <v/>
      </c>
      <c r="H4881" t="str">
        <f t="shared" si="231"/>
        <v/>
      </c>
      <c r="M4881" s="34">
        <f t="shared" si="232"/>
        <v>0</v>
      </c>
    </row>
    <row r="4882" spans="7:13" x14ac:dyDescent="0.25">
      <c r="G4882" s="10" t="str">
        <f t="shared" si="230"/>
        <v/>
      </c>
      <c r="H4882" t="str">
        <f t="shared" si="231"/>
        <v/>
      </c>
      <c r="M4882" s="34">
        <f t="shared" si="232"/>
        <v>0</v>
      </c>
    </row>
    <row r="4883" spans="7:13" x14ac:dyDescent="0.25">
      <c r="G4883" s="10" t="str">
        <f t="shared" si="230"/>
        <v/>
      </c>
      <c r="H4883" t="str">
        <f t="shared" si="231"/>
        <v/>
      </c>
      <c r="M4883" s="34">
        <f t="shared" si="232"/>
        <v>0</v>
      </c>
    </row>
    <row r="4884" spans="7:13" x14ac:dyDescent="0.25">
      <c r="G4884" s="10" t="str">
        <f t="shared" si="230"/>
        <v/>
      </c>
      <c r="H4884" t="str">
        <f t="shared" si="231"/>
        <v/>
      </c>
      <c r="M4884" s="34">
        <f t="shared" si="232"/>
        <v>0</v>
      </c>
    </row>
    <row r="4885" spans="7:13" x14ac:dyDescent="0.25">
      <c r="G4885" s="10" t="str">
        <f t="shared" si="230"/>
        <v/>
      </c>
      <c r="H4885" t="str">
        <f t="shared" si="231"/>
        <v/>
      </c>
      <c r="M4885" s="34">
        <f t="shared" si="232"/>
        <v>0</v>
      </c>
    </row>
    <row r="4886" spans="7:13" x14ac:dyDescent="0.25">
      <c r="G4886" s="10" t="str">
        <f t="shared" si="230"/>
        <v/>
      </c>
      <c r="H4886" t="str">
        <f t="shared" si="231"/>
        <v/>
      </c>
      <c r="M4886" s="34">
        <f t="shared" si="232"/>
        <v>0</v>
      </c>
    </row>
    <row r="4887" spans="7:13" x14ac:dyDescent="0.25">
      <c r="G4887" s="10" t="str">
        <f t="shared" si="230"/>
        <v/>
      </c>
      <c r="H4887" t="str">
        <f t="shared" si="231"/>
        <v/>
      </c>
      <c r="M4887" s="34">
        <f t="shared" si="232"/>
        <v>0</v>
      </c>
    </row>
    <row r="4888" spans="7:13" x14ac:dyDescent="0.25">
      <c r="G4888" s="10" t="str">
        <f t="shared" si="230"/>
        <v/>
      </c>
      <c r="H4888" t="str">
        <f t="shared" si="231"/>
        <v/>
      </c>
      <c r="M4888" s="34">
        <f t="shared" si="232"/>
        <v>0</v>
      </c>
    </row>
    <row r="4889" spans="7:13" x14ac:dyDescent="0.25">
      <c r="G4889" s="10" t="str">
        <f t="shared" si="230"/>
        <v/>
      </c>
      <c r="H4889" t="str">
        <f t="shared" si="231"/>
        <v/>
      </c>
      <c r="M4889" s="34">
        <f t="shared" si="232"/>
        <v>0</v>
      </c>
    </row>
    <row r="4890" spans="7:13" x14ac:dyDescent="0.25">
      <c r="G4890" s="10" t="str">
        <f t="shared" si="230"/>
        <v/>
      </c>
      <c r="H4890" t="str">
        <f t="shared" si="231"/>
        <v/>
      </c>
      <c r="M4890" s="34">
        <f t="shared" si="232"/>
        <v>0</v>
      </c>
    </row>
    <row r="4891" spans="7:13" x14ac:dyDescent="0.25">
      <c r="G4891" s="10" t="str">
        <f t="shared" si="230"/>
        <v/>
      </c>
      <c r="H4891" t="str">
        <f t="shared" si="231"/>
        <v/>
      </c>
      <c r="M4891" s="34">
        <f t="shared" si="232"/>
        <v>0</v>
      </c>
    </row>
    <row r="4892" spans="7:13" x14ac:dyDescent="0.25">
      <c r="G4892" s="10" t="str">
        <f t="shared" si="230"/>
        <v/>
      </c>
      <c r="H4892" t="str">
        <f t="shared" si="231"/>
        <v/>
      </c>
      <c r="M4892" s="34">
        <f t="shared" si="232"/>
        <v>0</v>
      </c>
    </row>
    <row r="4893" spans="7:13" x14ac:dyDescent="0.25">
      <c r="G4893" s="10" t="str">
        <f t="shared" si="230"/>
        <v/>
      </c>
      <c r="H4893" t="str">
        <f t="shared" si="231"/>
        <v/>
      </c>
      <c r="M4893" s="34">
        <f t="shared" si="232"/>
        <v>0</v>
      </c>
    </row>
    <row r="4894" spans="7:13" x14ac:dyDescent="0.25">
      <c r="G4894" s="10" t="str">
        <f t="shared" si="230"/>
        <v/>
      </c>
      <c r="H4894" t="str">
        <f t="shared" si="231"/>
        <v/>
      </c>
      <c r="M4894" s="34">
        <f t="shared" si="232"/>
        <v>0</v>
      </c>
    </row>
    <row r="4895" spans="7:13" x14ac:dyDescent="0.25">
      <c r="G4895" s="10" t="str">
        <f t="shared" si="230"/>
        <v/>
      </c>
      <c r="H4895" t="str">
        <f t="shared" si="231"/>
        <v/>
      </c>
      <c r="M4895" s="34">
        <f t="shared" si="232"/>
        <v>0</v>
      </c>
    </row>
    <row r="4896" spans="7:13" x14ac:dyDescent="0.25">
      <c r="G4896" s="10" t="str">
        <f t="shared" si="230"/>
        <v/>
      </c>
      <c r="H4896" t="str">
        <f t="shared" si="231"/>
        <v/>
      </c>
      <c r="M4896" s="34">
        <f t="shared" si="232"/>
        <v>0</v>
      </c>
    </row>
    <row r="4897" spans="7:13" x14ac:dyDescent="0.25">
      <c r="G4897" s="10" t="str">
        <f t="shared" si="230"/>
        <v/>
      </c>
      <c r="H4897" t="str">
        <f t="shared" si="231"/>
        <v/>
      </c>
      <c r="M4897" s="34">
        <f t="shared" si="232"/>
        <v>0</v>
      </c>
    </row>
    <row r="4898" spans="7:13" x14ac:dyDescent="0.25">
      <c r="G4898" s="10" t="str">
        <f t="shared" si="230"/>
        <v/>
      </c>
      <c r="H4898" t="str">
        <f t="shared" si="231"/>
        <v/>
      </c>
      <c r="M4898" s="34">
        <f t="shared" si="232"/>
        <v>0</v>
      </c>
    </row>
    <row r="4899" spans="7:13" x14ac:dyDescent="0.25">
      <c r="G4899" s="10" t="str">
        <f t="shared" si="230"/>
        <v/>
      </c>
      <c r="H4899" t="str">
        <f t="shared" si="231"/>
        <v/>
      </c>
      <c r="M4899" s="34">
        <f t="shared" si="232"/>
        <v>0</v>
      </c>
    </row>
    <row r="4900" spans="7:13" x14ac:dyDescent="0.25">
      <c r="G4900" s="10" t="str">
        <f t="shared" si="230"/>
        <v/>
      </c>
      <c r="H4900" t="str">
        <f t="shared" si="231"/>
        <v/>
      </c>
      <c r="M4900" s="34">
        <f t="shared" si="232"/>
        <v>0</v>
      </c>
    </row>
    <row r="4901" spans="7:13" x14ac:dyDescent="0.25">
      <c r="G4901" s="10" t="str">
        <f t="shared" si="230"/>
        <v/>
      </c>
      <c r="H4901" t="str">
        <f t="shared" si="231"/>
        <v/>
      </c>
      <c r="M4901" s="34">
        <f t="shared" si="232"/>
        <v>0</v>
      </c>
    </row>
    <row r="4902" spans="7:13" x14ac:dyDescent="0.25">
      <c r="G4902" s="10" t="str">
        <f t="shared" si="230"/>
        <v/>
      </c>
      <c r="H4902" t="str">
        <f t="shared" si="231"/>
        <v/>
      </c>
      <c r="M4902" s="34">
        <f t="shared" si="232"/>
        <v>0</v>
      </c>
    </row>
    <row r="4903" spans="7:13" x14ac:dyDescent="0.25">
      <c r="G4903" s="10" t="str">
        <f t="shared" si="230"/>
        <v/>
      </c>
      <c r="H4903" t="str">
        <f t="shared" si="231"/>
        <v/>
      </c>
      <c r="M4903" s="34">
        <f t="shared" si="232"/>
        <v>0</v>
      </c>
    </row>
    <row r="4904" spans="7:13" x14ac:dyDescent="0.25">
      <c r="G4904" s="10" t="str">
        <f t="shared" si="230"/>
        <v/>
      </c>
      <c r="H4904" t="str">
        <f t="shared" si="231"/>
        <v/>
      </c>
      <c r="M4904" s="34">
        <f t="shared" si="232"/>
        <v>0</v>
      </c>
    </row>
    <row r="4905" spans="7:13" x14ac:dyDescent="0.25">
      <c r="G4905" s="10" t="str">
        <f t="shared" si="230"/>
        <v/>
      </c>
      <c r="H4905" t="str">
        <f t="shared" si="231"/>
        <v/>
      </c>
      <c r="M4905" s="34">
        <f t="shared" si="232"/>
        <v>0</v>
      </c>
    </row>
    <row r="4906" spans="7:13" x14ac:dyDescent="0.25">
      <c r="G4906" s="10" t="str">
        <f t="shared" si="230"/>
        <v/>
      </c>
      <c r="H4906" t="str">
        <f t="shared" si="231"/>
        <v/>
      </c>
      <c r="M4906" s="34">
        <f t="shared" si="232"/>
        <v>0</v>
      </c>
    </row>
    <row r="4907" spans="7:13" x14ac:dyDescent="0.25">
      <c r="G4907" s="10" t="str">
        <f t="shared" si="230"/>
        <v/>
      </c>
      <c r="H4907" t="str">
        <f t="shared" si="231"/>
        <v/>
      </c>
      <c r="M4907" s="34">
        <f t="shared" si="232"/>
        <v>0</v>
      </c>
    </row>
    <row r="4908" spans="7:13" x14ac:dyDescent="0.25">
      <c r="G4908" s="10" t="str">
        <f t="shared" si="230"/>
        <v/>
      </c>
      <c r="H4908" t="str">
        <f t="shared" si="231"/>
        <v/>
      </c>
      <c r="M4908" s="34">
        <f t="shared" si="232"/>
        <v>0</v>
      </c>
    </row>
    <row r="4909" spans="7:13" x14ac:dyDescent="0.25">
      <c r="G4909" s="10" t="str">
        <f t="shared" si="230"/>
        <v/>
      </c>
      <c r="H4909" t="str">
        <f t="shared" si="231"/>
        <v/>
      </c>
      <c r="M4909" s="34">
        <f t="shared" si="232"/>
        <v>0</v>
      </c>
    </row>
    <row r="4910" spans="7:13" x14ac:dyDescent="0.25">
      <c r="G4910" s="10" t="str">
        <f t="shared" si="230"/>
        <v/>
      </c>
      <c r="H4910" t="str">
        <f t="shared" si="231"/>
        <v/>
      </c>
      <c r="M4910" s="34">
        <f t="shared" si="232"/>
        <v>0</v>
      </c>
    </row>
    <row r="4911" spans="7:13" x14ac:dyDescent="0.25">
      <c r="G4911" s="10" t="str">
        <f t="shared" si="230"/>
        <v/>
      </c>
      <c r="H4911" t="str">
        <f t="shared" si="231"/>
        <v/>
      </c>
      <c r="M4911" s="34">
        <f t="shared" si="232"/>
        <v>0</v>
      </c>
    </row>
    <row r="4912" spans="7:13" x14ac:dyDescent="0.25">
      <c r="G4912" s="10" t="str">
        <f t="shared" si="230"/>
        <v/>
      </c>
      <c r="H4912" t="str">
        <f t="shared" si="231"/>
        <v/>
      </c>
      <c r="M4912" s="34">
        <f t="shared" si="232"/>
        <v>0</v>
      </c>
    </row>
    <row r="4913" spans="7:13" x14ac:dyDescent="0.25">
      <c r="G4913" s="10" t="str">
        <f t="shared" si="230"/>
        <v/>
      </c>
      <c r="H4913" t="str">
        <f t="shared" si="231"/>
        <v/>
      </c>
      <c r="M4913" s="34">
        <f t="shared" si="232"/>
        <v>0</v>
      </c>
    </row>
    <row r="4914" spans="7:13" x14ac:dyDescent="0.25">
      <c r="G4914" s="10" t="str">
        <f t="shared" si="230"/>
        <v/>
      </c>
      <c r="H4914" t="str">
        <f t="shared" si="231"/>
        <v/>
      </c>
      <c r="M4914" s="34">
        <f t="shared" si="232"/>
        <v>0</v>
      </c>
    </row>
    <row r="4915" spans="7:13" x14ac:dyDescent="0.25">
      <c r="G4915" s="10" t="str">
        <f t="shared" si="230"/>
        <v/>
      </c>
      <c r="H4915" t="str">
        <f t="shared" si="231"/>
        <v/>
      </c>
      <c r="M4915" s="34">
        <f t="shared" si="232"/>
        <v>0</v>
      </c>
    </row>
    <row r="4916" spans="7:13" x14ac:dyDescent="0.25">
      <c r="G4916" s="10" t="str">
        <f t="shared" si="230"/>
        <v/>
      </c>
      <c r="H4916" t="str">
        <f t="shared" si="231"/>
        <v/>
      </c>
      <c r="M4916" s="34">
        <f t="shared" si="232"/>
        <v>0</v>
      </c>
    </row>
    <row r="4917" spans="7:13" x14ac:dyDescent="0.25">
      <c r="G4917" s="10" t="str">
        <f t="shared" si="230"/>
        <v/>
      </c>
      <c r="H4917" t="str">
        <f t="shared" si="231"/>
        <v/>
      </c>
      <c r="M4917" s="34">
        <f t="shared" si="232"/>
        <v>0</v>
      </c>
    </row>
    <row r="4918" spans="7:13" x14ac:dyDescent="0.25">
      <c r="G4918" s="10" t="str">
        <f t="shared" si="230"/>
        <v/>
      </c>
      <c r="H4918" t="str">
        <f t="shared" si="231"/>
        <v/>
      </c>
      <c r="M4918" s="34">
        <f t="shared" si="232"/>
        <v>0</v>
      </c>
    </row>
    <row r="4919" spans="7:13" x14ac:dyDescent="0.25">
      <c r="G4919" s="10" t="str">
        <f t="shared" si="230"/>
        <v/>
      </c>
      <c r="H4919" t="str">
        <f t="shared" si="231"/>
        <v/>
      </c>
      <c r="M4919" s="34">
        <f t="shared" si="232"/>
        <v>0</v>
      </c>
    </row>
    <row r="4920" spans="7:13" x14ac:dyDescent="0.25">
      <c r="G4920" s="10" t="str">
        <f t="shared" si="230"/>
        <v/>
      </c>
      <c r="H4920" t="str">
        <f t="shared" si="231"/>
        <v/>
      </c>
      <c r="M4920" s="34">
        <f t="shared" si="232"/>
        <v>0</v>
      </c>
    </row>
    <row r="4921" spans="7:13" x14ac:dyDescent="0.25">
      <c r="G4921" s="10" t="str">
        <f t="shared" si="230"/>
        <v/>
      </c>
      <c r="H4921" t="str">
        <f t="shared" si="231"/>
        <v/>
      </c>
      <c r="M4921" s="34">
        <f t="shared" si="232"/>
        <v>0</v>
      </c>
    </row>
    <row r="4922" spans="7:13" x14ac:dyDescent="0.25">
      <c r="G4922" s="10" t="str">
        <f t="shared" si="230"/>
        <v/>
      </c>
      <c r="H4922" t="str">
        <f t="shared" si="231"/>
        <v/>
      </c>
      <c r="M4922" s="34">
        <f t="shared" si="232"/>
        <v>0</v>
      </c>
    </row>
    <row r="4923" spans="7:13" x14ac:dyDescent="0.25">
      <c r="G4923" s="10" t="str">
        <f t="shared" si="230"/>
        <v/>
      </c>
      <c r="H4923" t="str">
        <f t="shared" si="231"/>
        <v/>
      </c>
      <c r="M4923" s="34">
        <f t="shared" si="232"/>
        <v>0</v>
      </c>
    </row>
    <row r="4924" spans="7:13" x14ac:dyDescent="0.25">
      <c r="G4924" s="10" t="str">
        <f t="shared" si="230"/>
        <v/>
      </c>
      <c r="H4924" t="str">
        <f t="shared" si="231"/>
        <v/>
      </c>
      <c r="M4924" s="34">
        <f t="shared" si="232"/>
        <v>0</v>
      </c>
    </row>
    <row r="4925" spans="7:13" x14ac:dyDescent="0.25">
      <c r="G4925" s="10" t="str">
        <f t="shared" si="230"/>
        <v/>
      </c>
      <c r="H4925" t="str">
        <f t="shared" si="231"/>
        <v/>
      </c>
      <c r="M4925" s="34">
        <f t="shared" si="232"/>
        <v>0</v>
      </c>
    </row>
    <row r="4926" spans="7:13" x14ac:dyDescent="0.25">
      <c r="G4926" s="10" t="str">
        <f t="shared" si="230"/>
        <v/>
      </c>
      <c r="H4926" t="str">
        <f t="shared" si="231"/>
        <v/>
      </c>
      <c r="M4926" s="34">
        <f t="shared" si="232"/>
        <v>0</v>
      </c>
    </row>
    <row r="4927" spans="7:13" x14ac:dyDescent="0.25">
      <c r="G4927" s="10" t="str">
        <f t="shared" si="230"/>
        <v/>
      </c>
      <c r="H4927" t="str">
        <f t="shared" si="231"/>
        <v/>
      </c>
      <c r="M4927" s="34">
        <f t="shared" si="232"/>
        <v>0</v>
      </c>
    </row>
    <row r="4928" spans="7:13" x14ac:dyDescent="0.25">
      <c r="G4928" s="10" t="str">
        <f t="shared" si="230"/>
        <v/>
      </c>
      <c r="H4928" t="str">
        <f t="shared" si="231"/>
        <v/>
      </c>
      <c r="M4928" s="34">
        <f t="shared" si="232"/>
        <v>0</v>
      </c>
    </row>
    <row r="4929" spans="7:13" x14ac:dyDescent="0.25">
      <c r="G4929" s="10" t="str">
        <f t="shared" si="230"/>
        <v/>
      </c>
      <c r="H4929" t="str">
        <f t="shared" si="231"/>
        <v/>
      </c>
      <c r="M4929" s="34">
        <f t="shared" si="232"/>
        <v>0</v>
      </c>
    </row>
    <row r="4930" spans="7:13" x14ac:dyDescent="0.25">
      <c r="G4930" s="10" t="str">
        <f t="shared" ref="G4930:G4993" si="233">IF(F4930&gt;0,"RECETTE",IF(F4930&lt;0,"DÉPENSE",""))</f>
        <v/>
      </c>
      <c r="H4930" t="str">
        <f t="shared" ref="H4930:H4993" si="234">+IF(ISNUMBER(D4930),D4930,"")</f>
        <v/>
      </c>
      <c r="M4930" s="34">
        <f t="shared" si="232"/>
        <v>0</v>
      </c>
    </row>
    <row r="4931" spans="7:13" x14ac:dyDescent="0.25">
      <c r="G4931" s="10" t="str">
        <f t="shared" si="233"/>
        <v/>
      </c>
      <c r="H4931" t="str">
        <f t="shared" si="234"/>
        <v/>
      </c>
      <c r="M4931" s="34">
        <f t="shared" ref="M4931:M4994" si="235">IF(AND(E4931="Chèque",G4931="RECETTE"),F4931,0)</f>
        <v>0</v>
      </c>
    </row>
    <row r="4932" spans="7:13" x14ac:dyDescent="0.25">
      <c r="G4932" s="10" t="str">
        <f t="shared" si="233"/>
        <v/>
      </c>
      <c r="H4932" t="str">
        <f t="shared" si="234"/>
        <v/>
      </c>
      <c r="M4932" s="34">
        <f t="shared" si="235"/>
        <v>0</v>
      </c>
    </row>
    <row r="4933" spans="7:13" x14ac:dyDescent="0.25">
      <c r="G4933" s="10" t="str">
        <f t="shared" si="233"/>
        <v/>
      </c>
      <c r="H4933" t="str">
        <f t="shared" si="234"/>
        <v/>
      </c>
      <c r="M4933" s="34">
        <f t="shared" si="235"/>
        <v>0</v>
      </c>
    </row>
    <row r="4934" spans="7:13" x14ac:dyDescent="0.25">
      <c r="G4934" s="10" t="str">
        <f t="shared" si="233"/>
        <v/>
      </c>
      <c r="H4934" t="str">
        <f t="shared" si="234"/>
        <v/>
      </c>
      <c r="M4934" s="34">
        <f t="shared" si="235"/>
        <v>0</v>
      </c>
    </row>
    <row r="4935" spans="7:13" x14ac:dyDescent="0.25">
      <c r="G4935" s="10" t="str">
        <f t="shared" si="233"/>
        <v/>
      </c>
      <c r="H4935" t="str">
        <f t="shared" si="234"/>
        <v/>
      </c>
      <c r="M4935" s="34">
        <f t="shared" si="235"/>
        <v>0</v>
      </c>
    </row>
    <row r="4936" spans="7:13" x14ac:dyDescent="0.25">
      <c r="G4936" s="10" t="str">
        <f t="shared" si="233"/>
        <v/>
      </c>
      <c r="H4936" t="str">
        <f t="shared" si="234"/>
        <v/>
      </c>
      <c r="M4936" s="34">
        <f t="shared" si="235"/>
        <v>0</v>
      </c>
    </row>
    <row r="4937" spans="7:13" x14ac:dyDescent="0.25">
      <c r="G4937" s="10" t="str">
        <f t="shared" si="233"/>
        <v/>
      </c>
      <c r="H4937" t="str">
        <f t="shared" si="234"/>
        <v/>
      </c>
      <c r="M4937" s="34">
        <f t="shared" si="235"/>
        <v>0</v>
      </c>
    </row>
    <row r="4938" spans="7:13" x14ac:dyDescent="0.25">
      <c r="G4938" s="10" t="str">
        <f t="shared" si="233"/>
        <v/>
      </c>
      <c r="H4938" t="str">
        <f t="shared" si="234"/>
        <v/>
      </c>
      <c r="M4938" s="34">
        <f t="shared" si="235"/>
        <v>0</v>
      </c>
    </row>
    <row r="4939" spans="7:13" x14ac:dyDescent="0.25">
      <c r="G4939" s="10" t="str">
        <f t="shared" si="233"/>
        <v/>
      </c>
      <c r="H4939" t="str">
        <f t="shared" si="234"/>
        <v/>
      </c>
      <c r="M4939" s="34">
        <f t="shared" si="235"/>
        <v>0</v>
      </c>
    </row>
    <row r="4940" spans="7:13" x14ac:dyDescent="0.25">
      <c r="G4940" s="10" t="str">
        <f t="shared" si="233"/>
        <v/>
      </c>
      <c r="H4940" t="str">
        <f t="shared" si="234"/>
        <v/>
      </c>
      <c r="M4940" s="34">
        <f t="shared" si="235"/>
        <v>0</v>
      </c>
    </row>
    <row r="4941" spans="7:13" x14ac:dyDescent="0.25">
      <c r="G4941" s="10" t="str">
        <f t="shared" si="233"/>
        <v/>
      </c>
      <c r="H4941" t="str">
        <f t="shared" si="234"/>
        <v/>
      </c>
      <c r="M4941" s="34">
        <f t="shared" si="235"/>
        <v>0</v>
      </c>
    </row>
    <row r="4942" spans="7:13" x14ac:dyDescent="0.25">
      <c r="G4942" s="10" t="str">
        <f t="shared" si="233"/>
        <v/>
      </c>
      <c r="H4942" t="str">
        <f t="shared" si="234"/>
        <v/>
      </c>
      <c r="M4942" s="34">
        <f t="shared" si="235"/>
        <v>0</v>
      </c>
    </row>
    <row r="4943" spans="7:13" x14ac:dyDescent="0.25">
      <c r="G4943" s="10" t="str">
        <f t="shared" si="233"/>
        <v/>
      </c>
      <c r="H4943" t="str">
        <f t="shared" si="234"/>
        <v/>
      </c>
      <c r="M4943" s="34">
        <f t="shared" si="235"/>
        <v>0</v>
      </c>
    </row>
    <row r="4944" spans="7:13" x14ac:dyDescent="0.25">
      <c r="G4944" s="10" t="str">
        <f t="shared" si="233"/>
        <v/>
      </c>
      <c r="H4944" t="str">
        <f t="shared" si="234"/>
        <v/>
      </c>
      <c r="M4944" s="34">
        <f t="shared" si="235"/>
        <v>0</v>
      </c>
    </row>
    <row r="4945" spans="7:13" x14ac:dyDescent="0.25">
      <c r="G4945" s="10" t="str">
        <f t="shared" si="233"/>
        <v/>
      </c>
      <c r="H4945" t="str">
        <f t="shared" si="234"/>
        <v/>
      </c>
      <c r="M4945" s="34">
        <f t="shared" si="235"/>
        <v>0</v>
      </c>
    </row>
    <row r="4946" spans="7:13" x14ac:dyDescent="0.25">
      <c r="G4946" s="10" t="str">
        <f t="shared" si="233"/>
        <v/>
      </c>
      <c r="H4946" t="str">
        <f t="shared" si="234"/>
        <v/>
      </c>
      <c r="M4946" s="34">
        <f t="shared" si="235"/>
        <v>0</v>
      </c>
    </row>
    <row r="4947" spans="7:13" x14ac:dyDescent="0.25">
      <c r="G4947" s="10" t="str">
        <f t="shared" si="233"/>
        <v/>
      </c>
      <c r="H4947" t="str">
        <f t="shared" si="234"/>
        <v/>
      </c>
      <c r="M4947" s="34">
        <f t="shared" si="235"/>
        <v>0</v>
      </c>
    </row>
    <row r="4948" spans="7:13" x14ac:dyDescent="0.25">
      <c r="G4948" s="10" t="str">
        <f t="shared" si="233"/>
        <v/>
      </c>
      <c r="H4948" t="str">
        <f t="shared" si="234"/>
        <v/>
      </c>
      <c r="M4948" s="34">
        <f t="shared" si="235"/>
        <v>0</v>
      </c>
    </row>
    <row r="4949" spans="7:13" x14ac:dyDescent="0.25">
      <c r="G4949" s="10" t="str">
        <f t="shared" si="233"/>
        <v/>
      </c>
      <c r="H4949" t="str">
        <f t="shared" si="234"/>
        <v/>
      </c>
      <c r="M4949" s="34">
        <f t="shared" si="235"/>
        <v>0</v>
      </c>
    </row>
    <row r="4950" spans="7:13" x14ac:dyDescent="0.25">
      <c r="G4950" s="10" t="str">
        <f t="shared" si="233"/>
        <v/>
      </c>
      <c r="H4950" t="str">
        <f t="shared" si="234"/>
        <v/>
      </c>
      <c r="M4950" s="34">
        <f t="shared" si="235"/>
        <v>0</v>
      </c>
    </row>
    <row r="4951" spans="7:13" x14ac:dyDescent="0.25">
      <c r="G4951" s="10" t="str">
        <f t="shared" si="233"/>
        <v/>
      </c>
      <c r="H4951" t="str">
        <f t="shared" si="234"/>
        <v/>
      </c>
      <c r="M4951" s="34">
        <f t="shared" si="235"/>
        <v>0</v>
      </c>
    </row>
    <row r="4952" spans="7:13" x14ac:dyDescent="0.25">
      <c r="G4952" s="10" t="str">
        <f t="shared" si="233"/>
        <v/>
      </c>
      <c r="H4952" t="str">
        <f t="shared" si="234"/>
        <v/>
      </c>
      <c r="M4952" s="34">
        <f t="shared" si="235"/>
        <v>0</v>
      </c>
    </row>
    <row r="4953" spans="7:13" x14ac:dyDescent="0.25">
      <c r="G4953" s="10" t="str">
        <f t="shared" si="233"/>
        <v/>
      </c>
      <c r="H4953" t="str">
        <f t="shared" si="234"/>
        <v/>
      </c>
      <c r="M4953" s="34">
        <f t="shared" si="235"/>
        <v>0</v>
      </c>
    </row>
    <row r="4954" spans="7:13" x14ac:dyDescent="0.25">
      <c r="G4954" s="10" t="str">
        <f t="shared" si="233"/>
        <v/>
      </c>
      <c r="H4954" t="str">
        <f t="shared" si="234"/>
        <v/>
      </c>
      <c r="M4954" s="34">
        <f t="shared" si="235"/>
        <v>0</v>
      </c>
    </row>
    <row r="4955" spans="7:13" x14ac:dyDescent="0.25">
      <c r="G4955" s="10" t="str">
        <f t="shared" si="233"/>
        <v/>
      </c>
      <c r="H4955" t="str">
        <f t="shared" si="234"/>
        <v/>
      </c>
      <c r="M4955" s="34">
        <f t="shared" si="235"/>
        <v>0</v>
      </c>
    </row>
    <row r="4956" spans="7:13" x14ac:dyDescent="0.25">
      <c r="G4956" s="10" t="str">
        <f t="shared" si="233"/>
        <v/>
      </c>
      <c r="H4956" t="str">
        <f t="shared" si="234"/>
        <v/>
      </c>
      <c r="M4956" s="34">
        <f t="shared" si="235"/>
        <v>0</v>
      </c>
    </row>
    <row r="4957" spans="7:13" x14ac:dyDescent="0.25">
      <c r="G4957" s="10" t="str">
        <f t="shared" si="233"/>
        <v/>
      </c>
      <c r="H4957" t="str">
        <f t="shared" si="234"/>
        <v/>
      </c>
      <c r="M4957" s="34">
        <f t="shared" si="235"/>
        <v>0</v>
      </c>
    </row>
    <row r="4958" spans="7:13" x14ac:dyDescent="0.25">
      <c r="G4958" s="10" t="str">
        <f t="shared" si="233"/>
        <v/>
      </c>
      <c r="H4958" t="str">
        <f t="shared" si="234"/>
        <v/>
      </c>
      <c r="M4958" s="34">
        <f t="shared" si="235"/>
        <v>0</v>
      </c>
    </row>
    <row r="4959" spans="7:13" x14ac:dyDescent="0.25">
      <c r="G4959" s="10" t="str">
        <f t="shared" si="233"/>
        <v/>
      </c>
      <c r="H4959" t="str">
        <f t="shared" si="234"/>
        <v/>
      </c>
      <c r="M4959" s="34">
        <f t="shared" si="235"/>
        <v>0</v>
      </c>
    </row>
    <row r="4960" spans="7:13" x14ac:dyDescent="0.25">
      <c r="G4960" s="10" t="str">
        <f t="shared" si="233"/>
        <v/>
      </c>
      <c r="H4960" t="str">
        <f t="shared" si="234"/>
        <v/>
      </c>
      <c r="M4960" s="34">
        <f t="shared" si="235"/>
        <v>0</v>
      </c>
    </row>
    <row r="4961" spans="7:13" x14ac:dyDescent="0.25">
      <c r="G4961" s="10" t="str">
        <f t="shared" si="233"/>
        <v/>
      </c>
      <c r="H4961" t="str">
        <f t="shared" si="234"/>
        <v/>
      </c>
      <c r="M4961" s="34">
        <f t="shared" si="235"/>
        <v>0</v>
      </c>
    </row>
    <row r="4962" spans="7:13" x14ac:dyDescent="0.25">
      <c r="G4962" s="10" t="str">
        <f t="shared" si="233"/>
        <v/>
      </c>
      <c r="H4962" t="str">
        <f t="shared" si="234"/>
        <v/>
      </c>
      <c r="M4962" s="34">
        <f t="shared" si="235"/>
        <v>0</v>
      </c>
    </row>
    <row r="4963" spans="7:13" x14ac:dyDescent="0.25">
      <c r="G4963" s="10" t="str">
        <f t="shared" si="233"/>
        <v/>
      </c>
      <c r="H4963" t="str">
        <f t="shared" si="234"/>
        <v/>
      </c>
      <c r="M4963" s="34">
        <f t="shared" si="235"/>
        <v>0</v>
      </c>
    </row>
    <row r="4964" spans="7:13" x14ac:dyDescent="0.25">
      <c r="G4964" s="10" t="str">
        <f t="shared" si="233"/>
        <v/>
      </c>
      <c r="H4964" t="str">
        <f t="shared" si="234"/>
        <v/>
      </c>
      <c r="M4964" s="34">
        <f t="shared" si="235"/>
        <v>0</v>
      </c>
    </row>
    <row r="4965" spans="7:13" x14ac:dyDescent="0.25">
      <c r="G4965" s="10" t="str">
        <f t="shared" si="233"/>
        <v/>
      </c>
      <c r="H4965" t="str">
        <f t="shared" si="234"/>
        <v/>
      </c>
      <c r="M4965" s="34">
        <f t="shared" si="235"/>
        <v>0</v>
      </c>
    </row>
    <row r="4966" spans="7:13" x14ac:dyDescent="0.25">
      <c r="G4966" s="10" t="str">
        <f t="shared" si="233"/>
        <v/>
      </c>
      <c r="H4966" t="str">
        <f t="shared" si="234"/>
        <v/>
      </c>
      <c r="M4966" s="34">
        <f t="shared" si="235"/>
        <v>0</v>
      </c>
    </row>
    <row r="4967" spans="7:13" x14ac:dyDescent="0.25">
      <c r="G4967" s="10" t="str">
        <f t="shared" si="233"/>
        <v/>
      </c>
      <c r="H4967" t="str">
        <f t="shared" si="234"/>
        <v/>
      </c>
      <c r="M4967" s="34">
        <f t="shared" si="235"/>
        <v>0</v>
      </c>
    </row>
    <row r="4968" spans="7:13" x14ac:dyDescent="0.25">
      <c r="G4968" s="10" t="str">
        <f t="shared" si="233"/>
        <v/>
      </c>
      <c r="H4968" t="str">
        <f t="shared" si="234"/>
        <v/>
      </c>
      <c r="M4968" s="34">
        <f t="shared" si="235"/>
        <v>0</v>
      </c>
    </row>
    <row r="4969" spans="7:13" x14ac:dyDescent="0.25">
      <c r="G4969" s="10" t="str">
        <f t="shared" si="233"/>
        <v/>
      </c>
      <c r="H4969" t="str">
        <f t="shared" si="234"/>
        <v/>
      </c>
      <c r="M4969" s="34">
        <f t="shared" si="235"/>
        <v>0</v>
      </c>
    </row>
    <row r="4970" spans="7:13" x14ac:dyDescent="0.25">
      <c r="G4970" s="10" t="str">
        <f t="shared" si="233"/>
        <v/>
      </c>
      <c r="H4970" t="str">
        <f t="shared" si="234"/>
        <v/>
      </c>
      <c r="M4970" s="34">
        <f t="shared" si="235"/>
        <v>0</v>
      </c>
    </row>
    <row r="4971" spans="7:13" x14ac:dyDescent="0.25">
      <c r="G4971" s="10" t="str">
        <f t="shared" si="233"/>
        <v/>
      </c>
      <c r="H4971" t="str">
        <f t="shared" si="234"/>
        <v/>
      </c>
      <c r="M4971" s="34">
        <f t="shared" si="235"/>
        <v>0</v>
      </c>
    </row>
    <row r="4972" spans="7:13" x14ac:dyDescent="0.25">
      <c r="G4972" s="10" t="str">
        <f t="shared" si="233"/>
        <v/>
      </c>
      <c r="H4972" t="str">
        <f t="shared" si="234"/>
        <v/>
      </c>
      <c r="M4972" s="34">
        <f t="shared" si="235"/>
        <v>0</v>
      </c>
    </row>
    <row r="4973" spans="7:13" x14ac:dyDescent="0.25">
      <c r="G4973" s="10" t="str">
        <f t="shared" si="233"/>
        <v/>
      </c>
      <c r="H4973" t="str">
        <f t="shared" si="234"/>
        <v/>
      </c>
      <c r="M4973" s="34">
        <f t="shared" si="235"/>
        <v>0</v>
      </c>
    </row>
    <row r="4974" spans="7:13" x14ac:dyDescent="0.25">
      <c r="G4974" s="10" t="str">
        <f t="shared" si="233"/>
        <v/>
      </c>
      <c r="H4974" t="str">
        <f t="shared" si="234"/>
        <v/>
      </c>
      <c r="M4974" s="34">
        <f t="shared" si="235"/>
        <v>0</v>
      </c>
    </row>
    <row r="4975" spans="7:13" x14ac:dyDescent="0.25">
      <c r="G4975" s="10" t="str">
        <f t="shared" si="233"/>
        <v/>
      </c>
      <c r="H4975" t="str">
        <f t="shared" si="234"/>
        <v/>
      </c>
      <c r="M4975" s="34">
        <f t="shared" si="235"/>
        <v>0</v>
      </c>
    </row>
    <row r="4976" spans="7:13" x14ac:dyDescent="0.25">
      <c r="G4976" s="10" t="str">
        <f t="shared" si="233"/>
        <v/>
      </c>
      <c r="H4976" t="str">
        <f t="shared" si="234"/>
        <v/>
      </c>
      <c r="M4976" s="34">
        <f t="shared" si="235"/>
        <v>0</v>
      </c>
    </row>
    <row r="4977" spans="7:13" x14ac:dyDescent="0.25">
      <c r="G4977" s="10" t="str">
        <f t="shared" si="233"/>
        <v/>
      </c>
      <c r="H4977" t="str">
        <f t="shared" si="234"/>
        <v/>
      </c>
      <c r="M4977" s="34">
        <f t="shared" si="235"/>
        <v>0</v>
      </c>
    </row>
    <row r="4978" spans="7:13" x14ac:dyDescent="0.25">
      <c r="G4978" s="10" t="str">
        <f t="shared" si="233"/>
        <v/>
      </c>
      <c r="H4978" t="str">
        <f t="shared" si="234"/>
        <v/>
      </c>
      <c r="M4978" s="34">
        <f t="shared" si="235"/>
        <v>0</v>
      </c>
    </row>
    <row r="4979" spans="7:13" x14ac:dyDescent="0.25">
      <c r="G4979" s="10" t="str">
        <f t="shared" si="233"/>
        <v/>
      </c>
      <c r="H4979" t="str">
        <f t="shared" si="234"/>
        <v/>
      </c>
      <c r="M4979" s="34">
        <f t="shared" si="235"/>
        <v>0</v>
      </c>
    </row>
    <row r="4980" spans="7:13" x14ac:dyDescent="0.25">
      <c r="G4980" s="10" t="str">
        <f t="shared" si="233"/>
        <v/>
      </c>
      <c r="H4980" t="str">
        <f t="shared" si="234"/>
        <v/>
      </c>
      <c r="M4980" s="34">
        <f t="shared" si="235"/>
        <v>0</v>
      </c>
    </row>
    <row r="4981" spans="7:13" x14ac:dyDescent="0.25">
      <c r="G4981" s="10" t="str">
        <f t="shared" si="233"/>
        <v/>
      </c>
      <c r="H4981" t="str">
        <f t="shared" si="234"/>
        <v/>
      </c>
      <c r="M4981" s="34">
        <f t="shared" si="235"/>
        <v>0</v>
      </c>
    </row>
    <row r="4982" spans="7:13" x14ac:dyDescent="0.25">
      <c r="G4982" s="10" t="str">
        <f t="shared" si="233"/>
        <v/>
      </c>
      <c r="H4982" t="str">
        <f t="shared" si="234"/>
        <v/>
      </c>
      <c r="M4982" s="34">
        <f t="shared" si="235"/>
        <v>0</v>
      </c>
    </row>
    <row r="4983" spans="7:13" x14ac:dyDescent="0.25">
      <c r="G4983" s="10" t="str">
        <f t="shared" si="233"/>
        <v/>
      </c>
      <c r="H4983" t="str">
        <f t="shared" si="234"/>
        <v/>
      </c>
      <c r="M4983" s="34">
        <f t="shared" si="235"/>
        <v>0</v>
      </c>
    </row>
    <row r="4984" spans="7:13" x14ac:dyDescent="0.25">
      <c r="G4984" s="10" t="str">
        <f t="shared" si="233"/>
        <v/>
      </c>
      <c r="H4984" t="str">
        <f t="shared" si="234"/>
        <v/>
      </c>
      <c r="M4984" s="34">
        <f t="shared" si="235"/>
        <v>0</v>
      </c>
    </row>
    <row r="4985" spans="7:13" x14ac:dyDescent="0.25">
      <c r="G4985" s="10" t="str">
        <f t="shared" si="233"/>
        <v/>
      </c>
      <c r="H4985" t="str">
        <f t="shared" si="234"/>
        <v/>
      </c>
      <c r="M4985" s="34">
        <f t="shared" si="235"/>
        <v>0</v>
      </c>
    </row>
    <row r="4986" spans="7:13" x14ac:dyDescent="0.25">
      <c r="G4986" s="10" t="str">
        <f t="shared" si="233"/>
        <v/>
      </c>
      <c r="H4986" t="str">
        <f t="shared" si="234"/>
        <v/>
      </c>
      <c r="M4986" s="34">
        <f t="shared" si="235"/>
        <v>0</v>
      </c>
    </row>
    <row r="4987" spans="7:13" x14ac:dyDescent="0.25">
      <c r="G4987" s="10" t="str">
        <f t="shared" si="233"/>
        <v/>
      </c>
      <c r="H4987" t="str">
        <f t="shared" si="234"/>
        <v/>
      </c>
      <c r="M4987" s="34">
        <f t="shared" si="235"/>
        <v>0</v>
      </c>
    </row>
    <row r="4988" spans="7:13" x14ac:dyDescent="0.25">
      <c r="G4988" s="10" t="str">
        <f t="shared" si="233"/>
        <v/>
      </c>
      <c r="H4988" t="str">
        <f t="shared" si="234"/>
        <v/>
      </c>
      <c r="M4988" s="34">
        <f t="shared" si="235"/>
        <v>0</v>
      </c>
    </row>
    <row r="4989" spans="7:13" x14ac:dyDescent="0.25">
      <c r="G4989" s="10" t="str">
        <f t="shared" si="233"/>
        <v/>
      </c>
      <c r="H4989" t="str">
        <f t="shared" si="234"/>
        <v/>
      </c>
      <c r="M4989" s="34">
        <f t="shared" si="235"/>
        <v>0</v>
      </c>
    </row>
    <row r="4990" spans="7:13" x14ac:dyDescent="0.25">
      <c r="G4990" s="10" t="str">
        <f t="shared" si="233"/>
        <v/>
      </c>
      <c r="H4990" t="str">
        <f t="shared" si="234"/>
        <v/>
      </c>
      <c r="M4990" s="34">
        <f t="shared" si="235"/>
        <v>0</v>
      </c>
    </row>
    <row r="4991" spans="7:13" x14ac:dyDescent="0.25">
      <c r="G4991" s="10" t="str">
        <f t="shared" si="233"/>
        <v/>
      </c>
      <c r="H4991" t="str">
        <f t="shared" si="234"/>
        <v/>
      </c>
      <c r="M4991" s="34">
        <f t="shared" si="235"/>
        <v>0</v>
      </c>
    </row>
    <row r="4992" spans="7:13" x14ac:dyDescent="0.25">
      <c r="G4992" s="10" t="str">
        <f t="shared" si="233"/>
        <v/>
      </c>
      <c r="H4992" t="str">
        <f t="shared" si="234"/>
        <v/>
      </c>
      <c r="M4992" s="34">
        <f t="shared" si="235"/>
        <v>0</v>
      </c>
    </row>
    <row r="4993" spans="7:13" x14ac:dyDescent="0.25">
      <c r="G4993" s="10" t="str">
        <f t="shared" si="233"/>
        <v/>
      </c>
      <c r="H4993" t="str">
        <f t="shared" si="234"/>
        <v/>
      </c>
      <c r="M4993" s="34">
        <f t="shared" si="235"/>
        <v>0</v>
      </c>
    </row>
    <row r="4994" spans="7:13" x14ac:dyDescent="0.25">
      <c r="G4994" s="10" t="str">
        <f t="shared" ref="G4994:G5057" si="236">IF(F4994&gt;0,"RECETTE",IF(F4994&lt;0,"DÉPENSE",""))</f>
        <v/>
      </c>
      <c r="H4994" t="str">
        <f t="shared" ref="H4994:H5057" si="237">+IF(ISNUMBER(D4994),D4994,"")</f>
        <v/>
      </c>
      <c r="M4994" s="34">
        <f t="shared" si="235"/>
        <v>0</v>
      </c>
    </row>
    <row r="4995" spans="7:13" x14ac:dyDescent="0.25">
      <c r="G4995" s="10" t="str">
        <f t="shared" si="236"/>
        <v/>
      </c>
      <c r="H4995" t="str">
        <f t="shared" si="237"/>
        <v/>
      </c>
      <c r="M4995" s="34">
        <f t="shared" ref="M4995:M5058" si="238">IF(AND(E4995="Chèque",G4995="RECETTE"),F4995,0)</f>
        <v>0</v>
      </c>
    </row>
    <row r="4996" spans="7:13" x14ac:dyDescent="0.25">
      <c r="G4996" s="10" t="str">
        <f t="shared" si="236"/>
        <v/>
      </c>
      <c r="H4996" t="str">
        <f t="shared" si="237"/>
        <v/>
      </c>
      <c r="M4996" s="34">
        <f t="shared" si="238"/>
        <v>0</v>
      </c>
    </row>
    <row r="4997" spans="7:13" x14ac:dyDescent="0.25">
      <c r="G4997" s="10" t="str">
        <f t="shared" si="236"/>
        <v/>
      </c>
      <c r="H4997" t="str">
        <f t="shared" si="237"/>
        <v/>
      </c>
      <c r="M4997" s="34">
        <f t="shared" si="238"/>
        <v>0</v>
      </c>
    </row>
    <row r="4998" spans="7:13" x14ac:dyDescent="0.25">
      <c r="G4998" s="10" t="str">
        <f t="shared" si="236"/>
        <v/>
      </c>
      <c r="H4998" t="str">
        <f t="shared" si="237"/>
        <v/>
      </c>
      <c r="M4998" s="34">
        <f t="shared" si="238"/>
        <v>0</v>
      </c>
    </row>
    <row r="4999" spans="7:13" x14ac:dyDescent="0.25">
      <c r="G4999" s="10" t="str">
        <f t="shared" si="236"/>
        <v/>
      </c>
      <c r="H4999" t="str">
        <f t="shared" si="237"/>
        <v/>
      </c>
      <c r="M4999" s="34">
        <f t="shared" si="238"/>
        <v>0</v>
      </c>
    </row>
    <row r="5000" spans="7:13" x14ac:dyDescent="0.25">
      <c r="G5000" s="10" t="str">
        <f t="shared" si="236"/>
        <v/>
      </c>
      <c r="H5000" t="str">
        <f t="shared" si="237"/>
        <v/>
      </c>
      <c r="M5000" s="34">
        <f t="shared" si="238"/>
        <v>0</v>
      </c>
    </row>
    <row r="5001" spans="7:13" x14ac:dyDescent="0.25">
      <c r="G5001" s="10" t="str">
        <f t="shared" si="236"/>
        <v/>
      </c>
      <c r="H5001" t="str">
        <f t="shared" si="237"/>
        <v/>
      </c>
      <c r="M5001" s="34">
        <f t="shared" si="238"/>
        <v>0</v>
      </c>
    </row>
    <row r="5002" spans="7:13" x14ac:dyDescent="0.25">
      <c r="G5002" s="10" t="str">
        <f t="shared" si="236"/>
        <v/>
      </c>
      <c r="H5002" t="str">
        <f t="shared" si="237"/>
        <v/>
      </c>
      <c r="M5002" s="34">
        <f t="shared" si="238"/>
        <v>0</v>
      </c>
    </row>
    <row r="5003" spans="7:13" x14ac:dyDescent="0.25">
      <c r="G5003" s="10" t="str">
        <f t="shared" si="236"/>
        <v/>
      </c>
      <c r="H5003" t="str">
        <f t="shared" si="237"/>
        <v/>
      </c>
      <c r="M5003" s="34">
        <f t="shared" si="238"/>
        <v>0</v>
      </c>
    </row>
    <row r="5004" spans="7:13" x14ac:dyDescent="0.25">
      <c r="G5004" s="10" t="str">
        <f t="shared" si="236"/>
        <v/>
      </c>
      <c r="H5004" t="str">
        <f t="shared" si="237"/>
        <v/>
      </c>
      <c r="M5004" s="34">
        <f t="shared" si="238"/>
        <v>0</v>
      </c>
    </row>
    <row r="5005" spans="7:13" x14ac:dyDescent="0.25">
      <c r="G5005" s="10" t="str">
        <f t="shared" si="236"/>
        <v/>
      </c>
      <c r="H5005" t="str">
        <f t="shared" si="237"/>
        <v/>
      </c>
      <c r="M5005" s="34">
        <f t="shared" si="238"/>
        <v>0</v>
      </c>
    </row>
    <row r="5006" spans="7:13" x14ac:dyDescent="0.25">
      <c r="G5006" s="10" t="str">
        <f t="shared" si="236"/>
        <v/>
      </c>
      <c r="H5006" t="str">
        <f t="shared" si="237"/>
        <v/>
      </c>
      <c r="M5006" s="34">
        <f t="shared" si="238"/>
        <v>0</v>
      </c>
    </row>
    <row r="5007" spans="7:13" x14ac:dyDescent="0.25">
      <c r="G5007" s="10" t="str">
        <f t="shared" si="236"/>
        <v/>
      </c>
      <c r="H5007" t="str">
        <f t="shared" si="237"/>
        <v/>
      </c>
      <c r="M5007" s="34">
        <f t="shared" si="238"/>
        <v>0</v>
      </c>
    </row>
    <row r="5008" spans="7:13" x14ac:dyDescent="0.25">
      <c r="G5008" s="10" t="str">
        <f t="shared" si="236"/>
        <v/>
      </c>
      <c r="H5008" t="str">
        <f t="shared" si="237"/>
        <v/>
      </c>
      <c r="M5008" s="34">
        <f t="shared" si="238"/>
        <v>0</v>
      </c>
    </row>
    <row r="5009" spans="7:13" x14ac:dyDescent="0.25">
      <c r="G5009" s="10" t="str">
        <f t="shared" si="236"/>
        <v/>
      </c>
      <c r="H5009" t="str">
        <f t="shared" si="237"/>
        <v/>
      </c>
      <c r="M5009" s="34">
        <f t="shared" si="238"/>
        <v>0</v>
      </c>
    </row>
    <row r="5010" spans="7:13" x14ac:dyDescent="0.25">
      <c r="G5010" s="10" t="str">
        <f t="shared" si="236"/>
        <v/>
      </c>
      <c r="H5010" t="str">
        <f t="shared" si="237"/>
        <v/>
      </c>
      <c r="M5010" s="34">
        <f t="shared" si="238"/>
        <v>0</v>
      </c>
    </row>
    <row r="5011" spans="7:13" x14ac:dyDescent="0.25">
      <c r="G5011" s="10" t="str">
        <f t="shared" si="236"/>
        <v/>
      </c>
      <c r="H5011" t="str">
        <f t="shared" si="237"/>
        <v/>
      </c>
      <c r="M5011" s="34">
        <f t="shared" si="238"/>
        <v>0</v>
      </c>
    </row>
    <row r="5012" spans="7:13" x14ac:dyDescent="0.25">
      <c r="G5012" s="10" t="str">
        <f t="shared" si="236"/>
        <v/>
      </c>
      <c r="H5012" t="str">
        <f t="shared" si="237"/>
        <v/>
      </c>
      <c r="M5012" s="34">
        <f t="shared" si="238"/>
        <v>0</v>
      </c>
    </row>
    <row r="5013" spans="7:13" x14ac:dyDescent="0.25">
      <c r="G5013" s="10" t="str">
        <f t="shared" si="236"/>
        <v/>
      </c>
      <c r="H5013" t="str">
        <f t="shared" si="237"/>
        <v/>
      </c>
      <c r="M5013" s="34">
        <f t="shared" si="238"/>
        <v>0</v>
      </c>
    </row>
    <row r="5014" spans="7:13" x14ac:dyDescent="0.25">
      <c r="G5014" s="10" t="str">
        <f t="shared" si="236"/>
        <v/>
      </c>
      <c r="H5014" t="str">
        <f t="shared" si="237"/>
        <v/>
      </c>
      <c r="M5014" s="34">
        <f t="shared" si="238"/>
        <v>0</v>
      </c>
    </row>
    <row r="5015" spans="7:13" x14ac:dyDescent="0.25">
      <c r="G5015" s="10" t="str">
        <f t="shared" si="236"/>
        <v/>
      </c>
      <c r="H5015" t="str">
        <f t="shared" si="237"/>
        <v/>
      </c>
      <c r="M5015" s="34">
        <f t="shared" si="238"/>
        <v>0</v>
      </c>
    </row>
    <row r="5016" spans="7:13" x14ac:dyDescent="0.25">
      <c r="G5016" s="10" t="str">
        <f t="shared" si="236"/>
        <v/>
      </c>
      <c r="H5016" t="str">
        <f t="shared" si="237"/>
        <v/>
      </c>
      <c r="M5016" s="34">
        <f t="shared" si="238"/>
        <v>0</v>
      </c>
    </row>
    <row r="5017" spans="7:13" x14ac:dyDescent="0.25">
      <c r="G5017" s="10" t="str">
        <f t="shared" si="236"/>
        <v/>
      </c>
      <c r="H5017" t="str">
        <f t="shared" si="237"/>
        <v/>
      </c>
      <c r="M5017" s="34">
        <f t="shared" si="238"/>
        <v>0</v>
      </c>
    </row>
    <row r="5018" spans="7:13" x14ac:dyDescent="0.25">
      <c r="G5018" s="10" t="str">
        <f t="shared" si="236"/>
        <v/>
      </c>
      <c r="H5018" t="str">
        <f t="shared" si="237"/>
        <v/>
      </c>
      <c r="M5018" s="34">
        <f t="shared" si="238"/>
        <v>0</v>
      </c>
    </row>
    <row r="5019" spans="7:13" x14ac:dyDescent="0.25">
      <c r="G5019" s="10" t="str">
        <f t="shared" si="236"/>
        <v/>
      </c>
      <c r="H5019" t="str">
        <f t="shared" si="237"/>
        <v/>
      </c>
      <c r="M5019" s="34">
        <f t="shared" si="238"/>
        <v>0</v>
      </c>
    </row>
    <row r="5020" spans="7:13" x14ac:dyDescent="0.25">
      <c r="G5020" s="10" t="str">
        <f t="shared" si="236"/>
        <v/>
      </c>
      <c r="H5020" t="str">
        <f t="shared" si="237"/>
        <v/>
      </c>
      <c r="M5020" s="34">
        <f t="shared" si="238"/>
        <v>0</v>
      </c>
    </row>
    <row r="5021" spans="7:13" x14ac:dyDescent="0.25">
      <c r="G5021" s="10" t="str">
        <f t="shared" si="236"/>
        <v/>
      </c>
      <c r="H5021" t="str">
        <f t="shared" si="237"/>
        <v/>
      </c>
      <c r="M5021" s="34">
        <f t="shared" si="238"/>
        <v>0</v>
      </c>
    </row>
    <row r="5022" spans="7:13" x14ac:dyDescent="0.25">
      <c r="G5022" s="10" t="str">
        <f t="shared" si="236"/>
        <v/>
      </c>
      <c r="H5022" t="str">
        <f t="shared" si="237"/>
        <v/>
      </c>
      <c r="M5022" s="34">
        <f t="shared" si="238"/>
        <v>0</v>
      </c>
    </row>
    <row r="5023" spans="7:13" x14ac:dyDescent="0.25">
      <c r="G5023" s="10" t="str">
        <f t="shared" si="236"/>
        <v/>
      </c>
      <c r="H5023" t="str">
        <f t="shared" si="237"/>
        <v/>
      </c>
      <c r="M5023" s="34">
        <f t="shared" si="238"/>
        <v>0</v>
      </c>
    </row>
    <row r="5024" spans="7:13" x14ac:dyDescent="0.25">
      <c r="G5024" s="10" t="str">
        <f t="shared" si="236"/>
        <v/>
      </c>
      <c r="H5024" t="str">
        <f t="shared" si="237"/>
        <v/>
      </c>
      <c r="M5024" s="34">
        <f t="shared" si="238"/>
        <v>0</v>
      </c>
    </row>
    <row r="5025" spans="7:13" x14ac:dyDescent="0.25">
      <c r="G5025" s="10" t="str">
        <f t="shared" si="236"/>
        <v/>
      </c>
      <c r="H5025" t="str">
        <f t="shared" si="237"/>
        <v/>
      </c>
      <c r="M5025" s="34">
        <f t="shared" si="238"/>
        <v>0</v>
      </c>
    </row>
    <row r="5026" spans="7:13" x14ac:dyDescent="0.25">
      <c r="G5026" s="10" t="str">
        <f t="shared" si="236"/>
        <v/>
      </c>
      <c r="H5026" t="str">
        <f t="shared" si="237"/>
        <v/>
      </c>
      <c r="M5026" s="34">
        <f t="shared" si="238"/>
        <v>0</v>
      </c>
    </row>
    <row r="5027" spans="7:13" x14ac:dyDescent="0.25">
      <c r="G5027" s="10" t="str">
        <f t="shared" si="236"/>
        <v/>
      </c>
      <c r="H5027" t="str">
        <f t="shared" si="237"/>
        <v/>
      </c>
      <c r="M5027" s="34">
        <f t="shared" si="238"/>
        <v>0</v>
      </c>
    </row>
    <row r="5028" spans="7:13" x14ac:dyDescent="0.25">
      <c r="G5028" s="10" t="str">
        <f t="shared" si="236"/>
        <v/>
      </c>
      <c r="H5028" t="str">
        <f t="shared" si="237"/>
        <v/>
      </c>
      <c r="M5028" s="34">
        <f t="shared" si="238"/>
        <v>0</v>
      </c>
    </row>
    <row r="5029" spans="7:13" x14ac:dyDescent="0.25">
      <c r="G5029" s="10" t="str">
        <f t="shared" si="236"/>
        <v/>
      </c>
      <c r="H5029" t="str">
        <f t="shared" si="237"/>
        <v/>
      </c>
      <c r="M5029" s="34">
        <f t="shared" si="238"/>
        <v>0</v>
      </c>
    </row>
    <row r="5030" spans="7:13" x14ac:dyDescent="0.25">
      <c r="G5030" s="10" t="str">
        <f t="shared" si="236"/>
        <v/>
      </c>
      <c r="H5030" t="str">
        <f t="shared" si="237"/>
        <v/>
      </c>
      <c r="M5030" s="34">
        <f t="shared" si="238"/>
        <v>0</v>
      </c>
    </row>
    <row r="5031" spans="7:13" x14ac:dyDescent="0.25">
      <c r="G5031" s="10" t="str">
        <f t="shared" si="236"/>
        <v/>
      </c>
      <c r="H5031" t="str">
        <f t="shared" si="237"/>
        <v/>
      </c>
      <c r="M5031" s="34">
        <f t="shared" si="238"/>
        <v>0</v>
      </c>
    </row>
    <row r="5032" spans="7:13" x14ac:dyDescent="0.25">
      <c r="G5032" s="10" t="str">
        <f t="shared" si="236"/>
        <v/>
      </c>
      <c r="H5032" t="str">
        <f t="shared" si="237"/>
        <v/>
      </c>
      <c r="M5032" s="34">
        <f t="shared" si="238"/>
        <v>0</v>
      </c>
    </row>
    <row r="5033" spans="7:13" x14ac:dyDescent="0.25">
      <c r="G5033" s="10" t="str">
        <f t="shared" si="236"/>
        <v/>
      </c>
      <c r="H5033" t="str">
        <f t="shared" si="237"/>
        <v/>
      </c>
      <c r="M5033" s="34">
        <f t="shared" si="238"/>
        <v>0</v>
      </c>
    </row>
    <row r="5034" spans="7:13" x14ac:dyDescent="0.25">
      <c r="G5034" s="10" t="str">
        <f t="shared" si="236"/>
        <v/>
      </c>
      <c r="H5034" t="str">
        <f t="shared" si="237"/>
        <v/>
      </c>
      <c r="M5034" s="34">
        <f t="shared" si="238"/>
        <v>0</v>
      </c>
    </row>
    <row r="5035" spans="7:13" x14ac:dyDescent="0.25">
      <c r="G5035" s="10" t="str">
        <f t="shared" si="236"/>
        <v/>
      </c>
      <c r="H5035" t="str">
        <f t="shared" si="237"/>
        <v/>
      </c>
      <c r="M5035" s="34">
        <f t="shared" si="238"/>
        <v>0</v>
      </c>
    </row>
    <row r="5036" spans="7:13" x14ac:dyDescent="0.25">
      <c r="G5036" s="10" t="str">
        <f t="shared" si="236"/>
        <v/>
      </c>
      <c r="H5036" t="str">
        <f t="shared" si="237"/>
        <v/>
      </c>
      <c r="M5036" s="34">
        <f t="shared" si="238"/>
        <v>0</v>
      </c>
    </row>
    <row r="5037" spans="7:13" x14ac:dyDescent="0.25">
      <c r="G5037" s="10" t="str">
        <f t="shared" si="236"/>
        <v/>
      </c>
      <c r="H5037" t="str">
        <f t="shared" si="237"/>
        <v/>
      </c>
      <c r="M5037" s="34">
        <f t="shared" si="238"/>
        <v>0</v>
      </c>
    </row>
    <row r="5038" spans="7:13" x14ac:dyDescent="0.25">
      <c r="G5038" s="10" t="str">
        <f t="shared" si="236"/>
        <v/>
      </c>
      <c r="H5038" t="str">
        <f t="shared" si="237"/>
        <v/>
      </c>
      <c r="M5038" s="34">
        <f t="shared" si="238"/>
        <v>0</v>
      </c>
    </row>
    <row r="5039" spans="7:13" x14ac:dyDescent="0.25">
      <c r="G5039" s="10" t="str">
        <f t="shared" si="236"/>
        <v/>
      </c>
      <c r="H5039" t="str">
        <f t="shared" si="237"/>
        <v/>
      </c>
      <c r="M5039" s="34">
        <f t="shared" si="238"/>
        <v>0</v>
      </c>
    </row>
    <row r="5040" spans="7:13" x14ac:dyDescent="0.25">
      <c r="G5040" s="10" t="str">
        <f t="shared" si="236"/>
        <v/>
      </c>
      <c r="H5040" t="str">
        <f t="shared" si="237"/>
        <v/>
      </c>
      <c r="M5040" s="34">
        <f t="shared" si="238"/>
        <v>0</v>
      </c>
    </row>
    <row r="5041" spans="7:13" x14ac:dyDescent="0.25">
      <c r="G5041" s="10" t="str">
        <f t="shared" si="236"/>
        <v/>
      </c>
      <c r="H5041" t="str">
        <f t="shared" si="237"/>
        <v/>
      </c>
      <c r="M5041" s="34">
        <f t="shared" si="238"/>
        <v>0</v>
      </c>
    </row>
    <row r="5042" spans="7:13" x14ac:dyDescent="0.25">
      <c r="G5042" s="10" t="str">
        <f t="shared" si="236"/>
        <v/>
      </c>
      <c r="H5042" t="str">
        <f t="shared" si="237"/>
        <v/>
      </c>
      <c r="M5042" s="34">
        <f t="shared" si="238"/>
        <v>0</v>
      </c>
    </row>
    <row r="5043" spans="7:13" x14ac:dyDescent="0.25">
      <c r="G5043" s="10" t="str">
        <f t="shared" si="236"/>
        <v/>
      </c>
      <c r="H5043" t="str">
        <f t="shared" si="237"/>
        <v/>
      </c>
      <c r="M5043" s="34">
        <f t="shared" si="238"/>
        <v>0</v>
      </c>
    </row>
    <row r="5044" spans="7:13" x14ac:dyDescent="0.25">
      <c r="G5044" s="10" t="str">
        <f t="shared" si="236"/>
        <v/>
      </c>
      <c r="H5044" t="str">
        <f t="shared" si="237"/>
        <v/>
      </c>
      <c r="M5044" s="34">
        <f t="shared" si="238"/>
        <v>0</v>
      </c>
    </row>
    <row r="5045" spans="7:13" x14ac:dyDescent="0.25">
      <c r="G5045" s="10" t="str">
        <f t="shared" si="236"/>
        <v/>
      </c>
      <c r="H5045" t="str">
        <f t="shared" si="237"/>
        <v/>
      </c>
      <c r="M5045" s="34">
        <f t="shared" si="238"/>
        <v>0</v>
      </c>
    </row>
    <row r="5046" spans="7:13" x14ac:dyDescent="0.25">
      <c r="G5046" s="10" t="str">
        <f t="shared" si="236"/>
        <v/>
      </c>
      <c r="H5046" t="str">
        <f t="shared" si="237"/>
        <v/>
      </c>
      <c r="M5046" s="34">
        <f t="shared" si="238"/>
        <v>0</v>
      </c>
    </row>
    <row r="5047" spans="7:13" x14ac:dyDescent="0.25">
      <c r="G5047" s="10" t="str">
        <f t="shared" si="236"/>
        <v/>
      </c>
      <c r="H5047" t="str">
        <f t="shared" si="237"/>
        <v/>
      </c>
      <c r="M5047" s="34">
        <f t="shared" si="238"/>
        <v>0</v>
      </c>
    </row>
    <row r="5048" spans="7:13" x14ac:dyDescent="0.25">
      <c r="G5048" s="10" t="str">
        <f t="shared" si="236"/>
        <v/>
      </c>
      <c r="H5048" t="str">
        <f t="shared" si="237"/>
        <v/>
      </c>
      <c r="M5048" s="34">
        <f t="shared" si="238"/>
        <v>0</v>
      </c>
    </row>
    <row r="5049" spans="7:13" x14ac:dyDescent="0.25">
      <c r="G5049" s="10" t="str">
        <f t="shared" si="236"/>
        <v/>
      </c>
      <c r="H5049" t="str">
        <f t="shared" si="237"/>
        <v/>
      </c>
      <c r="M5049" s="34">
        <f t="shared" si="238"/>
        <v>0</v>
      </c>
    </row>
    <row r="5050" spans="7:13" x14ac:dyDescent="0.25">
      <c r="G5050" s="10" t="str">
        <f t="shared" si="236"/>
        <v/>
      </c>
      <c r="H5050" t="str">
        <f t="shared" si="237"/>
        <v/>
      </c>
      <c r="M5050" s="34">
        <f t="shared" si="238"/>
        <v>0</v>
      </c>
    </row>
    <row r="5051" spans="7:13" x14ac:dyDescent="0.25">
      <c r="G5051" s="10" t="str">
        <f t="shared" si="236"/>
        <v/>
      </c>
      <c r="H5051" t="str">
        <f t="shared" si="237"/>
        <v/>
      </c>
      <c r="M5051" s="34">
        <f t="shared" si="238"/>
        <v>0</v>
      </c>
    </row>
    <row r="5052" spans="7:13" x14ac:dyDescent="0.25">
      <c r="G5052" s="10" t="str">
        <f t="shared" si="236"/>
        <v/>
      </c>
      <c r="H5052" t="str">
        <f t="shared" si="237"/>
        <v/>
      </c>
      <c r="M5052" s="34">
        <f t="shared" si="238"/>
        <v>0</v>
      </c>
    </row>
    <row r="5053" spans="7:13" x14ac:dyDescent="0.25">
      <c r="G5053" s="10" t="str">
        <f t="shared" si="236"/>
        <v/>
      </c>
      <c r="H5053" t="str">
        <f t="shared" si="237"/>
        <v/>
      </c>
      <c r="M5053" s="34">
        <f t="shared" si="238"/>
        <v>0</v>
      </c>
    </row>
    <row r="5054" spans="7:13" x14ac:dyDescent="0.25">
      <c r="G5054" s="10" t="str">
        <f t="shared" si="236"/>
        <v/>
      </c>
      <c r="H5054" t="str">
        <f t="shared" si="237"/>
        <v/>
      </c>
      <c r="M5054" s="34">
        <f t="shared" si="238"/>
        <v>0</v>
      </c>
    </row>
    <row r="5055" spans="7:13" x14ac:dyDescent="0.25">
      <c r="G5055" s="10" t="str">
        <f t="shared" si="236"/>
        <v/>
      </c>
      <c r="H5055" t="str">
        <f t="shared" si="237"/>
        <v/>
      </c>
      <c r="M5055" s="34">
        <f t="shared" si="238"/>
        <v>0</v>
      </c>
    </row>
    <row r="5056" spans="7:13" x14ac:dyDescent="0.25">
      <c r="G5056" s="10" t="str">
        <f t="shared" si="236"/>
        <v/>
      </c>
      <c r="H5056" t="str">
        <f t="shared" si="237"/>
        <v/>
      </c>
      <c r="M5056" s="34">
        <f t="shared" si="238"/>
        <v>0</v>
      </c>
    </row>
    <row r="5057" spans="7:13" x14ac:dyDescent="0.25">
      <c r="G5057" s="10" t="str">
        <f t="shared" si="236"/>
        <v/>
      </c>
      <c r="H5057" t="str">
        <f t="shared" si="237"/>
        <v/>
      </c>
      <c r="M5057" s="34">
        <f t="shared" si="238"/>
        <v>0</v>
      </c>
    </row>
    <row r="5058" spans="7:13" x14ac:dyDescent="0.25">
      <c r="G5058" s="10" t="str">
        <f t="shared" ref="G5058:G5121" si="239">IF(F5058&gt;0,"RECETTE",IF(F5058&lt;0,"DÉPENSE",""))</f>
        <v/>
      </c>
      <c r="H5058" t="str">
        <f t="shared" ref="H5058:H5121" si="240">+IF(ISNUMBER(D5058),D5058,"")</f>
        <v/>
      </c>
      <c r="M5058" s="34">
        <f t="shared" si="238"/>
        <v>0</v>
      </c>
    </row>
    <row r="5059" spans="7:13" x14ac:dyDescent="0.25">
      <c r="G5059" s="10" t="str">
        <f t="shared" si="239"/>
        <v/>
      </c>
      <c r="H5059" t="str">
        <f t="shared" si="240"/>
        <v/>
      </c>
      <c r="M5059" s="34">
        <f t="shared" ref="M5059:M5122" si="241">IF(AND(E5059="Chèque",G5059="RECETTE"),F5059,0)</f>
        <v>0</v>
      </c>
    </row>
    <row r="5060" spans="7:13" x14ac:dyDescent="0.25">
      <c r="G5060" s="10" t="str">
        <f t="shared" si="239"/>
        <v/>
      </c>
      <c r="H5060" t="str">
        <f t="shared" si="240"/>
        <v/>
      </c>
      <c r="M5060" s="34">
        <f t="shared" si="241"/>
        <v>0</v>
      </c>
    </row>
    <row r="5061" spans="7:13" x14ac:dyDescent="0.25">
      <c r="G5061" s="10" t="str">
        <f t="shared" si="239"/>
        <v/>
      </c>
      <c r="H5061" t="str">
        <f t="shared" si="240"/>
        <v/>
      </c>
      <c r="M5061" s="34">
        <f t="shared" si="241"/>
        <v>0</v>
      </c>
    </row>
    <row r="5062" spans="7:13" x14ac:dyDescent="0.25">
      <c r="G5062" s="10" t="str">
        <f t="shared" si="239"/>
        <v/>
      </c>
      <c r="H5062" t="str">
        <f t="shared" si="240"/>
        <v/>
      </c>
      <c r="M5062" s="34">
        <f t="shared" si="241"/>
        <v>0</v>
      </c>
    </row>
    <row r="5063" spans="7:13" x14ac:dyDescent="0.25">
      <c r="G5063" s="10" t="str">
        <f t="shared" si="239"/>
        <v/>
      </c>
      <c r="H5063" t="str">
        <f t="shared" si="240"/>
        <v/>
      </c>
      <c r="M5063" s="34">
        <f t="shared" si="241"/>
        <v>0</v>
      </c>
    </row>
    <row r="5064" spans="7:13" x14ac:dyDescent="0.25">
      <c r="G5064" s="10" t="str">
        <f t="shared" si="239"/>
        <v/>
      </c>
      <c r="H5064" t="str">
        <f t="shared" si="240"/>
        <v/>
      </c>
      <c r="M5064" s="34">
        <f t="shared" si="241"/>
        <v>0</v>
      </c>
    </row>
    <row r="5065" spans="7:13" x14ac:dyDescent="0.25">
      <c r="G5065" s="10" t="str">
        <f t="shared" si="239"/>
        <v/>
      </c>
      <c r="H5065" t="str">
        <f t="shared" si="240"/>
        <v/>
      </c>
      <c r="M5065" s="34">
        <f t="shared" si="241"/>
        <v>0</v>
      </c>
    </row>
    <row r="5066" spans="7:13" x14ac:dyDescent="0.25">
      <c r="G5066" s="10" t="str">
        <f t="shared" si="239"/>
        <v/>
      </c>
      <c r="H5066" t="str">
        <f t="shared" si="240"/>
        <v/>
      </c>
      <c r="M5066" s="34">
        <f t="shared" si="241"/>
        <v>0</v>
      </c>
    </row>
    <row r="5067" spans="7:13" x14ac:dyDescent="0.25">
      <c r="G5067" s="10" t="str">
        <f t="shared" si="239"/>
        <v/>
      </c>
      <c r="H5067" t="str">
        <f t="shared" si="240"/>
        <v/>
      </c>
      <c r="M5067" s="34">
        <f t="shared" si="241"/>
        <v>0</v>
      </c>
    </row>
    <row r="5068" spans="7:13" x14ac:dyDescent="0.25">
      <c r="G5068" s="10" t="str">
        <f t="shared" si="239"/>
        <v/>
      </c>
      <c r="H5068" t="str">
        <f t="shared" si="240"/>
        <v/>
      </c>
      <c r="M5068" s="34">
        <f t="shared" si="241"/>
        <v>0</v>
      </c>
    </row>
    <row r="5069" spans="7:13" x14ac:dyDescent="0.25">
      <c r="G5069" s="10" t="str">
        <f t="shared" si="239"/>
        <v/>
      </c>
      <c r="H5069" t="str">
        <f t="shared" si="240"/>
        <v/>
      </c>
      <c r="M5069" s="34">
        <f t="shared" si="241"/>
        <v>0</v>
      </c>
    </row>
    <row r="5070" spans="7:13" x14ac:dyDescent="0.25">
      <c r="G5070" s="10" t="str">
        <f t="shared" si="239"/>
        <v/>
      </c>
      <c r="H5070" t="str">
        <f t="shared" si="240"/>
        <v/>
      </c>
      <c r="M5070" s="34">
        <f t="shared" si="241"/>
        <v>0</v>
      </c>
    </row>
    <row r="5071" spans="7:13" x14ac:dyDescent="0.25">
      <c r="G5071" s="10" t="str">
        <f t="shared" si="239"/>
        <v/>
      </c>
      <c r="H5071" t="str">
        <f t="shared" si="240"/>
        <v/>
      </c>
      <c r="M5071" s="34">
        <f t="shared" si="241"/>
        <v>0</v>
      </c>
    </row>
    <row r="5072" spans="7:13" x14ac:dyDescent="0.25">
      <c r="G5072" s="10" t="str">
        <f t="shared" si="239"/>
        <v/>
      </c>
      <c r="H5072" t="str">
        <f t="shared" si="240"/>
        <v/>
      </c>
      <c r="M5072" s="34">
        <f t="shared" si="241"/>
        <v>0</v>
      </c>
    </row>
    <row r="5073" spans="7:13" x14ac:dyDescent="0.25">
      <c r="G5073" s="10" t="str">
        <f t="shared" si="239"/>
        <v/>
      </c>
      <c r="H5073" t="str">
        <f t="shared" si="240"/>
        <v/>
      </c>
      <c r="M5073" s="34">
        <f t="shared" si="241"/>
        <v>0</v>
      </c>
    </row>
    <row r="5074" spans="7:13" x14ac:dyDescent="0.25">
      <c r="G5074" s="10" t="str">
        <f t="shared" si="239"/>
        <v/>
      </c>
      <c r="H5074" t="str">
        <f t="shared" si="240"/>
        <v/>
      </c>
      <c r="M5074" s="34">
        <f t="shared" si="241"/>
        <v>0</v>
      </c>
    </row>
    <row r="5075" spans="7:13" x14ac:dyDescent="0.25">
      <c r="G5075" s="10" t="str">
        <f t="shared" si="239"/>
        <v/>
      </c>
      <c r="H5075" t="str">
        <f t="shared" si="240"/>
        <v/>
      </c>
      <c r="M5075" s="34">
        <f t="shared" si="241"/>
        <v>0</v>
      </c>
    </row>
    <row r="5076" spans="7:13" x14ac:dyDescent="0.25">
      <c r="G5076" s="10" t="str">
        <f t="shared" si="239"/>
        <v/>
      </c>
      <c r="H5076" t="str">
        <f t="shared" si="240"/>
        <v/>
      </c>
      <c r="M5076" s="34">
        <f t="shared" si="241"/>
        <v>0</v>
      </c>
    </row>
    <row r="5077" spans="7:13" x14ac:dyDescent="0.25">
      <c r="G5077" s="10" t="str">
        <f t="shared" si="239"/>
        <v/>
      </c>
      <c r="H5077" t="str">
        <f t="shared" si="240"/>
        <v/>
      </c>
      <c r="M5077" s="34">
        <f t="shared" si="241"/>
        <v>0</v>
      </c>
    </row>
    <row r="5078" spans="7:13" x14ac:dyDescent="0.25">
      <c r="G5078" s="10" t="str">
        <f t="shared" si="239"/>
        <v/>
      </c>
      <c r="H5078" t="str">
        <f t="shared" si="240"/>
        <v/>
      </c>
      <c r="M5078" s="34">
        <f t="shared" si="241"/>
        <v>0</v>
      </c>
    </row>
    <row r="5079" spans="7:13" x14ac:dyDescent="0.25">
      <c r="G5079" s="10" t="str">
        <f t="shared" si="239"/>
        <v/>
      </c>
      <c r="H5079" t="str">
        <f t="shared" si="240"/>
        <v/>
      </c>
      <c r="M5079" s="34">
        <f t="shared" si="241"/>
        <v>0</v>
      </c>
    </row>
    <row r="5080" spans="7:13" x14ac:dyDescent="0.25">
      <c r="G5080" s="10" t="str">
        <f t="shared" si="239"/>
        <v/>
      </c>
      <c r="H5080" t="str">
        <f t="shared" si="240"/>
        <v/>
      </c>
      <c r="M5080" s="34">
        <f t="shared" si="241"/>
        <v>0</v>
      </c>
    </row>
    <row r="5081" spans="7:13" x14ac:dyDescent="0.25">
      <c r="G5081" s="10" t="str">
        <f t="shared" si="239"/>
        <v/>
      </c>
      <c r="H5081" t="str">
        <f t="shared" si="240"/>
        <v/>
      </c>
      <c r="M5081" s="34">
        <f t="shared" si="241"/>
        <v>0</v>
      </c>
    </row>
    <row r="5082" spans="7:13" x14ac:dyDescent="0.25">
      <c r="G5082" s="10" t="str">
        <f t="shared" si="239"/>
        <v/>
      </c>
      <c r="H5082" t="str">
        <f t="shared" si="240"/>
        <v/>
      </c>
      <c r="M5082" s="34">
        <f t="shared" si="241"/>
        <v>0</v>
      </c>
    </row>
    <row r="5083" spans="7:13" x14ac:dyDescent="0.25">
      <c r="G5083" s="10" t="str">
        <f t="shared" si="239"/>
        <v/>
      </c>
      <c r="H5083" t="str">
        <f t="shared" si="240"/>
        <v/>
      </c>
      <c r="M5083" s="34">
        <f t="shared" si="241"/>
        <v>0</v>
      </c>
    </row>
    <row r="5084" spans="7:13" x14ac:dyDescent="0.25">
      <c r="G5084" s="10" t="str">
        <f t="shared" si="239"/>
        <v/>
      </c>
      <c r="H5084" t="str">
        <f t="shared" si="240"/>
        <v/>
      </c>
      <c r="M5084" s="34">
        <f t="shared" si="241"/>
        <v>0</v>
      </c>
    </row>
    <row r="5085" spans="7:13" x14ac:dyDescent="0.25">
      <c r="G5085" s="10" t="str">
        <f t="shared" si="239"/>
        <v/>
      </c>
      <c r="H5085" t="str">
        <f t="shared" si="240"/>
        <v/>
      </c>
      <c r="M5085" s="34">
        <f t="shared" si="241"/>
        <v>0</v>
      </c>
    </row>
    <row r="5086" spans="7:13" x14ac:dyDescent="0.25">
      <c r="G5086" s="10" t="str">
        <f t="shared" si="239"/>
        <v/>
      </c>
      <c r="H5086" t="str">
        <f t="shared" si="240"/>
        <v/>
      </c>
      <c r="M5086" s="34">
        <f t="shared" si="241"/>
        <v>0</v>
      </c>
    </row>
    <row r="5087" spans="7:13" x14ac:dyDescent="0.25">
      <c r="G5087" s="10" t="str">
        <f t="shared" si="239"/>
        <v/>
      </c>
      <c r="H5087" t="str">
        <f t="shared" si="240"/>
        <v/>
      </c>
      <c r="M5087" s="34">
        <f t="shared" si="241"/>
        <v>0</v>
      </c>
    </row>
    <row r="5088" spans="7:13" x14ac:dyDescent="0.25">
      <c r="G5088" s="10" t="str">
        <f t="shared" si="239"/>
        <v/>
      </c>
      <c r="H5088" t="str">
        <f t="shared" si="240"/>
        <v/>
      </c>
      <c r="M5088" s="34">
        <f t="shared" si="241"/>
        <v>0</v>
      </c>
    </row>
    <row r="5089" spans="7:13" x14ac:dyDescent="0.25">
      <c r="G5089" s="10" t="str">
        <f t="shared" si="239"/>
        <v/>
      </c>
      <c r="H5089" t="str">
        <f t="shared" si="240"/>
        <v/>
      </c>
      <c r="M5089" s="34">
        <f t="shared" si="241"/>
        <v>0</v>
      </c>
    </row>
    <row r="5090" spans="7:13" x14ac:dyDescent="0.25">
      <c r="G5090" s="10" t="str">
        <f t="shared" si="239"/>
        <v/>
      </c>
      <c r="H5090" t="str">
        <f t="shared" si="240"/>
        <v/>
      </c>
      <c r="M5090" s="34">
        <f t="shared" si="241"/>
        <v>0</v>
      </c>
    </row>
    <row r="5091" spans="7:13" x14ac:dyDescent="0.25">
      <c r="G5091" s="10" t="str">
        <f t="shared" si="239"/>
        <v/>
      </c>
      <c r="H5091" t="str">
        <f t="shared" si="240"/>
        <v/>
      </c>
      <c r="M5091" s="34">
        <f t="shared" si="241"/>
        <v>0</v>
      </c>
    </row>
    <row r="5092" spans="7:13" x14ac:dyDescent="0.25">
      <c r="G5092" s="10" t="str">
        <f t="shared" si="239"/>
        <v/>
      </c>
      <c r="H5092" t="str">
        <f t="shared" si="240"/>
        <v/>
      </c>
      <c r="M5092" s="34">
        <f t="shared" si="241"/>
        <v>0</v>
      </c>
    </row>
    <row r="5093" spans="7:13" x14ac:dyDescent="0.25">
      <c r="G5093" s="10" t="str">
        <f t="shared" si="239"/>
        <v/>
      </c>
      <c r="H5093" t="str">
        <f t="shared" si="240"/>
        <v/>
      </c>
      <c r="M5093" s="34">
        <f t="shared" si="241"/>
        <v>0</v>
      </c>
    </row>
    <row r="5094" spans="7:13" x14ac:dyDescent="0.25">
      <c r="G5094" s="10" t="str">
        <f t="shared" si="239"/>
        <v/>
      </c>
      <c r="H5094" t="str">
        <f t="shared" si="240"/>
        <v/>
      </c>
      <c r="M5094" s="34">
        <f t="shared" si="241"/>
        <v>0</v>
      </c>
    </row>
    <row r="5095" spans="7:13" x14ac:dyDescent="0.25">
      <c r="G5095" s="10" t="str">
        <f t="shared" si="239"/>
        <v/>
      </c>
      <c r="H5095" t="str">
        <f t="shared" si="240"/>
        <v/>
      </c>
      <c r="M5095" s="34">
        <f t="shared" si="241"/>
        <v>0</v>
      </c>
    </row>
    <row r="5096" spans="7:13" x14ac:dyDescent="0.25">
      <c r="G5096" s="10" t="str">
        <f t="shared" si="239"/>
        <v/>
      </c>
      <c r="H5096" t="str">
        <f t="shared" si="240"/>
        <v/>
      </c>
      <c r="M5096" s="34">
        <f t="shared" si="241"/>
        <v>0</v>
      </c>
    </row>
    <row r="5097" spans="7:13" x14ac:dyDescent="0.25">
      <c r="G5097" s="10" t="str">
        <f t="shared" si="239"/>
        <v/>
      </c>
      <c r="H5097" t="str">
        <f t="shared" si="240"/>
        <v/>
      </c>
      <c r="M5097" s="34">
        <f t="shared" si="241"/>
        <v>0</v>
      </c>
    </row>
    <row r="5098" spans="7:13" x14ac:dyDescent="0.25">
      <c r="G5098" s="10" t="str">
        <f t="shared" si="239"/>
        <v/>
      </c>
      <c r="H5098" t="str">
        <f t="shared" si="240"/>
        <v/>
      </c>
      <c r="M5098" s="34">
        <f t="shared" si="241"/>
        <v>0</v>
      </c>
    </row>
    <row r="5099" spans="7:13" x14ac:dyDescent="0.25">
      <c r="G5099" s="10" t="str">
        <f t="shared" si="239"/>
        <v/>
      </c>
      <c r="H5099" t="str">
        <f t="shared" si="240"/>
        <v/>
      </c>
      <c r="M5099" s="34">
        <f t="shared" si="241"/>
        <v>0</v>
      </c>
    </row>
    <row r="5100" spans="7:13" x14ac:dyDescent="0.25">
      <c r="G5100" s="10" t="str">
        <f t="shared" si="239"/>
        <v/>
      </c>
      <c r="H5100" t="str">
        <f t="shared" si="240"/>
        <v/>
      </c>
      <c r="M5100" s="34">
        <f t="shared" si="241"/>
        <v>0</v>
      </c>
    </row>
    <row r="5101" spans="7:13" x14ac:dyDescent="0.25">
      <c r="G5101" s="10" t="str">
        <f t="shared" si="239"/>
        <v/>
      </c>
      <c r="H5101" t="str">
        <f t="shared" si="240"/>
        <v/>
      </c>
      <c r="M5101" s="34">
        <f t="shared" si="241"/>
        <v>0</v>
      </c>
    </row>
    <row r="5102" spans="7:13" x14ac:dyDescent="0.25">
      <c r="G5102" s="10" t="str">
        <f t="shared" si="239"/>
        <v/>
      </c>
      <c r="H5102" t="str">
        <f t="shared" si="240"/>
        <v/>
      </c>
      <c r="M5102" s="34">
        <f t="shared" si="241"/>
        <v>0</v>
      </c>
    </row>
    <row r="5103" spans="7:13" x14ac:dyDescent="0.25">
      <c r="G5103" s="10" t="str">
        <f t="shared" si="239"/>
        <v/>
      </c>
      <c r="H5103" t="str">
        <f t="shared" si="240"/>
        <v/>
      </c>
      <c r="M5103" s="34">
        <f t="shared" si="241"/>
        <v>0</v>
      </c>
    </row>
    <row r="5104" spans="7:13" x14ac:dyDescent="0.25">
      <c r="G5104" s="10" t="str">
        <f t="shared" si="239"/>
        <v/>
      </c>
      <c r="H5104" t="str">
        <f t="shared" si="240"/>
        <v/>
      </c>
      <c r="M5104" s="34">
        <f t="shared" si="241"/>
        <v>0</v>
      </c>
    </row>
    <row r="5105" spans="7:13" x14ac:dyDescent="0.25">
      <c r="G5105" s="10" t="str">
        <f t="shared" si="239"/>
        <v/>
      </c>
      <c r="H5105" t="str">
        <f t="shared" si="240"/>
        <v/>
      </c>
      <c r="M5105" s="34">
        <f t="shared" si="241"/>
        <v>0</v>
      </c>
    </row>
    <row r="5106" spans="7:13" x14ac:dyDescent="0.25">
      <c r="G5106" s="10" t="str">
        <f t="shared" si="239"/>
        <v/>
      </c>
      <c r="H5106" t="str">
        <f t="shared" si="240"/>
        <v/>
      </c>
      <c r="M5106" s="34">
        <f t="shared" si="241"/>
        <v>0</v>
      </c>
    </row>
    <row r="5107" spans="7:13" x14ac:dyDescent="0.25">
      <c r="G5107" s="10" t="str">
        <f t="shared" si="239"/>
        <v/>
      </c>
      <c r="H5107" t="str">
        <f t="shared" si="240"/>
        <v/>
      </c>
      <c r="M5107" s="34">
        <f t="shared" si="241"/>
        <v>0</v>
      </c>
    </row>
    <row r="5108" spans="7:13" x14ac:dyDescent="0.25">
      <c r="G5108" s="10" t="str">
        <f t="shared" si="239"/>
        <v/>
      </c>
      <c r="H5108" t="str">
        <f t="shared" si="240"/>
        <v/>
      </c>
      <c r="M5108" s="34">
        <f t="shared" si="241"/>
        <v>0</v>
      </c>
    </row>
    <row r="5109" spans="7:13" x14ac:dyDescent="0.25">
      <c r="G5109" s="10" t="str">
        <f t="shared" si="239"/>
        <v/>
      </c>
      <c r="H5109" t="str">
        <f t="shared" si="240"/>
        <v/>
      </c>
      <c r="M5109" s="34">
        <f t="shared" si="241"/>
        <v>0</v>
      </c>
    </row>
    <row r="5110" spans="7:13" x14ac:dyDescent="0.25">
      <c r="G5110" s="10" t="str">
        <f t="shared" si="239"/>
        <v/>
      </c>
      <c r="H5110" t="str">
        <f t="shared" si="240"/>
        <v/>
      </c>
      <c r="M5110" s="34">
        <f t="shared" si="241"/>
        <v>0</v>
      </c>
    </row>
    <row r="5111" spans="7:13" x14ac:dyDescent="0.25">
      <c r="G5111" s="10" t="str">
        <f t="shared" si="239"/>
        <v/>
      </c>
      <c r="H5111" t="str">
        <f t="shared" si="240"/>
        <v/>
      </c>
      <c r="M5111" s="34">
        <f t="shared" si="241"/>
        <v>0</v>
      </c>
    </row>
    <row r="5112" spans="7:13" x14ac:dyDescent="0.25">
      <c r="G5112" s="10" t="str">
        <f t="shared" si="239"/>
        <v/>
      </c>
      <c r="H5112" t="str">
        <f t="shared" si="240"/>
        <v/>
      </c>
      <c r="M5112" s="34">
        <f t="shared" si="241"/>
        <v>0</v>
      </c>
    </row>
    <row r="5113" spans="7:13" x14ac:dyDescent="0.25">
      <c r="G5113" s="10" t="str">
        <f t="shared" si="239"/>
        <v/>
      </c>
      <c r="H5113" t="str">
        <f t="shared" si="240"/>
        <v/>
      </c>
      <c r="M5113" s="34">
        <f t="shared" si="241"/>
        <v>0</v>
      </c>
    </row>
    <row r="5114" spans="7:13" x14ac:dyDescent="0.25">
      <c r="G5114" s="10" t="str">
        <f t="shared" si="239"/>
        <v/>
      </c>
      <c r="H5114" t="str">
        <f t="shared" si="240"/>
        <v/>
      </c>
      <c r="M5114" s="34">
        <f t="shared" si="241"/>
        <v>0</v>
      </c>
    </row>
    <row r="5115" spans="7:13" x14ac:dyDescent="0.25">
      <c r="G5115" s="10" t="str">
        <f t="shared" si="239"/>
        <v/>
      </c>
      <c r="H5115" t="str">
        <f t="shared" si="240"/>
        <v/>
      </c>
      <c r="M5115" s="34">
        <f t="shared" si="241"/>
        <v>0</v>
      </c>
    </row>
    <row r="5116" spans="7:13" x14ac:dyDescent="0.25">
      <c r="G5116" s="10" t="str">
        <f t="shared" si="239"/>
        <v/>
      </c>
      <c r="H5116" t="str">
        <f t="shared" si="240"/>
        <v/>
      </c>
      <c r="M5116" s="34">
        <f t="shared" si="241"/>
        <v>0</v>
      </c>
    </row>
    <row r="5117" spans="7:13" x14ac:dyDescent="0.25">
      <c r="G5117" s="10" t="str">
        <f t="shared" si="239"/>
        <v/>
      </c>
      <c r="H5117" t="str">
        <f t="shared" si="240"/>
        <v/>
      </c>
      <c r="M5117" s="34">
        <f t="shared" si="241"/>
        <v>0</v>
      </c>
    </row>
    <row r="5118" spans="7:13" x14ac:dyDescent="0.25">
      <c r="G5118" s="10" t="str">
        <f t="shared" si="239"/>
        <v/>
      </c>
      <c r="H5118" t="str">
        <f t="shared" si="240"/>
        <v/>
      </c>
      <c r="M5118" s="34">
        <f t="shared" si="241"/>
        <v>0</v>
      </c>
    </row>
    <row r="5119" spans="7:13" x14ac:dyDescent="0.25">
      <c r="G5119" s="10" t="str">
        <f t="shared" si="239"/>
        <v/>
      </c>
      <c r="H5119" t="str">
        <f t="shared" si="240"/>
        <v/>
      </c>
      <c r="M5119" s="34">
        <f t="shared" si="241"/>
        <v>0</v>
      </c>
    </row>
    <row r="5120" spans="7:13" x14ac:dyDescent="0.25">
      <c r="G5120" s="10" t="str">
        <f t="shared" si="239"/>
        <v/>
      </c>
      <c r="H5120" t="str">
        <f t="shared" si="240"/>
        <v/>
      </c>
      <c r="M5120" s="34">
        <f t="shared" si="241"/>
        <v>0</v>
      </c>
    </row>
    <row r="5121" spans="7:13" x14ac:dyDescent="0.25">
      <c r="G5121" s="10" t="str">
        <f t="shared" si="239"/>
        <v/>
      </c>
      <c r="H5121" t="str">
        <f t="shared" si="240"/>
        <v/>
      </c>
      <c r="M5121" s="34">
        <f t="shared" si="241"/>
        <v>0</v>
      </c>
    </row>
    <row r="5122" spans="7:13" x14ac:dyDescent="0.25">
      <c r="G5122" s="10" t="str">
        <f t="shared" ref="G5122:G5185" si="242">IF(F5122&gt;0,"RECETTE",IF(F5122&lt;0,"DÉPENSE",""))</f>
        <v/>
      </c>
      <c r="H5122" t="str">
        <f t="shared" ref="H5122:H5185" si="243">+IF(ISNUMBER(D5122),D5122,"")</f>
        <v/>
      </c>
      <c r="M5122" s="34">
        <f t="shared" si="241"/>
        <v>0</v>
      </c>
    </row>
    <row r="5123" spans="7:13" x14ac:dyDescent="0.25">
      <c r="G5123" s="10" t="str">
        <f t="shared" si="242"/>
        <v/>
      </c>
      <c r="H5123" t="str">
        <f t="shared" si="243"/>
        <v/>
      </c>
      <c r="M5123" s="34">
        <f t="shared" ref="M5123:M5186" si="244">IF(AND(E5123="Chèque",G5123="RECETTE"),F5123,0)</f>
        <v>0</v>
      </c>
    </row>
    <row r="5124" spans="7:13" x14ac:dyDescent="0.25">
      <c r="G5124" s="10" t="str">
        <f t="shared" si="242"/>
        <v/>
      </c>
      <c r="H5124" t="str">
        <f t="shared" si="243"/>
        <v/>
      </c>
      <c r="M5124" s="34">
        <f t="shared" si="244"/>
        <v>0</v>
      </c>
    </row>
    <row r="5125" spans="7:13" x14ac:dyDescent="0.25">
      <c r="G5125" s="10" t="str">
        <f t="shared" si="242"/>
        <v/>
      </c>
      <c r="H5125" t="str">
        <f t="shared" si="243"/>
        <v/>
      </c>
      <c r="M5125" s="34">
        <f t="shared" si="244"/>
        <v>0</v>
      </c>
    </row>
    <row r="5126" spans="7:13" x14ac:dyDescent="0.25">
      <c r="G5126" s="10" t="str">
        <f t="shared" si="242"/>
        <v/>
      </c>
      <c r="H5126" t="str">
        <f t="shared" si="243"/>
        <v/>
      </c>
      <c r="M5126" s="34">
        <f t="shared" si="244"/>
        <v>0</v>
      </c>
    </row>
    <row r="5127" spans="7:13" x14ac:dyDescent="0.25">
      <c r="G5127" s="10" t="str">
        <f t="shared" si="242"/>
        <v/>
      </c>
      <c r="H5127" t="str">
        <f t="shared" si="243"/>
        <v/>
      </c>
      <c r="M5127" s="34">
        <f t="shared" si="244"/>
        <v>0</v>
      </c>
    </row>
    <row r="5128" spans="7:13" x14ac:dyDescent="0.25">
      <c r="G5128" s="10" t="str">
        <f t="shared" si="242"/>
        <v/>
      </c>
      <c r="H5128" t="str">
        <f t="shared" si="243"/>
        <v/>
      </c>
      <c r="M5128" s="34">
        <f t="shared" si="244"/>
        <v>0</v>
      </c>
    </row>
    <row r="5129" spans="7:13" x14ac:dyDescent="0.25">
      <c r="G5129" s="10" t="str">
        <f t="shared" si="242"/>
        <v/>
      </c>
      <c r="H5129" t="str">
        <f t="shared" si="243"/>
        <v/>
      </c>
      <c r="M5129" s="34">
        <f t="shared" si="244"/>
        <v>0</v>
      </c>
    </row>
    <row r="5130" spans="7:13" x14ac:dyDescent="0.25">
      <c r="G5130" s="10" t="str">
        <f t="shared" si="242"/>
        <v/>
      </c>
      <c r="H5130" t="str">
        <f t="shared" si="243"/>
        <v/>
      </c>
      <c r="M5130" s="34">
        <f t="shared" si="244"/>
        <v>0</v>
      </c>
    </row>
    <row r="5131" spans="7:13" x14ac:dyDescent="0.25">
      <c r="G5131" s="10" t="str">
        <f t="shared" si="242"/>
        <v/>
      </c>
      <c r="H5131" t="str">
        <f t="shared" si="243"/>
        <v/>
      </c>
      <c r="M5131" s="34">
        <f t="shared" si="244"/>
        <v>0</v>
      </c>
    </row>
    <row r="5132" spans="7:13" x14ac:dyDescent="0.25">
      <c r="G5132" s="10" t="str">
        <f t="shared" si="242"/>
        <v/>
      </c>
      <c r="H5132" t="str">
        <f t="shared" si="243"/>
        <v/>
      </c>
      <c r="M5132" s="34">
        <f t="shared" si="244"/>
        <v>0</v>
      </c>
    </row>
    <row r="5133" spans="7:13" x14ac:dyDescent="0.25">
      <c r="G5133" s="10" t="str">
        <f t="shared" si="242"/>
        <v/>
      </c>
      <c r="H5133" t="str">
        <f t="shared" si="243"/>
        <v/>
      </c>
      <c r="M5133" s="34">
        <f t="shared" si="244"/>
        <v>0</v>
      </c>
    </row>
    <row r="5134" spans="7:13" x14ac:dyDescent="0.25">
      <c r="G5134" s="10" t="str">
        <f t="shared" si="242"/>
        <v/>
      </c>
      <c r="H5134" t="str">
        <f t="shared" si="243"/>
        <v/>
      </c>
      <c r="M5134" s="34">
        <f t="shared" si="244"/>
        <v>0</v>
      </c>
    </row>
    <row r="5135" spans="7:13" x14ac:dyDescent="0.25">
      <c r="G5135" s="10" t="str">
        <f t="shared" si="242"/>
        <v/>
      </c>
      <c r="H5135" t="str">
        <f t="shared" si="243"/>
        <v/>
      </c>
      <c r="M5135" s="34">
        <f t="shared" si="244"/>
        <v>0</v>
      </c>
    </row>
    <row r="5136" spans="7:13" x14ac:dyDescent="0.25">
      <c r="G5136" s="10" t="str">
        <f t="shared" si="242"/>
        <v/>
      </c>
      <c r="H5136" t="str">
        <f t="shared" si="243"/>
        <v/>
      </c>
      <c r="M5136" s="34">
        <f t="shared" si="244"/>
        <v>0</v>
      </c>
    </row>
    <row r="5137" spans="7:13" x14ac:dyDescent="0.25">
      <c r="G5137" s="10" t="str">
        <f t="shared" si="242"/>
        <v/>
      </c>
      <c r="H5137" t="str">
        <f t="shared" si="243"/>
        <v/>
      </c>
      <c r="M5137" s="34">
        <f t="shared" si="244"/>
        <v>0</v>
      </c>
    </row>
    <row r="5138" spans="7:13" x14ac:dyDescent="0.25">
      <c r="G5138" s="10" t="str">
        <f t="shared" si="242"/>
        <v/>
      </c>
      <c r="H5138" t="str">
        <f t="shared" si="243"/>
        <v/>
      </c>
      <c r="M5138" s="34">
        <f t="shared" si="244"/>
        <v>0</v>
      </c>
    </row>
    <row r="5139" spans="7:13" x14ac:dyDescent="0.25">
      <c r="G5139" s="10" t="str">
        <f t="shared" si="242"/>
        <v/>
      </c>
      <c r="H5139" t="str">
        <f t="shared" si="243"/>
        <v/>
      </c>
      <c r="M5139" s="34">
        <f t="shared" si="244"/>
        <v>0</v>
      </c>
    </row>
    <row r="5140" spans="7:13" x14ac:dyDescent="0.25">
      <c r="G5140" s="10" t="str">
        <f t="shared" si="242"/>
        <v/>
      </c>
      <c r="H5140" t="str">
        <f t="shared" si="243"/>
        <v/>
      </c>
      <c r="M5140" s="34">
        <f t="shared" si="244"/>
        <v>0</v>
      </c>
    </row>
    <row r="5141" spans="7:13" x14ac:dyDescent="0.25">
      <c r="G5141" s="10" t="str">
        <f t="shared" si="242"/>
        <v/>
      </c>
      <c r="H5141" t="str">
        <f t="shared" si="243"/>
        <v/>
      </c>
      <c r="M5141" s="34">
        <f t="shared" si="244"/>
        <v>0</v>
      </c>
    </row>
    <row r="5142" spans="7:13" x14ac:dyDescent="0.25">
      <c r="G5142" s="10" t="str">
        <f t="shared" si="242"/>
        <v/>
      </c>
      <c r="H5142" t="str">
        <f t="shared" si="243"/>
        <v/>
      </c>
      <c r="M5142" s="34">
        <f t="shared" si="244"/>
        <v>0</v>
      </c>
    </row>
    <row r="5143" spans="7:13" x14ac:dyDescent="0.25">
      <c r="G5143" s="10" t="str">
        <f t="shared" si="242"/>
        <v/>
      </c>
      <c r="H5143" t="str">
        <f t="shared" si="243"/>
        <v/>
      </c>
      <c r="M5143" s="34">
        <f t="shared" si="244"/>
        <v>0</v>
      </c>
    </row>
    <row r="5144" spans="7:13" x14ac:dyDescent="0.25">
      <c r="G5144" s="10" t="str">
        <f t="shared" si="242"/>
        <v/>
      </c>
      <c r="H5144" t="str">
        <f t="shared" si="243"/>
        <v/>
      </c>
      <c r="M5144" s="34">
        <f t="shared" si="244"/>
        <v>0</v>
      </c>
    </row>
    <row r="5145" spans="7:13" x14ac:dyDescent="0.25">
      <c r="G5145" s="10" t="str">
        <f t="shared" si="242"/>
        <v/>
      </c>
      <c r="H5145" t="str">
        <f t="shared" si="243"/>
        <v/>
      </c>
      <c r="M5145" s="34">
        <f t="shared" si="244"/>
        <v>0</v>
      </c>
    </row>
    <row r="5146" spans="7:13" x14ac:dyDescent="0.25">
      <c r="G5146" s="10" t="str">
        <f t="shared" si="242"/>
        <v/>
      </c>
      <c r="H5146" t="str">
        <f t="shared" si="243"/>
        <v/>
      </c>
      <c r="M5146" s="34">
        <f t="shared" si="244"/>
        <v>0</v>
      </c>
    </row>
    <row r="5147" spans="7:13" x14ac:dyDescent="0.25">
      <c r="G5147" s="10" t="str">
        <f t="shared" si="242"/>
        <v/>
      </c>
      <c r="H5147" t="str">
        <f t="shared" si="243"/>
        <v/>
      </c>
      <c r="M5147" s="34">
        <f t="shared" si="244"/>
        <v>0</v>
      </c>
    </row>
    <row r="5148" spans="7:13" x14ac:dyDescent="0.25">
      <c r="G5148" s="10" t="str">
        <f t="shared" si="242"/>
        <v/>
      </c>
      <c r="H5148" t="str">
        <f t="shared" si="243"/>
        <v/>
      </c>
      <c r="M5148" s="34">
        <f t="shared" si="244"/>
        <v>0</v>
      </c>
    </row>
    <row r="5149" spans="7:13" x14ac:dyDescent="0.25">
      <c r="G5149" s="10" t="str">
        <f t="shared" si="242"/>
        <v/>
      </c>
      <c r="H5149" t="str">
        <f t="shared" si="243"/>
        <v/>
      </c>
      <c r="M5149" s="34">
        <f t="shared" si="244"/>
        <v>0</v>
      </c>
    </row>
    <row r="5150" spans="7:13" x14ac:dyDescent="0.25">
      <c r="G5150" s="10" t="str">
        <f t="shared" si="242"/>
        <v/>
      </c>
      <c r="H5150" t="str">
        <f t="shared" si="243"/>
        <v/>
      </c>
      <c r="M5150" s="34">
        <f t="shared" si="244"/>
        <v>0</v>
      </c>
    </row>
    <row r="5151" spans="7:13" x14ac:dyDescent="0.25">
      <c r="G5151" s="10" t="str">
        <f t="shared" si="242"/>
        <v/>
      </c>
      <c r="H5151" t="str">
        <f t="shared" si="243"/>
        <v/>
      </c>
      <c r="M5151" s="34">
        <f t="shared" si="244"/>
        <v>0</v>
      </c>
    </row>
    <row r="5152" spans="7:13" x14ac:dyDescent="0.25">
      <c r="G5152" s="10" t="str">
        <f t="shared" si="242"/>
        <v/>
      </c>
      <c r="H5152" t="str">
        <f t="shared" si="243"/>
        <v/>
      </c>
      <c r="M5152" s="34">
        <f t="shared" si="244"/>
        <v>0</v>
      </c>
    </row>
    <row r="5153" spans="7:13" x14ac:dyDescent="0.25">
      <c r="G5153" s="10" t="str">
        <f t="shared" si="242"/>
        <v/>
      </c>
      <c r="H5153" t="str">
        <f t="shared" si="243"/>
        <v/>
      </c>
      <c r="M5153" s="34">
        <f t="shared" si="244"/>
        <v>0</v>
      </c>
    </row>
    <row r="5154" spans="7:13" x14ac:dyDescent="0.25">
      <c r="G5154" s="10" t="str">
        <f t="shared" si="242"/>
        <v/>
      </c>
      <c r="H5154" t="str">
        <f t="shared" si="243"/>
        <v/>
      </c>
      <c r="M5154" s="34">
        <f t="shared" si="244"/>
        <v>0</v>
      </c>
    </row>
    <row r="5155" spans="7:13" x14ac:dyDescent="0.25">
      <c r="G5155" s="10" t="str">
        <f t="shared" si="242"/>
        <v/>
      </c>
      <c r="H5155" t="str">
        <f t="shared" si="243"/>
        <v/>
      </c>
      <c r="M5155" s="34">
        <f t="shared" si="244"/>
        <v>0</v>
      </c>
    </row>
    <row r="5156" spans="7:13" x14ac:dyDescent="0.25">
      <c r="G5156" s="10" t="str">
        <f t="shared" si="242"/>
        <v/>
      </c>
      <c r="H5156" t="str">
        <f t="shared" si="243"/>
        <v/>
      </c>
      <c r="M5156" s="34">
        <f t="shared" si="244"/>
        <v>0</v>
      </c>
    </row>
    <row r="5157" spans="7:13" x14ac:dyDescent="0.25">
      <c r="G5157" s="10" t="str">
        <f t="shared" si="242"/>
        <v/>
      </c>
      <c r="H5157" t="str">
        <f t="shared" si="243"/>
        <v/>
      </c>
      <c r="M5157" s="34">
        <f t="shared" si="244"/>
        <v>0</v>
      </c>
    </row>
    <row r="5158" spans="7:13" x14ac:dyDescent="0.25">
      <c r="G5158" s="10" t="str">
        <f t="shared" si="242"/>
        <v/>
      </c>
      <c r="H5158" t="str">
        <f t="shared" si="243"/>
        <v/>
      </c>
      <c r="M5158" s="34">
        <f t="shared" si="244"/>
        <v>0</v>
      </c>
    </row>
    <row r="5159" spans="7:13" x14ac:dyDescent="0.25">
      <c r="G5159" s="10" t="str">
        <f t="shared" si="242"/>
        <v/>
      </c>
      <c r="H5159" t="str">
        <f t="shared" si="243"/>
        <v/>
      </c>
      <c r="M5159" s="34">
        <f t="shared" si="244"/>
        <v>0</v>
      </c>
    </row>
    <row r="5160" spans="7:13" x14ac:dyDescent="0.25">
      <c r="G5160" s="10" t="str">
        <f t="shared" si="242"/>
        <v/>
      </c>
      <c r="H5160" t="str">
        <f t="shared" si="243"/>
        <v/>
      </c>
      <c r="M5160" s="34">
        <f t="shared" si="244"/>
        <v>0</v>
      </c>
    </row>
    <row r="5161" spans="7:13" x14ac:dyDescent="0.25">
      <c r="G5161" s="10" t="str">
        <f t="shared" si="242"/>
        <v/>
      </c>
      <c r="H5161" t="str">
        <f t="shared" si="243"/>
        <v/>
      </c>
      <c r="M5161" s="34">
        <f t="shared" si="244"/>
        <v>0</v>
      </c>
    </row>
    <row r="5162" spans="7:13" x14ac:dyDescent="0.25">
      <c r="G5162" s="10" t="str">
        <f t="shared" si="242"/>
        <v/>
      </c>
      <c r="H5162" t="str">
        <f t="shared" si="243"/>
        <v/>
      </c>
      <c r="M5162" s="34">
        <f t="shared" si="244"/>
        <v>0</v>
      </c>
    </row>
    <row r="5163" spans="7:13" x14ac:dyDescent="0.25">
      <c r="G5163" s="10" t="str">
        <f t="shared" si="242"/>
        <v/>
      </c>
      <c r="H5163" t="str">
        <f t="shared" si="243"/>
        <v/>
      </c>
      <c r="M5163" s="34">
        <f t="shared" si="244"/>
        <v>0</v>
      </c>
    </row>
    <row r="5164" spans="7:13" x14ac:dyDescent="0.25">
      <c r="G5164" s="10" t="str">
        <f t="shared" si="242"/>
        <v/>
      </c>
      <c r="H5164" t="str">
        <f t="shared" si="243"/>
        <v/>
      </c>
      <c r="M5164" s="34">
        <f t="shared" si="244"/>
        <v>0</v>
      </c>
    </row>
    <row r="5165" spans="7:13" x14ac:dyDescent="0.25">
      <c r="G5165" s="10" t="str">
        <f t="shared" si="242"/>
        <v/>
      </c>
      <c r="H5165" t="str">
        <f t="shared" si="243"/>
        <v/>
      </c>
      <c r="M5165" s="34">
        <f t="shared" si="244"/>
        <v>0</v>
      </c>
    </row>
    <row r="5166" spans="7:13" x14ac:dyDescent="0.25">
      <c r="G5166" s="10" t="str">
        <f t="shared" si="242"/>
        <v/>
      </c>
      <c r="H5166" t="str">
        <f t="shared" si="243"/>
        <v/>
      </c>
      <c r="M5166" s="34">
        <f t="shared" si="244"/>
        <v>0</v>
      </c>
    </row>
    <row r="5167" spans="7:13" x14ac:dyDescent="0.25">
      <c r="G5167" s="10" t="str">
        <f t="shared" si="242"/>
        <v/>
      </c>
      <c r="H5167" t="str">
        <f t="shared" si="243"/>
        <v/>
      </c>
      <c r="M5167" s="34">
        <f t="shared" si="244"/>
        <v>0</v>
      </c>
    </row>
    <row r="5168" spans="7:13" x14ac:dyDescent="0.25">
      <c r="G5168" s="10" t="str">
        <f t="shared" si="242"/>
        <v/>
      </c>
      <c r="H5168" t="str">
        <f t="shared" si="243"/>
        <v/>
      </c>
      <c r="M5168" s="34">
        <f t="shared" si="244"/>
        <v>0</v>
      </c>
    </row>
    <row r="5169" spans="7:13" x14ac:dyDescent="0.25">
      <c r="G5169" s="10" t="str">
        <f t="shared" si="242"/>
        <v/>
      </c>
      <c r="H5169" t="str">
        <f t="shared" si="243"/>
        <v/>
      </c>
      <c r="M5169" s="34">
        <f t="shared" si="244"/>
        <v>0</v>
      </c>
    </row>
    <row r="5170" spans="7:13" x14ac:dyDescent="0.25">
      <c r="G5170" s="10" t="str">
        <f t="shared" si="242"/>
        <v/>
      </c>
      <c r="H5170" t="str">
        <f t="shared" si="243"/>
        <v/>
      </c>
      <c r="M5170" s="34">
        <f t="shared" si="244"/>
        <v>0</v>
      </c>
    </row>
    <row r="5171" spans="7:13" x14ac:dyDescent="0.25">
      <c r="G5171" s="10" t="str">
        <f t="shared" si="242"/>
        <v/>
      </c>
      <c r="H5171" t="str">
        <f t="shared" si="243"/>
        <v/>
      </c>
      <c r="M5171" s="34">
        <f t="shared" si="244"/>
        <v>0</v>
      </c>
    </row>
    <row r="5172" spans="7:13" x14ac:dyDescent="0.25">
      <c r="G5172" s="10" t="str">
        <f t="shared" si="242"/>
        <v/>
      </c>
      <c r="H5172" t="str">
        <f t="shared" si="243"/>
        <v/>
      </c>
      <c r="M5172" s="34">
        <f t="shared" si="244"/>
        <v>0</v>
      </c>
    </row>
    <row r="5173" spans="7:13" x14ac:dyDescent="0.25">
      <c r="G5173" s="10" t="str">
        <f t="shared" si="242"/>
        <v/>
      </c>
      <c r="H5173" t="str">
        <f t="shared" si="243"/>
        <v/>
      </c>
      <c r="M5173" s="34">
        <f t="shared" si="244"/>
        <v>0</v>
      </c>
    </row>
    <row r="5174" spans="7:13" x14ac:dyDescent="0.25">
      <c r="G5174" s="10" t="str">
        <f t="shared" si="242"/>
        <v/>
      </c>
      <c r="H5174" t="str">
        <f t="shared" si="243"/>
        <v/>
      </c>
      <c r="M5174" s="34">
        <f t="shared" si="244"/>
        <v>0</v>
      </c>
    </row>
    <row r="5175" spans="7:13" x14ac:dyDescent="0.25">
      <c r="G5175" s="10" t="str">
        <f t="shared" si="242"/>
        <v/>
      </c>
      <c r="H5175" t="str">
        <f t="shared" si="243"/>
        <v/>
      </c>
      <c r="M5175" s="34">
        <f t="shared" si="244"/>
        <v>0</v>
      </c>
    </row>
    <row r="5176" spans="7:13" x14ac:dyDescent="0.25">
      <c r="G5176" s="10" t="str">
        <f t="shared" si="242"/>
        <v/>
      </c>
      <c r="H5176" t="str">
        <f t="shared" si="243"/>
        <v/>
      </c>
      <c r="M5176" s="34">
        <f t="shared" si="244"/>
        <v>0</v>
      </c>
    </row>
    <row r="5177" spans="7:13" x14ac:dyDescent="0.25">
      <c r="G5177" s="10" t="str">
        <f t="shared" si="242"/>
        <v/>
      </c>
      <c r="H5177" t="str">
        <f t="shared" si="243"/>
        <v/>
      </c>
      <c r="M5177" s="34">
        <f t="shared" si="244"/>
        <v>0</v>
      </c>
    </row>
    <row r="5178" spans="7:13" x14ac:dyDescent="0.25">
      <c r="G5178" s="10" t="str">
        <f t="shared" si="242"/>
        <v/>
      </c>
      <c r="H5178" t="str">
        <f t="shared" si="243"/>
        <v/>
      </c>
      <c r="M5178" s="34">
        <f t="shared" si="244"/>
        <v>0</v>
      </c>
    </row>
    <row r="5179" spans="7:13" x14ac:dyDescent="0.25">
      <c r="G5179" s="10" t="str">
        <f t="shared" si="242"/>
        <v/>
      </c>
      <c r="H5179" t="str">
        <f t="shared" si="243"/>
        <v/>
      </c>
      <c r="M5179" s="34">
        <f t="shared" si="244"/>
        <v>0</v>
      </c>
    </row>
    <row r="5180" spans="7:13" x14ac:dyDescent="0.25">
      <c r="G5180" s="10" t="str">
        <f t="shared" si="242"/>
        <v/>
      </c>
      <c r="H5180" t="str">
        <f t="shared" si="243"/>
        <v/>
      </c>
      <c r="M5180" s="34">
        <f t="shared" si="244"/>
        <v>0</v>
      </c>
    </row>
    <row r="5181" spans="7:13" x14ac:dyDescent="0.25">
      <c r="G5181" s="10" t="str">
        <f t="shared" si="242"/>
        <v/>
      </c>
      <c r="H5181" t="str">
        <f t="shared" si="243"/>
        <v/>
      </c>
      <c r="M5181" s="34">
        <f t="shared" si="244"/>
        <v>0</v>
      </c>
    </row>
    <row r="5182" spans="7:13" x14ac:dyDescent="0.25">
      <c r="G5182" s="10" t="str">
        <f t="shared" si="242"/>
        <v/>
      </c>
      <c r="H5182" t="str">
        <f t="shared" si="243"/>
        <v/>
      </c>
      <c r="M5182" s="34">
        <f t="shared" si="244"/>
        <v>0</v>
      </c>
    </row>
    <row r="5183" spans="7:13" x14ac:dyDescent="0.25">
      <c r="G5183" s="10" t="str">
        <f t="shared" si="242"/>
        <v/>
      </c>
      <c r="H5183" t="str">
        <f t="shared" si="243"/>
        <v/>
      </c>
      <c r="M5183" s="34">
        <f t="shared" si="244"/>
        <v>0</v>
      </c>
    </row>
    <row r="5184" spans="7:13" x14ac:dyDescent="0.25">
      <c r="G5184" s="10" t="str">
        <f t="shared" si="242"/>
        <v/>
      </c>
      <c r="H5184" t="str">
        <f t="shared" si="243"/>
        <v/>
      </c>
      <c r="M5184" s="34">
        <f t="shared" si="244"/>
        <v>0</v>
      </c>
    </row>
    <row r="5185" spans="7:13" x14ac:dyDescent="0.25">
      <c r="G5185" s="10" t="str">
        <f t="shared" si="242"/>
        <v/>
      </c>
      <c r="H5185" t="str">
        <f t="shared" si="243"/>
        <v/>
      </c>
      <c r="M5185" s="34">
        <f t="shared" si="244"/>
        <v>0</v>
      </c>
    </row>
    <row r="5186" spans="7:13" x14ac:dyDescent="0.25">
      <c r="G5186" s="10" t="str">
        <f t="shared" ref="G5186:G5249" si="245">IF(F5186&gt;0,"RECETTE",IF(F5186&lt;0,"DÉPENSE",""))</f>
        <v/>
      </c>
      <c r="H5186" t="str">
        <f t="shared" ref="H5186:H5249" si="246">+IF(ISNUMBER(D5186),D5186,"")</f>
        <v/>
      </c>
      <c r="M5186" s="34">
        <f t="shared" si="244"/>
        <v>0</v>
      </c>
    </row>
    <row r="5187" spans="7:13" x14ac:dyDescent="0.25">
      <c r="G5187" s="10" t="str">
        <f t="shared" si="245"/>
        <v/>
      </c>
      <c r="H5187" t="str">
        <f t="shared" si="246"/>
        <v/>
      </c>
      <c r="M5187" s="34">
        <f t="shared" ref="M5187:M5250" si="247">IF(AND(E5187="Chèque",G5187="RECETTE"),F5187,0)</f>
        <v>0</v>
      </c>
    </row>
    <row r="5188" spans="7:13" x14ac:dyDescent="0.25">
      <c r="G5188" s="10" t="str">
        <f t="shared" si="245"/>
        <v/>
      </c>
      <c r="H5188" t="str">
        <f t="shared" si="246"/>
        <v/>
      </c>
      <c r="M5188" s="34">
        <f t="shared" si="247"/>
        <v>0</v>
      </c>
    </row>
    <row r="5189" spans="7:13" x14ac:dyDescent="0.25">
      <c r="G5189" s="10" t="str">
        <f t="shared" si="245"/>
        <v/>
      </c>
      <c r="H5189" t="str">
        <f t="shared" si="246"/>
        <v/>
      </c>
      <c r="M5189" s="34">
        <f t="shared" si="247"/>
        <v>0</v>
      </c>
    </row>
    <row r="5190" spans="7:13" x14ac:dyDescent="0.25">
      <c r="G5190" s="10" t="str">
        <f t="shared" si="245"/>
        <v/>
      </c>
      <c r="H5190" t="str">
        <f t="shared" si="246"/>
        <v/>
      </c>
      <c r="M5190" s="34">
        <f t="shared" si="247"/>
        <v>0</v>
      </c>
    </row>
    <row r="5191" spans="7:13" x14ac:dyDescent="0.25">
      <c r="G5191" s="10" t="str">
        <f t="shared" si="245"/>
        <v/>
      </c>
      <c r="H5191" t="str">
        <f t="shared" si="246"/>
        <v/>
      </c>
      <c r="M5191" s="34">
        <f t="shared" si="247"/>
        <v>0</v>
      </c>
    </row>
    <row r="5192" spans="7:13" x14ac:dyDescent="0.25">
      <c r="G5192" s="10" t="str">
        <f t="shared" si="245"/>
        <v/>
      </c>
      <c r="H5192" t="str">
        <f t="shared" si="246"/>
        <v/>
      </c>
      <c r="M5192" s="34">
        <f t="shared" si="247"/>
        <v>0</v>
      </c>
    </row>
    <row r="5193" spans="7:13" x14ac:dyDescent="0.25">
      <c r="G5193" s="10" t="str">
        <f t="shared" si="245"/>
        <v/>
      </c>
      <c r="H5193" t="str">
        <f t="shared" si="246"/>
        <v/>
      </c>
      <c r="M5193" s="34">
        <f t="shared" si="247"/>
        <v>0</v>
      </c>
    </row>
    <row r="5194" spans="7:13" x14ac:dyDescent="0.25">
      <c r="G5194" s="10" t="str">
        <f t="shared" si="245"/>
        <v/>
      </c>
      <c r="H5194" t="str">
        <f t="shared" si="246"/>
        <v/>
      </c>
      <c r="M5194" s="34">
        <f t="shared" si="247"/>
        <v>0</v>
      </c>
    </row>
    <row r="5195" spans="7:13" x14ac:dyDescent="0.25">
      <c r="G5195" s="10" t="str">
        <f t="shared" si="245"/>
        <v/>
      </c>
      <c r="H5195" t="str">
        <f t="shared" si="246"/>
        <v/>
      </c>
      <c r="M5195" s="34">
        <f t="shared" si="247"/>
        <v>0</v>
      </c>
    </row>
    <row r="5196" spans="7:13" x14ac:dyDescent="0.25">
      <c r="G5196" s="10" t="str">
        <f t="shared" si="245"/>
        <v/>
      </c>
      <c r="H5196" t="str">
        <f t="shared" si="246"/>
        <v/>
      </c>
      <c r="M5196" s="34">
        <f t="shared" si="247"/>
        <v>0</v>
      </c>
    </row>
    <row r="5197" spans="7:13" x14ac:dyDescent="0.25">
      <c r="G5197" s="10" t="str">
        <f t="shared" si="245"/>
        <v/>
      </c>
      <c r="H5197" t="str">
        <f t="shared" si="246"/>
        <v/>
      </c>
      <c r="M5197" s="34">
        <f t="shared" si="247"/>
        <v>0</v>
      </c>
    </row>
    <row r="5198" spans="7:13" x14ac:dyDescent="0.25">
      <c r="G5198" s="10" t="str">
        <f t="shared" si="245"/>
        <v/>
      </c>
      <c r="H5198" t="str">
        <f t="shared" si="246"/>
        <v/>
      </c>
      <c r="M5198" s="34">
        <f t="shared" si="247"/>
        <v>0</v>
      </c>
    </row>
    <row r="5199" spans="7:13" x14ac:dyDescent="0.25">
      <c r="G5199" s="10" t="str">
        <f t="shared" si="245"/>
        <v/>
      </c>
      <c r="H5199" t="str">
        <f t="shared" si="246"/>
        <v/>
      </c>
      <c r="M5199" s="34">
        <f t="shared" si="247"/>
        <v>0</v>
      </c>
    </row>
    <row r="5200" spans="7:13" x14ac:dyDescent="0.25">
      <c r="G5200" s="10" t="str">
        <f t="shared" si="245"/>
        <v/>
      </c>
      <c r="H5200" t="str">
        <f t="shared" si="246"/>
        <v/>
      </c>
      <c r="M5200" s="34">
        <f t="shared" si="247"/>
        <v>0</v>
      </c>
    </row>
    <row r="5201" spans="7:13" x14ac:dyDescent="0.25">
      <c r="G5201" s="10" t="str">
        <f t="shared" si="245"/>
        <v/>
      </c>
      <c r="H5201" t="str">
        <f t="shared" si="246"/>
        <v/>
      </c>
      <c r="M5201" s="34">
        <f t="shared" si="247"/>
        <v>0</v>
      </c>
    </row>
    <row r="5202" spans="7:13" x14ac:dyDescent="0.25">
      <c r="G5202" s="10" t="str">
        <f t="shared" si="245"/>
        <v/>
      </c>
      <c r="H5202" t="str">
        <f t="shared" si="246"/>
        <v/>
      </c>
      <c r="M5202" s="34">
        <f t="shared" si="247"/>
        <v>0</v>
      </c>
    </row>
    <row r="5203" spans="7:13" x14ac:dyDescent="0.25">
      <c r="G5203" s="10" t="str">
        <f t="shared" si="245"/>
        <v/>
      </c>
      <c r="H5203" t="str">
        <f t="shared" si="246"/>
        <v/>
      </c>
      <c r="M5203" s="34">
        <f t="shared" si="247"/>
        <v>0</v>
      </c>
    </row>
    <row r="5204" spans="7:13" x14ac:dyDescent="0.25">
      <c r="G5204" s="10" t="str">
        <f t="shared" si="245"/>
        <v/>
      </c>
      <c r="H5204" t="str">
        <f t="shared" si="246"/>
        <v/>
      </c>
      <c r="M5204" s="34">
        <f t="shared" si="247"/>
        <v>0</v>
      </c>
    </row>
    <row r="5205" spans="7:13" x14ac:dyDescent="0.25">
      <c r="G5205" s="10" t="str">
        <f t="shared" si="245"/>
        <v/>
      </c>
      <c r="H5205" t="str">
        <f t="shared" si="246"/>
        <v/>
      </c>
      <c r="M5205" s="34">
        <f t="shared" si="247"/>
        <v>0</v>
      </c>
    </row>
    <row r="5206" spans="7:13" x14ac:dyDescent="0.25">
      <c r="G5206" s="10" t="str">
        <f t="shared" si="245"/>
        <v/>
      </c>
      <c r="H5206" t="str">
        <f t="shared" si="246"/>
        <v/>
      </c>
      <c r="M5206" s="34">
        <f t="shared" si="247"/>
        <v>0</v>
      </c>
    </row>
    <row r="5207" spans="7:13" x14ac:dyDescent="0.25">
      <c r="G5207" s="10" t="str">
        <f t="shared" si="245"/>
        <v/>
      </c>
      <c r="H5207" t="str">
        <f t="shared" si="246"/>
        <v/>
      </c>
      <c r="M5207" s="34">
        <f t="shared" si="247"/>
        <v>0</v>
      </c>
    </row>
    <row r="5208" spans="7:13" x14ac:dyDescent="0.25">
      <c r="G5208" s="10" t="str">
        <f t="shared" si="245"/>
        <v/>
      </c>
      <c r="H5208" t="str">
        <f t="shared" si="246"/>
        <v/>
      </c>
      <c r="M5208" s="34">
        <f t="shared" si="247"/>
        <v>0</v>
      </c>
    </row>
    <row r="5209" spans="7:13" x14ac:dyDescent="0.25">
      <c r="G5209" s="10" t="str">
        <f t="shared" si="245"/>
        <v/>
      </c>
      <c r="H5209" t="str">
        <f t="shared" si="246"/>
        <v/>
      </c>
      <c r="M5209" s="34">
        <f t="shared" si="247"/>
        <v>0</v>
      </c>
    </row>
    <row r="5210" spans="7:13" x14ac:dyDescent="0.25">
      <c r="G5210" s="10" t="str">
        <f t="shared" si="245"/>
        <v/>
      </c>
      <c r="H5210" t="str">
        <f t="shared" si="246"/>
        <v/>
      </c>
      <c r="M5210" s="34">
        <f t="shared" si="247"/>
        <v>0</v>
      </c>
    </row>
    <row r="5211" spans="7:13" x14ac:dyDescent="0.25">
      <c r="G5211" s="10" t="str">
        <f t="shared" si="245"/>
        <v/>
      </c>
      <c r="H5211" t="str">
        <f t="shared" si="246"/>
        <v/>
      </c>
      <c r="M5211" s="34">
        <f t="shared" si="247"/>
        <v>0</v>
      </c>
    </row>
    <row r="5212" spans="7:13" x14ac:dyDescent="0.25">
      <c r="G5212" s="10" t="str">
        <f t="shared" si="245"/>
        <v/>
      </c>
      <c r="H5212" t="str">
        <f t="shared" si="246"/>
        <v/>
      </c>
      <c r="M5212" s="34">
        <f t="shared" si="247"/>
        <v>0</v>
      </c>
    </row>
    <row r="5213" spans="7:13" x14ac:dyDescent="0.25">
      <c r="G5213" s="10" t="str">
        <f t="shared" si="245"/>
        <v/>
      </c>
      <c r="H5213" t="str">
        <f t="shared" si="246"/>
        <v/>
      </c>
      <c r="M5213" s="34">
        <f t="shared" si="247"/>
        <v>0</v>
      </c>
    </row>
    <row r="5214" spans="7:13" x14ac:dyDescent="0.25">
      <c r="G5214" s="10" t="str">
        <f t="shared" si="245"/>
        <v/>
      </c>
      <c r="H5214" t="str">
        <f t="shared" si="246"/>
        <v/>
      </c>
      <c r="M5214" s="34">
        <f t="shared" si="247"/>
        <v>0</v>
      </c>
    </row>
    <row r="5215" spans="7:13" x14ac:dyDescent="0.25">
      <c r="G5215" s="10" t="str">
        <f t="shared" si="245"/>
        <v/>
      </c>
      <c r="H5215" t="str">
        <f t="shared" si="246"/>
        <v/>
      </c>
      <c r="M5215" s="34">
        <f t="shared" si="247"/>
        <v>0</v>
      </c>
    </row>
    <row r="5216" spans="7:13" x14ac:dyDescent="0.25">
      <c r="G5216" s="10" t="str">
        <f t="shared" si="245"/>
        <v/>
      </c>
      <c r="H5216" t="str">
        <f t="shared" si="246"/>
        <v/>
      </c>
      <c r="M5216" s="34">
        <f t="shared" si="247"/>
        <v>0</v>
      </c>
    </row>
    <row r="5217" spans="7:13" x14ac:dyDescent="0.25">
      <c r="G5217" s="10" t="str">
        <f t="shared" si="245"/>
        <v/>
      </c>
      <c r="H5217" t="str">
        <f t="shared" si="246"/>
        <v/>
      </c>
      <c r="M5217" s="34">
        <f t="shared" si="247"/>
        <v>0</v>
      </c>
    </row>
    <row r="5218" spans="7:13" x14ac:dyDescent="0.25">
      <c r="G5218" s="10" t="str">
        <f t="shared" si="245"/>
        <v/>
      </c>
      <c r="H5218" t="str">
        <f t="shared" si="246"/>
        <v/>
      </c>
      <c r="M5218" s="34">
        <f t="shared" si="247"/>
        <v>0</v>
      </c>
    </row>
    <row r="5219" spans="7:13" x14ac:dyDescent="0.25">
      <c r="G5219" s="10" t="str">
        <f t="shared" si="245"/>
        <v/>
      </c>
      <c r="H5219" t="str">
        <f t="shared" si="246"/>
        <v/>
      </c>
      <c r="M5219" s="34">
        <f t="shared" si="247"/>
        <v>0</v>
      </c>
    </row>
    <row r="5220" spans="7:13" x14ac:dyDescent="0.25">
      <c r="G5220" s="10" t="str">
        <f t="shared" si="245"/>
        <v/>
      </c>
      <c r="H5220" t="str">
        <f t="shared" si="246"/>
        <v/>
      </c>
      <c r="M5220" s="34">
        <f t="shared" si="247"/>
        <v>0</v>
      </c>
    </row>
    <row r="5221" spans="7:13" x14ac:dyDescent="0.25">
      <c r="G5221" s="10" t="str">
        <f t="shared" si="245"/>
        <v/>
      </c>
      <c r="H5221" t="str">
        <f t="shared" si="246"/>
        <v/>
      </c>
      <c r="M5221" s="34">
        <f t="shared" si="247"/>
        <v>0</v>
      </c>
    </row>
    <row r="5222" spans="7:13" x14ac:dyDescent="0.25">
      <c r="G5222" s="10" t="str">
        <f t="shared" si="245"/>
        <v/>
      </c>
      <c r="H5222" t="str">
        <f t="shared" si="246"/>
        <v/>
      </c>
      <c r="M5222" s="34">
        <f t="shared" si="247"/>
        <v>0</v>
      </c>
    </row>
    <row r="5223" spans="7:13" x14ac:dyDescent="0.25">
      <c r="G5223" s="10" t="str">
        <f t="shared" si="245"/>
        <v/>
      </c>
      <c r="H5223" t="str">
        <f t="shared" si="246"/>
        <v/>
      </c>
      <c r="M5223" s="34">
        <f t="shared" si="247"/>
        <v>0</v>
      </c>
    </row>
    <row r="5224" spans="7:13" x14ac:dyDescent="0.25">
      <c r="G5224" s="10" t="str">
        <f t="shared" si="245"/>
        <v/>
      </c>
      <c r="H5224" t="str">
        <f t="shared" si="246"/>
        <v/>
      </c>
      <c r="M5224" s="34">
        <f t="shared" si="247"/>
        <v>0</v>
      </c>
    </row>
    <row r="5225" spans="7:13" x14ac:dyDescent="0.25">
      <c r="G5225" s="10" t="str">
        <f t="shared" si="245"/>
        <v/>
      </c>
      <c r="H5225" t="str">
        <f t="shared" si="246"/>
        <v/>
      </c>
      <c r="M5225" s="34">
        <f t="shared" si="247"/>
        <v>0</v>
      </c>
    </row>
    <row r="5226" spans="7:13" x14ac:dyDescent="0.25">
      <c r="G5226" s="10" t="str">
        <f t="shared" si="245"/>
        <v/>
      </c>
      <c r="H5226" t="str">
        <f t="shared" si="246"/>
        <v/>
      </c>
      <c r="M5226" s="34">
        <f t="shared" si="247"/>
        <v>0</v>
      </c>
    </row>
    <row r="5227" spans="7:13" x14ac:dyDescent="0.25">
      <c r="G5227" s="10" t="str">
        <f t="shared" si="245"/>
        <v/>
      </c>
      <c r="H5227" t="str">
        <f t="shared" si="246"/>
        <v/>
      </c>
      <c r="M5227" s="34">
        <f t="shared" si="247"/>
        <v>0</v>
      </c>
    </row>
    <row r="5228" spans="7:13" x14ac:dyDescent="0.25">
      <c r="G5228" s="10" t="str">
        <f t="shared" si="245"/>
        <v/>
      </c>
      <c r="H5228" t="str">
        <f t="shared" si="246"/>
        <v/>
      </c>
      <c r="M5228" s="34">
        <f t="shared" si="247"/>
        <v>0</v>
      </c>
    </row>
    <row r="5229" spans="7:13" x14ac:dyDescent="0.25">
      <c r="G5229" s="10" t="str">
        <f t="shared" si="245"/>
        <v/>
      </c>
      <c r="H5229" t="str">
        <f t="shared" si="246"/>
        <v/>
      </c>
      <c r="M5229" s="34">
        <f t="shared" si="247"/>
        <v>0</v>
      </c>
    </row>
    <row r="5230" spans="7:13" x14ac:dyDescent="0.25">
      <c r="G5230" s="10" t="str">
        <f t="shared" si="245"/>
        <v/>
      </c>
      <c r="H5230" t="str">
        <f t="shared" si="246"/>
        <v/>
      </c>
      <c r="M5230" s="34">
        <f t="shared" si="247"/>
        <v>0</v>
      </c>
    </row>
    <row r="5231" spans="7:13" x14ac:dyDescent="0.25">
      <c r="G5231" s="10" t="str">
        <f t="shared" si="245"/>
        <v/>
      </c>
      <c r="H5231" t="str">
        <f t="shared" si="246"/>
        <v/>
      </c>
      <c r="M5231" s="34">
        <f t="shared" si="247"/>
        <v>0</v>
      </c>
    </row>
    <row r="5232" spans="7:13" x14ac:dyDescent="0.25">
      <c r="G5232" s="10" t="str">
        <f t="shared" si="245"/>
        <v/>
      </c>
      <c r="H5232" t="str">
        <f t="shared" si="246"/>
        <v/>
      </c>
      <c r="M5232" s="34">
        <f t="shared" si="247"/>
        <v>0</v>
      </c>
    </row>
    <row r="5233" spans="7:13" x14ac:dyDescent="0.25">
      <c r="G5233" s="10" t="str">
        <f t="shared" si="245"/>
        <v/>
      </c>
      <c r="H5233" t="str">
        <f t="shared" si="246"/>
        <v/>
      </c>
      <c r="M5233" s="34">
        <f t="shared" si="247"/>
        <v>0</v>
      </c>
    </row>
    <row r="5234" spans="7:13" x14ac:dyDescent="0.25">
      <c r="G5234" s="10" t="str">
        <f t="shared" si="245"/>
        <v/>
      </c>
      <c r="H5234" t="str">
        <f t="shared" si="246"/>
        <v/>
      </c>
      <c r="M5234" s="34">
        <f t="shared" si="247"/>
        <v>0</v>
      </c>
    </row>
    <row r="5235" spans="7:13" x14ac:dyDescent="0.25">
      <c r="G5235" s="10" t="str">
        <f t="shared" si="245"/>
        <v/>
      </c>
      <c r="H5235" t="str">
        <f t="shared" si="246"/>
        <v/>
      </c>
      <c r="M5235" s="34">
        <f t="shared" si="247"/>
        <v>0</v>
      </c>
    </row>
    <row r="5236" spans="7:13" x14ac:dyDescent="0.25">
      <c r="G5236" s="10" t="str">
        <f t="shared" si="245"/>
        <v/>
      </c>
      <c r="H5236" t="str">
        <f t="shared" si="246"/>
        <v/>
      </c>
      <c r="M5236" s="34">
        <f t="shared" si="247"/>
        <v>0</v>
      </c>
    </row>
    <row r="5237" spans="7:13" x14ac:dyDescent="0.25">
      <c r="G5237" s="10" t="str">
        <f t="shared" si="245"/>
        <v/>
      </c>
      <c r="H5237" t="str">
        <f t="shared" si="246"/>
        <v/>
      </c>
      <c r="M5237" s="34">
        <f t="shared" si="247"/>
        <v>0</v>
      </c>
    </row>
    <row r="5238" spans="7:13" x14ac:dyDescent="0.25">
      <c r="G5238" s="10" t="str">
        <f t="shared" si="245"/>
        <v/>
      </c>
      <c r="H5238" t="str">
        <f t="shared" si="246"/>
        <v/>
      </c>
      <c r="M5238" s="34">
        <f t="shared" si="247"/>
        <v>0</v>
      </c>
    </row>
    <row r="5239" spans="7:13" x14ac:dyDescent="0.25">
      <c r="G5239" s="10" t="str">
        <f t="shared" si="245"/>
        <v/>
      </c>
      <c r="H5239" t="str">
        <f t="shared" si="246"/>
        <v/>
      </c>
      <c r="M5239" s="34">
        <f t="shared" si="247"/>
        <v>0</v>
      </c>
    </row>
    <row r="5240" spans="7:13" x14ac:dyDescent="0.25">
      <c r="G5240" s="10" t="str">
        <f t="shared" si="245"/>
        <v/>
      </c>
      <c r="H5240" t="str">
        <f t="shared" si="246"/>
        <v/>
      </c>
      <c r="M5240" s="34">
        <f t="shared" si="247"/>
        <v>0</v>
      </c>
    </row>
    <row r="5241" spans="7:13" x14ac:dyDescent="0.25">
      <c r="G5241" s="10" t="str">
        <f t="shared" si="245"/>
        <v/>
      </c>
      <c r="H5241" t="str">
        <f t="shared" si="246"/>
        <v/>
      </c>
      <c r="M5241" s="34">
        <f t="shared" si="247"/>
        <v>0</v>
      </c>
    </row>
    <row r="5242" spans="7:13" x14ac:dyDescent="0.25">
      <c r="G5242" s="10" t="str">
        <f t="shared" si="245"/>
        <v/>
      </c>
      <c r="H5242" t="str">
        <f t="shared" si="246"/>
        <v/>
      </c>
      <c r="M5242" s="34">
        <f t="shared" si="247"/>
        <v>0</v>
      </c>
    </row>
    <row r="5243" spans="7:13" x14ac:dyDescent="0.25">
      <c r="G5243" s="10" t="str">
        <f t="shared" si="245"/>
        <v/>
      </c>
      <c r="H5243" t="str">
        <f t="shared" si="246"/>
        <v/>
      </c>
      <c r="M5243" s="34">
        <f t="shared" si="247"/>
        <v>0</v>
      </c>
    </row>
    <row r="5244" spans="7:13" x14ac:dyDescent="0.25">
      <c r="G5244" s="10" t="str">
        <f t="shared" si="245"/>
        <v/>
      </c>
      <c r="H5244" t="str">
        <f t="shared" si="246"/>
        <v/>
      </c>
      <c r="M5244" s="34">
        <f t="shared" si="247"/>
        <v>0</v>
      </c>
    </row>
    <row r="5245" spans="7:13" x14ac:dyDescent="0.25">
      <c r="G5245" s="10" t="str">
        <f t="shared" si="245"/>
        <v/>
      </c>
      <c r="H5245" t="str">
        <f t="shared" si="246"/>
        <v/>
      </c>
      <c r="M5245" s="34">
        <f t="shared" si="247"/>
        <v>0</v>
      </c>
    </row>
    <row r="5246" spans="7:13" x14ac:dyDescent="0.25">
      <c r="G5246" s="10" t="str">
        <f t="shared" si="245"/>
        <v/>
      </c>
      <c r="H5246" t="str">
        <f t="shared" si="246"/>
        <v/>
      </c>
      <c r="M5246" s="34">
        <f t="shared" si="247"/>
        <v>0</v>
      </c>
    </row>
    <row r="5247" spans="7:13" x14ac:dyDescent="0.25">
      <c r="G5247" s="10" t="str">
        <f t="shared" si="245"/>
        <v/>
      </c>
      <c r="H5247" t="str">
        <f t="shared" si="246"/>
        <v/>
      </c>
      <c r="M5247" s="34">
        <f t="shared" si="247"/>
        <v>0</v>
      </c>
    </row>
    <row r="5248" spans="7:13" x14ac:dyDescent="0.25">
      <c r="G5248" s="10" t="str">
        <f t="shared" si="245"/>
        <v/>
      </c>
      <c r="H5248" t="str">
        <f t="shared" si="246"/>
        <v/>
      </c>
      <c r="M5248" s="34">
        <f t="shared" si="247"/>
        <v>0</v>
      </c>
    </row>
    <row r="5249" spans="7:13" x14ac:dyDescent="0.25">
      <c r="G5249" s="10" t="str">
        <f t="shared" si="245"/>
        <v/>
      </c>
      <c r="H5249" t="str">
        <f t="shared" si="246"/>
        <v/>
      </c>
      <c r="M5249" s="34">
        <f t="shared" si="247"/>
        <v>0</v>
      </c>
    </row>
    <row r="5250" spans="7:13" x14ac:dyDescent="0.25">
      <c r="G5250" s="10" t="str">
        <f t="shared" ref="G5250:G5313" si="248">IF(F5250&gt;0,"RECETTE",IF(F5250&lt;0,"DÉPENSE",""))</f>
        <v/>
      </c>
      <c r="H5250" t="str">
        <f t="shared" ref="H5250:H5313" si="249">+IF(ISNUMBER(D5250),D5250,"")</f>
        <v/>
      </c>
      <c r="M5250" s="34">
        <f t="shared" si="247"/>
        <v>0</v>
      </c>
    </row>
    <row r="5251" spans="7:13" x14ac:dyDescent="0.25">
      <c r="G5251" s="10" t="str">
        <f t="shared" si="248"/>
        <v/>
      </c>
      <c r="H5251" t="str">
        <f t="shared" si="249"/>
        <v/>
      </c>
      <c r="M5251" s="34">
        <f t="shared" ref="M5251:M5314" si="250">IF(AND(E5251="Chèque",G5251="RECETTE"),F5251,0)</f>
        <v>0</v>
      </c>
    </row>
    <row r="5252" spans="7:13" x14ac:dyDescent="0.25">
      <c r="G5252" s="10" t="str">
        <f t="shared" si="248"/>
        <v/>
      </c>
      <c r="H5252" t="str">
        <f t="shared" si="249"/>
        <v/>
      </c>
      <c r="M5252" s="34">
        <f t="shared" si="250"/>
        <v>0</v>
      </c>
    </row>
    <row r="5253" spans="7:13" x14ac:dyDescent="0.25">
      <c r="G5253" s="10" t="str">
        <f t="shared" si="248"/>
        <v/>
      </c>
      <c r="H5253" t="str">
        <f t="shared" si="249"/>
        <v/>
      </c>
      <c r="M5253" s="34">
        <f t="shared" si="250"/>
        <v>0</v>
      </c>
    </row>
    <row r="5254" spans="7:13" x14ac:dyDescent="0.25">
      <c r="G5254" s="10" t="str">
        <f t="shared" si="248"/>
        <v/>
      </c>
      <c r="H5254" t="str">
        <f t="shared" si="249"/>
        <v/>
      </c>
      <c r="M5254" s="34">
        <f t="shared" si="250"/>
        <v>0</v>
      </c>
    </row>
    <row r="5255" spans="7:13" x14ac:dyDescent="0.25">
      <c r="G5255" s="10" t="str">
        <f t="shared" si="248"/>
        <v/>
      </c>
      <c r="H5255" t="str">
        <f t="shared" si="249"/>
        <v/>
      </c>
      <c r="M5255" s="34">
        <f t="shared" si="250"/>
        <v>0</v>
      </c>
    </row>
    <row r="5256" spans="7:13" x14ac:dyDescent="0.25">
      <c r="G5256" s="10" t="str">
        <f t="shared" si="248"/>
        <v/>
      </c>
      <c r="H5256" t="str">
        <f t="shared" si="249"/>
        <v/>
      </c>
      <c r="M5256" s="34">
        <f t="shared" si="250"/>
        <v>0</v>
      </c>
    </row>
    <row r="5257" spans="7:13" x14ac:dyDescent="0.25">
      <c r="G5257" s="10" t="str">
        <f t="shared" si="248"/>
        <v/>
      </c>
      <c r="H5257" t="str">
        <f t="shared" si="249"/>
        <v/>
      </c>
      <c r="M5257" s="34">
        <f t="shared" si="250"/>
        <v>0</v>
      </c>
    </row>
    <row r="5258" spans="7:13" x14ac:dyDescent="0.25">
      <c r="G5258" s="10" t="str">
        <f t="shared" si="248"/>
        <v/>
      </c>
      <c r="H5258" t="str">
        <f t="shared" si="249"/>
        <v/>
      </c>
      <c r="M5258" s="34">
        <f t="shared" si="250"/>
        <v>0</v>
      </c>
    </row>
    <row r="5259" spans="7:13" x14ac:dyDescent="0.25">
      <c r="G5259" s="10" t="str">
        <f t="shared" si="248"/>
        <v/>
      </c>
      <c r="H5259" t="str">
        <f t="shared" si="249"/>
        <v/>
      </c>
      <c r="M5259" s="34">
        <f t="shared" si="250"/>
        <v>0</v>
      </c>
    </row>
    <row r="5260" spans="7:13" x14ac:dyDescent="0.25">
      <c r="G5260" s="10" t="str">
        <f t="shared" si="248"/>
        <v/>
      </c>
      <c r="H5260" t="str">
        <f t="shared" si="249"/>
        <v/>
      </c>
      <c r="M5260" s="34">
        <f t="shared" si="250"/>
        <v>0</v>
      </c>
    </row>
    <row r="5261" spans="7:13" x14ac:dyDescent="0.25">
      <c r="G5261" s="10" t="str">
        <f t="shared" si="248"/>
        <v/>
      </c>
      <c r="H5261" t="str">
        <f t="shared" si="249"/>
        <v/>
      </c>
      <c r="M5261" s="34">
        <f t="shared" si="250"/>
        <v>0</v>
      </c>
    </row>
    <row r="5262" spans="7:13" x14ac:dyDescent="0.25">
      <c r="G5262" s="10" t="str">
        <f t="shared" si="248"/>
        <v/>
      </c>
      <c r="H5262" t="str">
        <f t="shared" si="249"/>
        <v/>
      </c>
      <c r="M5262" s="34">
        <f t="shared" si="250"/>
        <v>0</v>
      </c>
    </row>
    <row r="5263" spans="7:13" x14ac:dyDescent="0.25">
      <c r="G5263" s="10" t="str">
        <f t="shared" si="248"/>
        <v/>
      </c>
      <c r="H5263" t="str">
        <f t="shared" si="249"/>
        <v/>
      </c>
      <c r="M5263" s="34">
        <f t="shared" si="250"/>
        <v>0</v>
      </c>
    </row>
    <row r="5264" spans="7:13" x14ac:dyDescent="0.25">
      <c r="G5264" s="10" t="str">
        <f t="shared" si="248"/>
        <v/>
      </c>
      <c r="H5264" t="str">
        <f t="shared" si="249"/>
        <v/>
      </c>
      <c r="M5264" s="34">
        <f t="shared" si="250"/>
        <v>0</v>
      </c>
    </row>
    <row r="5265" spans="7:13" x14ac:dyDescent="0.25">
      <c r="G5265" s="10" t="str">
        <f t="shared" si="248"/>
        <v/>
      </c>
      <c r="H5265" t="str">
        <f t="shared" si="249"/>
        <v/>
      </c>
      <c r="M5265" s="34">
        <f t="shared" si="250"/>
        <v>0</v>
      </c>
    </row>
    <row r="5266" spans="7:13" x14ac:dyDescent="0.25">
      <c r="G5266" s="10" t="str">
        <f t="shared" si="248"/>
        <v/>
      </c>
      <c r="H5266" t="str">
        <f t="shared" si="249"/>
        <v/>
      </c>
      <c r="M5266" s="34">
        <f t="shared" si="250"/>
        <v>0</v>
      </c>
    </row>
    <row r="5267" spans="7:13" x14ac:dyDescent="0.25">
      <c r="G5267" s="10" t="str">
        <f t="shared" si="248"/>
        <v/>
      </c>
      <c r="H5267" t="str">
        <f t="shared" si="249"/>
        <v/>
      </c>
      <c r="M5267" s="34">
        <f t="shared" si="250"/>
        <v>0</v>
      </c>
    </row>
    <row r="5268" spans="7:13" x14ac:dyDescent="0.25">
      <c r="G5268" s="10" t="str">
        <f t="shared" si="248"/>
        <v/>
      </c>
      <c r="H5268" t="str">
        <f t="shared" si="249"/>
        <v/>
      </c>
      <c r="M5268" s="34">
        <f t="shared" si="250"/>
        <v>0</v>
      </c>
    </row>
    <row r="5269" spans="7:13" x14ac:dyDescent="0.25">
      <c r="G5269" s="10" t="str">
        <f t="shared" si="248"/>
        <v/>
      </c>
      <c r="H5269" t="str">
        <f t="shared" si="249"/>
        <v/>
      </c>
      <c r="M5269" s="34">
        <f t="shared" si="250"/>
        <v>0</v>
      </c>
    </row>
    <row r="5270" spans="7:13" x14ac:dyDescent="0.25">
      <c r="G5270" s="10" t="str">
        <f t="shared" si="248"/>
        <v/>
      </c>
      <c r="H5270" t="str">
        <f t="shared" si="249"/>
        <v/>
      </c>
      <c r="M5270" s="34">
        <f t="shared" si="250"/>
        <v>0</v>
      </c>
    </row>
    <row r="5271" spans="7:13" x14ac:dyDescent="0.25">
      <c r="G5271" s="10" t="str">
        <f t="shared" si="248"/>
        <v/>
      </c>
      <c r="H5271" t="str">
        <f t="shared" si="249"/>
        <v/>
      </c>
      <c r="M5271" s="34">
        <f t="shared" si="250"/>
        <v>0</v>
      </c>
    </row>
    <row r="5272" spans="7:13" x14ac:dyDescent="0.25">
      <c r="G5272" s="10" t="str">
        <f t="shared" si="248"/>
        <v/>
      </c>
      <c r="H5272" t="str">
        <f t="shared" si="249"/>
        <v/>
      </c>
      <c r="M5272" s="34">
        <f t="shared" si="250"/>
        <v>0</v>
      </c>
    </row>
    <row r="5273" spans="7:13" x14ac:dyDescent="0.25">
      <c r="G5273" s="10" t="str">
        <f t="shared" si="248"/>
        <v/>
      </c>
      <c r="H5273" t="str">
        <f t="shared" si="249"/>
        <v/>
      </c>
      <c r="M5273" s="34">
        <f t="shared" si="250"/>
        <v>0</v>
      </c>
    </row>
    <row r="5274" spans="7:13" x14ac:dyDescent="0.25">
      <c r="G5274" s="10" t="str">
        <f t="shared" si="248"/>
        <v/>
      </c>
      <c r="H5274" t="str">
        <f t="shared" si="249"/>
        <v/>
      </c>
      <c r="M5274" s="34">
        <f t="shared" si="250"/>
        <v>0</v>
      </c>
    </row>
    <row r="5275" spans="7:13" x14ac:dyDescent="0.25">
      <c r="G5275" s="10" t="str">
        <f t="shared" si="248"/>
        <v/>
      </c>
      <c r="H5275" t="str">
        <f t="shared" si="249"/>
        <v/>
      </c>
      <c r="M5275" s="34">
        <f t="shared" si="250"/>
        <v>0</v>
      </c>
    </row>
    <row r="5276" spans="7:13" x14ac:dyDescent="0.25">
      <c r="G5276" s="10" t="str">
        <f t="shared" si="248"/>
        <v/>
      </c>
      <c r="H5276" t="str">
        <f t="shared" si="249"/>
        <v/>
      </c>
      <c r="M5276" s="34">
        <f t="shared" si="250"/>
        <v>0</v>
      </c>
    </row>
    <row r="5277" spans="7:13" x14ac:dyDescent="0.25">
      <c r="G5277" s="10" t="str">
        <f t="shared" si="248"/>
        <v/>
      </c>
      <c r="H5277" t="str">
        <f t="shared" si="249"/>
        <v/>
      </c>
      <c r="M5277" s="34">
        <f t="shared" si="250"/>
        <v>0</v>
      </c>
    </row>
    <row r="5278" spans="7:13" x14ac:dyDescent="0.25">
      <c r="G5278" s="10" t="str">
        <f t="shared" si="248"/>
        <v/>
      </c>
      <c r="H5278" t="str">
        <f t="shared" si="249"/>
        <v/>
      </c>
      <c r="M5278" s="34">
        <f t="shared" si="250"/>
        <v>0</v>
      </c>
    </row>
    <row r="5279" spans="7:13" x14ac:dyDescent="0.25">
      <c r="G5279" s="10" t="str">
        <f t="shared" si="248"/>
        <v/>
      </c>
      <c r="H5279" t="str">
        <f t="shared" si="249"/>
        <v/>
      </c>
      <c r="M5279" s="34">
        <f t="shared" si="250"/>
        <v>0</v>
      </c>
    </row>
    <row r="5280" spans="7:13" x14ac:dyDescent="0.25">
      <c r="G5280" s="10" t="str">
        <f t="shared" si="248"/>
        <v/>
      </c>
      <c r="H5280" t="str">
        <f t="shared" si="249"/>
        <v/>
      </c>
      <c r="M5280" s="34">
        <f t="shared" si="250"/>
        <v>0</v>
      </c>
    </row>
    <row r="5281" spans="7:13" x14ac:dyDescent="0.25">
      <c r="G5281" s="10" t="str">
        <f t="shared" si="248"/>
        <v/>
      </c>
      <c r="H5281" t="str">
        <f t="shared" si="249"/>
        <v/>
      </c>
      <c r="M5281" s="34">
        <f t="shared" si="250"/>
        <v>0</v>
      </c>
    </row>
    <row r="5282" spans="7:13" x14ac:dyDescent="0.25">
      <c r="G5282" s="10" t="str">
        <f t="shared" si="248"/>
        <v/>
      </c>
      <c r="H5282" t="str">
        <f t="shared" si="249"/>
        <v/>
      </c>
      <c r="M5282" s="34">
        <f t="shared" si="250"/>
        <v>0</v>
      </c>
    </row>
    <row r="5283" spans="7:13" x14ac:dyDescent="0.25">
      <c r="G5283" s="10" t="str">
        <f t="shared" si="248"/>
        <v/>
      </c>
      <c r="H5283" t="str">
        <f t="shared" si="249"/>
        <v/>
      </c>
      <c r="M5283" s="34">
        <f t="shared" si="250"/>
        <v>0</v>
      </c>
    </row>
    <row r="5284" spans="7:13" x14ac:dyDescent="0.25">
      <c r="G5284" s="10" t="str">
        <f t="shared" si="248"/>
        <v/>
      </c>
      <c r="H5284" t="str">
        <f t="shared" si="249"/>
        <v/>
      </c>
      <c r="M5284" s="34">
        <f t="shared" si="250"/>
        <v>0</v>
      </c>
    </row>
    <row r="5285" spans="7:13" x14ac:dyDescent="0.25">
      <c r="G5285" s="10" t="str">
        <f t="shared" si="248"/>
        <v/>
      </c>
      <c r="H5285" t="str">
        <f t="shared" si="249"/>
        <v/>
      </c>
      <c r="M5285" s="34">
        <f t="shared" si="250"/>
        <v>0</v>
      </c>
    </row>
    <row r="5286" spans="7:13" x14ac:dyDescent="0.25">
      <c r="G5286" s="10" t="str">
        <f t="shared" si="248"/>
        <v/>
      </c>
      <c r="H5286" t="str">
        <f t="shared" si="249"/>
        <v/>
      </c>
      <c r="M5286" s="34">
        <f t="shared" si="250"/>
        <v>0</v>
      </c>
    </row>
    <row r="5287" spans="7:13" x14ac:dyDescent="0.25">
      <c r="G5287" s="10" t="str">
        <f t="shared" si="248"/>
        <v/>
      </c>
      <c r="H5287" t="str">
        <f t="shared" si="249"/>
        <v/>
      </c>
      <c r="M5287" s="34">
        <f t="shared" si="250"/>
        <v>0</v>
      </c>
    </row>
    <row r="5288" spans="7:13" x14ac:dyDescent="0.25">
      <c r="G5288" s="10" t="str">
        <f t="shared" si="248"/>
        <v/>
      </c>
      <c r="H5288" t="str">
        <f t="shared" si="249"/>
        <v/>
      </c>
      <c r="M5288" s="34">
        <f t="shared" si="250"/>
        <v>0</v>
      </c>
    </row>
    <row r="5289" spans="7:13" x14ac:dyDescent="0.25">
      <c r="G5289" s="10" t="str">
        <f t="shared" si="248"/>
        <v/>
      </c>
      <c r="H5289" t="str">
        <f t="shared" si="249"/>
        <v/>
      </c>
      <c r="M5289" s="34">
        <f t="shared" si="250"/>
        <v>0</v>
      </c>
    </row>
    <row r="5290" spans="7:13" x14ac:dyDescent="0.25">
      <c r="G5290" s="10" t="str">
        <f t="shared" si="248"/>
        <v/>
      </c>
      <c r="H5290" t="str">
        <f t="shared" si="249"/>
        <v/>
      </c>
      <c r="M5290" s="34">
        <f t="shared" si="250"/>
        <v>0</v>
      </c>
    </row>
    <row r="5291" spans="7:13" x14ac:dyDescent="0.25">
      <c r="G5291" s="10" t="str">
        <f t="shared" si="248"/>
        <v/>
      </c>
      <c r="H5291" t="str">
        <f t="shared" si="249"/>
        <v/>
      </c>
      <c r="M5291" s="34">
        <f t="shared" si="250"/>
        <v>0</v>
      </c>
    </row>
    <row r="5292" spans="7:13" x14ac:dyDescent="0.25">
      <c r="G5292" s="10" t="str">
        <f t="shared" si="248"/>
        <v/>
      </c>
      <c r="H5292" t="str">
        <f t="shared" si="249"/>
        <v/>
      </c>
      <c r="M5292" s="34">
        <f t="shared" si="250"/>
        <v>0</v>
      </c>
    </row>
    <row r="5293" spans="7:13" x14ac:dyDescent="0.25">
      <c r="G5293" s="10" t="str">
        <f t="shared" si="248"/>
        <v/>
      </c>
      <c r="H5293" t="str">
        <f t="shared" si="249"/>
        <v/>
      </c>
      <c r="M5293" s="34">
        <f t="shared" si="250"/>
        <v>0</v>
      </c>
    </row>
    <row r="5294" spans="7:13" x14ac:dyDescent="0.25">
      <c r="G5294" s="10" t="str">
        <f t="shared" si="248"/>
        <v/>
      </c>
      <c r="H5294" t="str">
        <f t="shared" si="249"/>
        <v/>
      </c>
      <c r="M5294" s="34">
        <f t="shared" si="250"/>
        <v>0</v>
      </c>
    </row>
    <row r="5295" spans="7:13" x14ac:dyDescent="0.25">
      <c r="G5295" s="10" t="str">
        <f t="shared" si="248"/>
        <v/>
      </c>
      <c r="H5295" t="str">
        <f t="shared" si="249"/>
        <v/>
      </c>
      <c r="M5295" s="34">
        <f t="shared" si="250"/>
        <v>0</v>
      </c>
    </row>
    <row r="5296" spans="7:13" x14ac:dyDescent="0.25">
      <c r="G5296" s="10" t="str">
        <f t="shared" si="248"/>
        <v/>
      </c>
      <c r="H5296" t="str">
        <f t="shared" si="249"/>
        <v/>
      </c>
      <c r="M5296" s="34">
        <f t="shared" si="250"/>
        <v>0</v>
      </c>
    </row>
    <row r="5297" spans="7:13" x14ac:dyDescent="0.25">
      <c r="G5297" s="10" t="str">
        <f t="shared" si="248"/>
        <v/>
      </c>
      <c r="H5297" t="str">
        <f t="shared" si="249"/>
        <v/>
      </c>
      <c r="M5297" s="34">
        <f t="shared" si="250"/>
        <v>0</v>
      </c>
    </row>
    <row r="5298" spans="7:13" x14ac:dyDescent="0.25">
      <c r="G5298" s="10" t="str">
        <f t="shared" si="248"/>
        <v/>
      </c>
      <c r="H5298" t="str">
        <f t="shared" si="249"/>
        <v/>
      </c>
      <c r="M5298" s="34">
        <f t="shared" si="250"/>
        <v>0</v>
      </c>
    </row>
    <row r="5299" spans="7:13" x14ac:dyDescent="0.25">
      <c r="G5299" s="10" t="str">
        <f t="shared" si="248"/>
        <v/>
      </c>
      <c r="H5299" t="str">
        <f t="shared" si="249"/>
        <v/>
      </c>
      <c r="M5299" s="34">
        <f t="shared" si="250"/>
        <v>0</v>
      </c>
    </row>
    <row r="5300" spans="7:13" x14ac:dyDescent="0.25">
      <c r="G5300" s="10" t="str">
        <f t="shared" si="248"/>
        <v/>
      </c>
      <c r="H5300" t="str">
        <f t="shared" si="249"/>
        <v/>
      </c>
      <c r="M5300" s="34">
        <f t="shared" si="250"/>
        <v>0</v>
      </c>
    </row>
    <row r="5301" spans="7:13" x14ac:dyDescent="0.25">
      <c r="G5301" s="10" t="str">
        <f t="shared" si="248"/>
        <v/>
      </c>
      <c r="H5301" t="str">
        <f t="shared" si="249"/>
        <v/>
      </c>
      <c r="M5301" s="34">
        <f t="shared" si="250"/>
        <v>0</v>
      </c>
    </row>
    <row r="5302" spans="7:13" x14ac:dyDescent="0.25">
      <c r="G5302" s="10" t="str">
        <f t="shared" si="248"/>
        <v/>
      </c>
      <c r="H5302" t="str">
        <f t="shared" si="249"/>
        <v/>
      </c>
      <c r="M5302" s="34">
        <f t="shared" si="250"/>
        <v>0</v>
      </c>
    </row>
    <row r="5303" spans="7:13" x14ac:dyDescent="0.25">
      <c r="G5303" s="10" t="str">
        <f t="shared" si="248"/>
        <v/>
      </c>
      <c r="H5303" t="str">
        <f t="shared" si="249"/>
        <v/>
      </c>
      <c r="M5303" s="34">
        <f t="shared" si="250"/>
        <v>0</v>
      </c>
    </row>
    <row r="5304" spans="7:13" x14ac:dyDescent="0.25">
      <c r="G5304" s="10" t="str">
        <f t="shared" si="248"/>
        <v/>
      </c>
      <c r="H5304" t="str">
        <f t="shared" si="249"/>
        <v/>
      </c>
      <c r="M5304" s="34">
        <f t="shared" si="250"/>
        <v>0</v>
      </c>
    </row>
    <row r="5305" spans="7:13" x14ac:dyDescent="0.25">
      <c r="G5305" s="10" t="str">
        <f t="shared" si="248"/>
        <v/>
      </c>
      <c r="H5305" t="str">
        <f t="shared" si="249"/>
        <v/>
      </c>
      <c r="M5305" s="34">
        <f t="shared" si="250"/>
        <v>0</v>
      </c>
    </row>
    <row r="5306" spans="7:13" x14ac:dyDescent="0.25">
      <c r="G5306" s="10" t="str">
        <f t="shared" si="248"/>
        <v/>
      </c>
      <c r="H5306" t="str">
        <f t="shared" si="249"/>
        <v/>
      </c>
      <c r="M5306" s="34">
        <f t="shared" si="250"/>
        <v>0</v>
      </c>
    </row>
    <row r="5307" spans="7:13" x14ac:dyDescent="0.25">
      <c r="G5307" s="10" t="str">
        <f t="shared" si="248"/>
        <v/>
      </c>
      <c r="H5307" t="str">
        <f t="shared" si="249"/>
        <v/>
      </c>
      <c r="M5307" s="34">
        <f t="shared" si="250"/>
        <v>0</v>
      </c>
    </row>
    <row r="5308" spans="7:13" x14ac:dyDescent="0.25">
      <c r="G5308" s="10" t="str">
        <f t="shared" si="248"/>
        <v/>
      </c>
      <c r="H5308" t="str">
        <f t="shared" si="249"/>
        <v/>
      </c>
      <c r="M5308" s="34">
        <f t="shared" si="250"/>
        <v>0</v>
      </c>
    </row>
    <row r="5309" spans="7:13" x14ac:dyDescent="0.25">
      <c r="G5309" s="10" t="str">
        <f t="shared" si="248"/>
        <v/>
      </c>
      <c r="H5309" t="str">
        <f t="shared" si="249"/>
        <v/>
      </c>
      <c r="M5309" s="34">
        <f t="shared" si="250"/>
        <v>0</v>
      </c>
    </row>
    <row r="5310" spans="7:13" x14ac:dyDescent="0.25">
      <c r="G5310" s="10" t="str">
        <f t="shared" si="248"/>
        <v/>
      </c>
      <c r="H5310" t="str">
        <f t="shared" si="249"/>
        <v/>
      </c>
      <c r="M5310" s="34">
        <f t="shared" si="250"/>
        <v>0</v>
      </c>
    </row>
    <row r="5311" spans="7:13" x14ac:dyDescent="0.25">
      <c r="G5311" s="10" t="str">
        <f t="shared" si="248"/>
        <v/>
      </c>
      <c r="H5311" t="str">
        <f t="shared" si="249"/>
        <v/>
      </c>
      <c r="M5311" s="34">
        <f t="shared" si="250"/>
        <v>0</v>
      </c>
    </row>
    <row r="5312" spans="7:13" x14ac:dyDescent="0.25">
      <c r="G5312" s="10" t="str">
        <f t="shared" si="248"/>
        <v/>
      </c>
      <c r="H5312" t="str">
        <f t="shared" si="249"/>
        <v/>
      </c>
      <c r="M5312" s="34">
        <f t="shared" si="250"/>
        <v>0</v>
      </c>
    </row>
    <row r="5313" spans="7:13" x14ac:dyDescent="0.25">
      <c r="G5313" s="10" t="str">
        <f t="shared" si="248"/>
        <v/>
      </c>
      <c r="H5313" t="str">
        <f t="shared" si="249"/>
        <v/>
      </c>
      <c r="M5313" s="34">
        <f t="shared" si="250"/>
        <v>0</v>
      </c>
    </row>
    <row r="5314" spans="7:13" x14ac:dyDescent="0.25">
      <c r="G5314" s="10" t="str">
        <f t="shared" ref="G5314:G5377" si="251">IF(F5314&gt;0,"RECETTE",IF(F5314&lt;0,"DÉPENSE",""))</f>
        <v/>
      </c>
      <c r="H5314" t="str">
        <f t="shared" ref="H5314:H5377" si="252">+IF(ISNUMBER(D5314),D5314,"")</f>
        <v/>
      </c>
      <c r="M5314" s="34">
        <f t="shared" si="250"/>
        <v>0</v>
      </c>
    </row>
    <row r="5315" spans="7:13" x14ac:dyDescent="0.25">
      <c r="G5315" s="10" t="str">
        <f t="shared" si="251"/>
        <v/>
      </c>
      <c r="H5315" t="str">
        <f t="shared" si="252"/>
        <v/>
      </c>
      <c r="M5315" s="34">
        <f t="shared" ref="M5315:M5378" si="253">IF(AND(E5315="Chèque",G5315="RECETTE"),F5315,0)</f>
        <v>0</v>
      </c>
    </row>
    <row r="5316" spans="7:13" x14ac:dyDescent="0.25">
      <c r="G5316" s="10" t="str">
        <f t="shared" si="251"/>
        <v/>
      </c>
      <c r="H5316" t="str">
        <f t="shared" si="252"/>
        <v/>
      </c>
      <c r="M5316" s="34">
        <f t="shared" si="253"/>
        <v>0</v>
      </c>
    </row>
    <row r="5317" spans="7:13" x14ac:dyDescent="0.25">
      <c r="G5317" s="10" t="str">
        <f t="shared" si="251"/>
        <v/>
      </c>
      <c r="H5317" t="str">
        <f t="shared" si="252"/>
        <v/>
      </c>
      <c r="M5317" s="34">
        <f t="shared" si="253"/>
        <v>0</v>
      </c>
    </row>
    <row r="5318" spans="7:13" x14ac:dyDescent="0.25">
      <c r="G5318" s="10" t="str">
        <f t="shared" si="251"/>
        <v/>
      </c>
      <c r="H5318" t="str">
        <f t="shared" si="252"/>
        <v/>
      </c>
      <c r="M5318" s="34">
        <f t="shared" si="253"/>
        <v>0</v>
      </c>
    </row>
    <row r="5319" spans="7:13" x14ac:dyDescent="0.25">
      <c r="G5319" s="10" t="str">
        <f t="shared" si="251"/>
        <v/>
      </c>
      <c r="H5319" t="str">
        <f t="shared" si="252"/>
        <v/>
      </c>
      <c r="M5319" s="34">
        <f t="shared" si="253"/>
        <v>0</v>
      </c>
    </row>
    <row r="5320" spans="7:13" x14ac:dyDescent="0.25">
      <c r="G5320" s="10" t="str">
        <f t="shared" si="251"/>
        <v/>
      </c>
      <c r="H5320" t="str">
        <f t="shared" si="252"/>
        <v/>
      </c>
      <c r="M5320" s="34">
        <f t="shared" si="253"/>
        <v>0</v>
      </c>
    </row>
    <row r="5321" spans="7:13" x14ac:dyDescent="0.25">
      <c r="G5321" s="10" t="str">
        <f t="shared" si="251"/>
        <v/>
      </c>
      <c r="H5321" t="str">
        <f t="shared" si="252"/>
        <v/>
      </c>
      <c r="M5321" s="34">
        <f t="shared" si="253"/>
        <v>0</v>
      </c>
    </row>
    <row r="5322" spans="7:13" x14ac:dyDescent="0.25">
      <c r="G5322" s="10" t="str">
        <f t="shared" si="251"/>
        <v/>
      </c>
      <c r="H5322" t="str">
        <f t="shared" si="252"/>
        <v/>
      </c>
      <c r="M5322" s="34">
        <f t="shared" si="253"/>
        <v>0</v>
      </c>
    </row>
    <row r="5323" spans="7:13" x14ac:dyDescent="0.25">
      <c r="G5323" s="10" t="str">
        <f t="shared" si="251"/>
        <v/>
      </c>
      <c r="H5323" t="str">
        <f t="shared" si="252"/>
        <v/>
      </c>
      <c r="M5323" s="34">
        <f t="shared" si="253"/>
        <v>0</v>
      </c>
    </row>
    <row r="5324" spans="7:13" x14ac:dyDescent="0.25">
      <c r="G5324" s="10" t="str">
        <f t="shared" si="251"/>
        <v/>
      </c>
      <c r="H5324" t="str">
        <f t="shared" si="252"/>
        <v/>
      </c>
      <c r="M5324" s="34">
        <f t="shared" si="253"/>
        <v>0</v>
      </c>
    </row>
    <row r="5325" spans="7:13" x14ac:dyDescent="0.25">
      <c r="G5325" s="10" t="str">
        <f t="shared" si="251"/>
        <v/>
      </c>
      <c r="H5325" t="str">
        <f t="shared" si="252"/>
        <v/>
      </c>
      <c r="M5325" s="34">
        <f t="shared" si="253"/>
        <v>0</v>
      </c>
    </row>
    <row r="5326" spans="7:13" x14ac:dyDescent="0.25">
      <c r="G5326" s="10" t="str">
        <f t="shared" si="251"/>
        <v/>
      </c>
      <c r="H5326" t="str">
        <f t="shared" si="252"/>
        <v/>
      </c>
      <c r="M5326" s="34">
        <f t="shared" si="253"/>
        <v>0</v>
      </c>
    </row>
    <row r="5327" spans="7:13" x14ac:dyDescent="0.25">
      <c r="G5327" s="10" t="str">
        <f t="shared" si="251"/>
        <v/>
      </c>
      <c r="H5327" t="str">
        <f t="shared" si="252"/>
        <v/>
      </c>
      <c r="M5327" s="34">
        <f t="shared" si="253"/>
        <v>0</v>
      </c>
    </row>
    <row r="5328" spans="7:13" x14ac:dyDescent="0.25">
      <c r="G5328" s="10" t="str">
        <f t="shared" si="251"/>
        <v/>
      </c>
      <c r="H5328" t="str">
        <f t="shared" si="252"/>
        <v/>
      </c>
      <c r="M5328" s="34">
        <f t="shared" si="253"/>
        <v>0</v>
      </c>
    </row>
    <row r="5329" spans="7:13" x14ac:dyDescent="0.25">
      <c r="G5329" s="10" t="str">
        <f t="shared" si="251"/>
        <v/>
      </c>
      <c r="H5329" t="str">
        <f t="shared" si="252"/>
        <v/>
      </c>
      <c r="M5329" s="34">
        <f t="shared" si="253"/>
        <v>0</v>
      </c>
    </row>
    <row r="5330" spans="7:13" x14ac:dyDescent="0.25">
      <c r="G5330" s="10" t="str">
        <f t="shared" si="251"/>
        <v/>
      </c>
      <c r="H5330" t="str">
        <f t="shared" si="252"/>
        <v/>
      </c>
      <c r="M5330" s="34">
        <f t="shared" si="253"/>
        <v>0</v>
      </c>
    </row>
    <row r="5331" spans="7:13" x14ac:dyDescent="0.25">
      <c r="G5331" s="10" t="str">
        <f t="shared" si="251"/>
        <v/>
      </c>
      <c r="H5331" t="str">
        <f t="shared" si="252"/>
        <v/>
      </c>
      <c r="M5331" s="34">
        <f t="shared" si="253"/>
        <v>0</v>
      </c>
    </row>
    <row r="5332" spans="7:13" x14ac:dyDescent="0.25">
      <c r="G5332" s="10" t="str">
        <f t="shared" si="251"/>
        <v/>
      </c>
      <c r="H5332" t="str">
        <f t="shared" si="252"/>
        <v/>
      </c>
      <c r="M5332" s="34">
        <f t="shared" si="253"/>
        <v>0</v>
      </c>
    </row>
    <row r="5333" spans="7:13" x14ac:dyDescent="0.25">
      <c r="G5333" s="10" t="str">
        <f t="shared" si="251"/>
        <v/>
      </c>
      <c r="H5333" t="str">
        <f t="shared" si="252"/>
        <v/>
      </c>
      <c r="M5333" s="34">
        <f t="shared" si="253"/>
        <v>0</v>
      </c>
    </row>
    <row r="5334" spans="7:13" x14ac:dyDescent="0.25">
      <c r="G5334" s="10" t="str">
        <f t="shared" si="251"/>
        <v/>
      </c>
      <c r="H5334" t="str">
        <f t="shared" si="252"/>
        <v/>
      </c>
      <c r="M5334" s="34">
        <f t="shared" si="253"/>
        <v>0</v>
      </c>
    </row>
    <row r="5335" spans="7:13" x14ac:dyDescent="0.25">
      <c r="G5335" s="10" t="str">
        <f t="shared" si="251"/>
        <v/>
      </c>
      <c r="H5335" t="str">
        <f t="shared" si="252"/>
        <v/>
      </c>
      <c r="M5335" s="34">
        <f t="shared" si="253"/>
        <v>0</v>
      </c>
    </row>
    <row r="5336" spans="7:13" x14ac:dyDescent="0.25">
      <c r="G5336" s="10" t="str">
        <f t="shared" si="251"/>
        <v/>
      </c>
      <c r="H5336" t="str">
        <f t="shared" si="252"/>
        <v/>
      </c>
      <c r="M5336" s="34">
        <f t="shared" si="253"/>
        <v>0</v>
      </c>
    </row>
    <row r="5337" spans="7:13" x14ac:dyDescent="0.25">
      <c r="G5337" s="10" t="str">
        <f t="shared" si="251"/>
        <v/>
      </c>
      <c r="H5337" t="str">
        <f t="shared" si="252"/>
        <v/>
      </c>
      <c r="M5337" s="34">
        <f t="shared" si="253"/>
        <v>0</v>
      </c>
    </row>
    <row r="5338" spans="7:13" x14ac:dyDescent="0.25">
      <c r="G5338" s="10" t="str">
        <f t="shared" si="251"/>
        <v/>
      </c>
      <c r="H5338" t="str">
        <f t="shared" si="252"/>
        <v/>
      </c>
      <c r="M5338" s="34">
        <f t="shared" si="253"/>
        <v>0</v>
      </c>
    </row>
    <row r="5339" spans="7:13" x14ac:dyDescent="0.25">
      <c r="G5339" s="10" t="str">
        <f t="shared" si="251"/>
        <v/>
      </c>
      <c r="H5339" t="str">
        <f t="shared" si="252"/>
        <v/>
      </c>
      <c r="M5339" s="34">
        <f t="shared" si="253"/>
        <v>0</v>
      </c>
    </row>
    <row r="5340" spans="7:13" x14ac:dyDescent="0.25">
      <c r="G5340" s="10" t="str">
        <f t="shared" si="251"/>
        <v/>
      </c>
      <c r="H5340" t="str">
        <f t="shared" si="252"/>
        <v/>
      </c>
      <c r="M5340" s="34">
        <f t="shared" si="253"/>
        <v>0</v>
      </c>
    </row>
    <row r="5341" spans="7:13" x14ac:dyDescent="0.25">
      <c r="G5341" s="10" t="str">
        <f t="shared" si="251"/>
        <v/>
      </c>
      <c r="H5341" t="str">
        <f t="shared" si="252"/>
        <v/>
      </c>
      <c r="M5341" s="34">
        <f t="shared" si="253"/>
        <v>0</v>
      </c>
    </row>
    <row r="5342" spans="7:13" x14ac:dyDescent="0.25">
      <c r="G5342" s="10" t="str">
        <f t="shared" si="251"/>
        <v/>
      </c>
      <c r="H5342" t="str">
        <f t="shared" si="252"/>
        <v/>
      </c>
      <c r="M5342" s="34">
        <f t="shared" si="253"/>
        <v>0</v>
      </c>
    </row>
    <row r="5343" spans="7:13" x14ac:dyDescent="0.25">
      <c r="G5343" s="10" t="str">
        <f t="shared" si="251"/>
        <v/>
      </c>
      <c r="H5343" t="str">
        <f t="shared" si="252"/>
        <v/>
      </c>
      <c r="M5343" s="34">
        <f t="shared" si="253"/>
        <v>0</v>
      </c>
    </row>
    <row r="5344" spans="7:13" x14ac:dyDescent="0.25">
      <c r="G5344" s="10" t="str">
        <f t="shared" si="251"/>
        <v/>
      </c>
      <c r="H5344" t="str">
        <f t="shared" si="252"/>
        <v/>
      </c>
      <c r="M5344" s="34">
        <f t="shared" si="253"/>
        <v>0</v>
      </c>
    </row>
    <row r="5345" spans="7:13" x14ac:dyDescent="0.25">
      <c r="G5345" s="10" t="str">
        <f t="shared" si="251"/>
        <v/>
      </c>
      <c r="H5345" t="str">
        <f t="shared" si="252"/>
        <v/>
      </c>
      <c r="M5345" s="34">
        <f t="shared" si="253"/>
        <v>0</v>
      </c>
    </row>
    <row r="5346" spans="7:13" x14ac:dyDescent="0.25">
      <c r="G5346" s="10" t="str">
        <f t="shared" si="251"/>
        <v/>
      </c>
      <c r="H5346" t="str">
        <f t="shared" si="252"/>
        <v/>
      </c>
      <c r="M5346" s="34">
        <f t="shared" si="253"/>
        <v>0</v>
      </c>
    </row>
    <row r="5347" spans="7:13" x14ac:dyDescent="0.25">
      <c r="G5347" s="10" t="str">
        <f t="shared" si="251"/>
        <v/>
      </c>
      <c r="H5347" t="str">
        <f t="shared" si="252"/>
        <v/>
      </c>
      <c r="M5347" s="34">
        <f t="shared" si="253"/>
        <v>0</v>
      </c>
    </row>
    <row r="5348" spans="7:13" x14ac:dyDescent="0.25">
      <c r="G5348" s="10" t="str">
        <f t="shared" si="251"/>
        <v/>
      </c>
      <c r="H5348" t="str">
        <f t="shared" si="252"/>
        <v/>
      </c>
      <c r="M5348" s="34">
        <f t="shared" si="253"/>
        <v>0</v>
      </c>
    </row>
    <row r="5349" spans="7:13" x14ac:dyDescent="0.25">
      <c r="G5349" s="10" t="str">
        <f t="shared" si="251"/>
        <v/>
      </c>
      <c r="H5349" t="str">
        <f t="shared" si="252"/>
        <v/>
      </c>
      <c r="M5349" s="34">
        <f t="shared" si="253"/>
        <v>0</v>
      </c>
    </row>
    <row r="5350" spans="7:13" x14ac:dyDescent="0.25">
      <c r="G5350" s="10" t="str">
        <f t="shared" si="251"/>
        <v/>
      </c>
      <c r="H5350" t="str">
        <f t="shared" si="252"/>
        <v/>
      </c>
      <c r="M5350" s="34">
        <f t="shared" si="253"/>
        <v>0</v>
      </c>
    </row>
    <row r="5351" spans="7:13" x14ac:dyDescent="0.25">
      <c r="G5351" s="10" t="str">
        <f t="shared" si="251"/>
        <v/>
      </c>
      <c r="H5351" t="str">
        <f t="shared" si="252"/>
        <v/>
      </c>
      <c r="M5351" s="34">
        <f t="shared" si="253"/>
        <v>0</v>
      </c>
    </row>
    <row r="5352" spans="7:13" x14ac:dyDescent="0.25">
      <c r="G5352" s="10" t="str">
        <f t="shared" si="251"/>
        <v/>
      </c>
      <c r="H5352" t="str">
        <f t="shared" si="252"/>
        <v/>
      </c>
      <c r="M5352" s="34">
        <f t="shared" si="253"/>
        <v>0</v>
      </c>
    </row>
    <row r="5353" spans="7:13" x14ac:dyDescent="0.25">
      <c r="G5353" s="10" t="str">
        <f t="shared" si="251"/>
        <v/>
      </c>
      <c r="H5353" t="str">
        <f t="shared" si="252"/>
        <v/>
      </c>
      <c r="M5353" s="34">
        <f t="shared" si="253"/>
        <v>0</v>
      </c>
    </row>
    <row r="5354" spans="7:13" x14ac:dyDescent="0.25">
      <c r="G5354" s="10" t="str">
        <f t="shared" si="251"/>
        <v/>
      </c>
      <c r="H5354" t="str">
        <f t="shared" si="252"/>
        <v/>
      </c>
      <c r="M5354" s="34">
        <f t="shared" si="253"/>
        <v>0</v>
      </c>
    </row>
    <row r="5355" spans="7:13" x14ac:dyDescent="0.25">
      <c r="G5355" s="10" t="str">
        <f t="shared" si="251"/>
        <v/>
      </c>
      <c r="H5355" t="str">
        <f t="shared" si="252"/>
        <v/>
      </c>
      <c r="M5355" s="34">
        <f t="shared" si="253"/>
        <v>0</v>
      </c>
    </row>
    <row r="5356" spans="7:13" x14ac:dyDescent="0.25">
      <c r="G5356" s="10" t="str">
        <f t="shared" si="251"/>
        <v/>
      </c>
      <c r="H5356" t="str">
        <f t="shared" si="252"/>
        <v/>
      </c>
      <c r="M5356" s="34">
        <f t="shared" si="253"/>
        <v>0</v>
      </c>
    </row>
    <row r="5357" spans="7:13" x14ac:dyDescent="0.25">
      <c r="G5357" s="10" t="str">
        <f t="shared" si="251"/>
        <v/>
      </c>
      <c r="H5357" t="str">
        <f t="shared" si="252"/>
        <v/>
      </c>
      <c r="M5357" s="34">
        <f t="shared" si="253"/>
        <v>0</v>
      </c>
    </row>
    <row r="5358" spans="7:13" x14ac:dyDescent="0.25">
      <c r="G5358" s="10" t="str">
        <f t="shared" si="251"/>
        <v/>
      </c>
      <c r="H5358" t="str">
        <f t="shared" si="252"/>
        <v/>
      </c>
      <c r="M5358" s="34">
        <f t="shared" si="253"/>
        <v>0</v>
      </c>
    </row>
    <row r="5359" spans="7:13" x14ac:dyDescent="0.25">
      <c r="G5359" s="10" t="str">
        <f t="shared" si="251"/>
        <v/>
      </c>
      <c r="H5359" t="str">
        <f t="shared" si="252"/>
        <v/>
      </c>
      <c r="M5359" s="34">
        <f t="shared" si="253"/>
        <v>0</v>
      </c>
    </row>
    <row r="5360" spans="7:13" x14ac:dyDescent="0.25">
      <c r="G5360" s="10" t="str">
        <f t="shared" si="251"/>
        <v/>
      </c>
      <c r="H5360" t="str">
        <f t="shared" si="252"/>
        <v/>
      </c>
      <c r="M5360" s="34">
        <f t="shared" si="253"/>
        <v>0</v>
      </c>
    </row>
    <row r="5361" spans="7:13" x14ac:dyDescent="0.25">
      <c r="G5361" s="10" t="str">
        <f t="shared" si="251"/>
        <v/>
      </c>
      <c r="H5361" t="str">
        <f t="shared" si="252"/>
        <v/>
      </c>
      <c r="M5361" s="34">
        <f t="shared" si="253"/>
        <v>0</v>
      </c>
    </row>
    <row r="5362" spans="7:13" x14ac:dyDescent="0.25">
      <c r="G5362" s="10" t="str">
        <f t="shared" si="251"/>
        <v/>
      </c>
      <c r="H5362" t="str">
        <f t="shared" si="252"/>
        <v/>
      </c>
      <c r="M5362" s="34">
        <f t="shared" si="253"/>
        <v>0</v>
      </c>
    </row>
    <row r="5363" spans="7:13" x14ac:dyDescent="0.25">
      <c r="G5363" s="10" t="str">
        <f t="shared" si="251"/>
        <v/>
      </c>
      <c r="H5363" t="str">
        <f t="shared" si="252"/>
        <v/>
      </c>
      <c r="M5363" s="34">
        <f t="shared" si="253"/>
        <v>0</v>
      </c>
    </row>
    <row r="5364" spans="7:13" x14ac:dyDescent="0.25">
      <c r="G5364" s="10" t="str">
        <f t="shared" si="251"/>
        <v/>
      </c>
      <c r="H5364" t="str">
        <f t="shared" si="252"/>
        <v/>
      </c>
      <c r="M5364" s="34">
        <f t="shared" si="253"/>
        <v>0</v>
      </c>
    </row>
    <row r="5365" spans="7:13" x14ac:dyDescent="0.25">
      <c r="G5365" s="10" t="str">
        <f t="shared" si="251"/>
        <v/>
      </c>
      <c r="H5365" t="str">
        <f t="shared" si="252"/>
        <v/>
      </c>
      <c r="M5365" s="34">
        <f t="shared" si="253"/>
        <v>0</v>
      </c>
    </row>
    <row r="5366" spans="7:13" x14ac:dyDescent="0.25">
      <c r="G5366" s="10" t="str">
        <f t="shared" si="251"/>
        <v/>
      </c>
      <c r="H5366" t="str">
        <f t="shared" si="252"/>
        <v/>
      </c>
      <c r="M5366" s="34">
        <f t="shared" si="253"/>
        <v>0</v>
      </c>
    </row>
    <row r="5367" spans="7:13" x14ac:dyDescent="0.25">
      <c r="G5367" s="10" t="str">
        <f t="shared" si="251"/>
        <v/>
      </c>
      <c r="H5367" t="str">
        <f t="shared" si="252"/>
        <v/>
      </c>
      <c r="M5367" s="34">
        <f t="shared" si="253"/>
        <v>0</v>
      </c>
    </row>
    <row r="5368" spans="7:13" x14ac:dyDescent="0.25">
      <c r="G5368" s="10" t="str">
        <f t="shared" si="251"/>
        <v/>
      </c>
      <c r="H5368" t="str">
        <f t="shared" si="252"/>
        <v/>
      </c>
      <c r="M5368" s="34">
        <f t="shared" si="253"/>
        <v>0</v>
      </c>
    </row>
    <row r="5369" spans="7:13" x14ac:dyDescent="0.25">
      <c r="G5369" s="10" t="str">
        <f t="shared" si="251"/>
        <v/>
      </c>
      <c r="H5369" t="str">
        <f t="shared" si="252"/>
        <v/>
      </c>
      <c r="M5369" s="34">
        <f t="shared" si="253"/>
        <v>0</v>
      </c>
    </row>
    <row r="5370" spans="7:13" x14ac:dyDescent="0.25">
      <c r="G5370" s="10" t="str">
        <f t="shared" si="251"/>
        <v/>
      </c>
      <c r="H5370" t="str">
        <f t="shared" si="252"/>
        <v/>
      </c>
      <c r="M5370" s="34">
        <f t="shared" si="253"/>
        <v>0</v>
      </c>
    </row>
    <row r="5371" spans="7:13" x14ac:dyDescent="0.25">
      <c r="G5371" s="10" t="str">
        <f t="shared" si="251"/>
        <v/>
      </c>
      <c r="H5371" t="str">
        <f t="shared" si="252"/>
        <v/>
      </c>
      <c r="M5371" s="34">
        <f t="shared" si="253"/>
        <v>0</v>
      </c>
    </row>
    <row r="5372" spans="7:13" x14ac:dyDescent="0.25">
      <c r="G5372" s="10" t="str">
        <f t="shared" si="251"/>
        <v/>
      </c>
      <c r="H5372" t="str">
        <f t="shared" si="252"/>
        <v/>
      </c>
      <c r="M5372" s="34">
        <f t="shared" si="253"/>
        <v>0</v>
      </c>
    </row>
    <row r="5373" spans="7:13" x14ac:dyDescent="0.25">
      <c r="G5373" s="10" t="str">
        <f t="shared" si="251"/>
        <v/>
      </c>
      <c r="H5373" t="str">
        <f t="shared" si="252"/>
        <v/>
      </c>
      <c r="M5373" s="34">
        <f t="shared" si="253"/>
        <v>0</v>
      </c>
    </row>
    <row r="5374" spans="7:13" x14ac:dyDescent="0.25">
      <c r="G5374" s="10" t="str">
        <f t="shared" si="251"/>
        <v/>
      </c>
      <c r="H5374" t="str">
        <f t="shared" si="252"/>
        <v/>
      </c>
      <c r="M5374" s="34">
        <f t="shared" si="253"/>
        <v>0</v>
      </c>
    </row>
    <row r="5375" spans="7:13" x14ac:dyDescent="0.25">
      <c r="G5375" s="10" t="str">
        <f t="shared" si="251"/>
        <v/>
      </c>
      <c r="H5375" t="str">
        <f t="shared" si="252"/>
        <v/>
      </c>
      <c r="M5375" s="34">
        <f t="shared" si="253"/>
        <v>0</v>
      </c>
    </row>
    <row r="5376" spans="7:13" x14ac:dyDescent="0.25">
      <c r="G5376" s="10" t="str">
        <f t="shared" si="251"/>
        <v/>
      </c>
      <c r="H5376" t="str">
        <f t="shared" si="252"/>
        <v/>
      </c>
      <c r="M5376" s="34">
        <f t="shared" si="253"/>
        <v>0</v>
      </c>
    </row>
    <row r="5377" spans="7:13" x14ac:dyDescent="0.25">
      <c r="G5377" s="10" t="str">
        <f t="shared" si="251"/>
        <v/>
      </c>
      <c r="H5377" t="str">
        <f t="shared" si="252"/>
        <v/>
      </c>
      <c r="M5377" s="34">
        <f t="shared" si="253"/>
        <v>0</v>
      </c>
    </row>
    <row r="5378" spans="7:13" x14ac:dyDescent="0.25">
      <c r="G5378" s="10" t="str">
        <f t="shared" ref="G5378:G5441" si="254">IF(F5378&gt;0,"RECETTE",IF(F5378&lt;0,"DÉPENSE",""))</f>
        <v/>
      </c>
      <c r="H5378" t="str">
        <f t="shared" ref="H5378:H5441" si="255">+IF(ISNUMBER(D5378),D5378,"")</f>
        <v/>
      </c>
      <c r="M5378" s="34">
        <f t="shared" si="253"/>
        <v>0</v>
      </c>
    </row>
    <row r="5379" spans="7:13" x14ac:dyDescent="0.25">
      <c r="G5379" s="10" t="str">
        <f t="shared" si="254"/>
        <v/>
      </c>
      <c r="H5379" t="str">
        <f t="shared" si="255"/>
        <v/>
      </c>
      <c r="M5379" s="34">
        <f t="shared" ref="M5379:M5442" si="256">IF(AND(E5379="Chèque",G5379="RECETTE"),F5379,0)</f>
        <v>0</v>
      </c>
    </row>
    <row r="5380" spans="7:13" x14ac:dyDescent="0.25">
      <c r="G5380" s="10" t="str">
        <f t="shared" si="254"/>
        <v/>
      </c>
      <c r="H5380" t="str">
        <f t="shared" si="255"/>
        <v/>
      </c>
      <c r="M5380" s="34">
        <f t="shared" si="256"/>
        <v>0</v>
      </c>
    </row>
    <row r="5381" spans="7:13" x14ac:dyDescent="0.25">
      <c r="G5381" s="10" t="str">
        <f t="shared" si="254"/>
        <v/>
      </c>
      <c r="H5381" t="str">
        <f t="shared" si="255"/>
        <v/>
      </c>
      <c r="M5381" s="34">
        <f t="shared" si="256"/>
        <v>0</v>
      </c>
    </row>
    <row r="5382" spans="7:13" x14ac:dyDescent="0.25">
      <c r="G5382" s="10" t="str">
        <f t="shared" si="254"/>
        <v/>
      </c>
      <c r="H5382" t="str">
        <f t="shared" si="255"/>
        <v/>
      </c>
      <c r="M5382" s="34">
        <f t="shared" si="256"/>
        <v>0</v>
      </c>
    </row>
    <row r="5383" spans="7:13" x14ac:dyDescent="0.25">
      <c r="G5383" s="10" t="str">
        <f t="shared" si="254"/>
        <v/>
      </c>
      <c r="H5383" t="str">
        <f t="shared" si="255"/>
        <v/>
      </c>
      <c r="M5383" s="34">
        <f t="shared" si="256"/>
        <v>0</v>
      </c>
    </row>
    <row r="5384" spans="7:13" x14ac:dyDescent="0.25">
      <c r="G5384" s="10" t="str">
        <f t="shared" si="254"/>
        <v/>
      </c>
      <c r="H5384" t="str">
        <f t="shared" si="255"/>
        <v/>
      </c>
      <c r="M5384" s="34">
        <f t="shared" si="256"/>
        <v>0</v>
      </c>
    </row>
    <row r="5385" spans="7:13" x14ac:dyDescent="0.25">
      <c r="G5385" s="10" t="str">
        <f t="shared" si="254"/>
        <v/>
      </c>
      <c r="H5385" t="str">
        <f t="shared" si="255"/>
        <v/>
      </c>
      <c r="M5385" s="34">
        <f t="shared" si="256"/>
        <v>0</v>
      </c>
    </row>
    <row r="5386" spans="7:13" x14ac:dyDescent="0.25">
      <c r="G5386" s="10" t="str">
        <f t="shared" si="254"/>
        <v/>
      </c>
      <c r="H5386" t="str">
        <f t="shared" si="255"/>
        <v/>
      </c>
      <c r="M5386" s="34">
        <f t="shared" si="256"/>
        <v>0</v>
      </c>
    </row>
    <row r="5387" spans="7:13" x14ac:dyDescent="0.25">
      <c r="G5387" s="10" t="str">
        <f t="shared" si="254"/>
        <v/>
      </c>
      <c r="H5387" t="str">
        <f t="shared" si="255"/>
        <v/>
      </c>
      <c r="M5387" s="34">
        <f t="shared" si="256"/>
        <v>0</v>
      </c>
    </row>
    <row r="5388" spans="7:13" x14ac:dyDescent="0.25">
      <c r="G5388" s="10" t="str">
        <f t="shared" si="254"/>
        <v/>
      </c>
      <c r="H5388" t="str">
        <f t="shared" si="255"/>
        <v/>
      </c>
      <c r="M5388" s="34">
        <f t="shared" si="256"/>
        <v>0</v>
      </c>
    </row>
    <row r="5389" spans="7:13" x14ac:dyDescent="0.25">
      <c r="G5389" s="10" t="str">
        <f t="shared" si="254"/>
        <v/>
      </c>
      <c r="H5389" t="str">
        <f t="shared" si="255"/>
        <v/>
      </c>
      <c r="M5389" s="34">
        <f t="shared" si="256"/>
        <v>0</v>
      </c>
    </row>
    <row r="5390" spans="7:13" x14ac:dyDescent="0.25">
      <c r="G5390" s="10" t="str">
        <f t="shared" si="254"/>
        <v/>
      </c>
      <c r="H5390" t="str">
        <f t="shared" si="255"/>
        <v/>
      </c>
      <c r="M5390" s="34">
        <f t="shared" si="256"/>
        <v>0</v>
      </c>
    </row>
    <row r="5391" spans="7:13" x14ac:dyDescent="0.25">
      <c r="G5391" s="10" t="str">
        <f t="shared" si="254"/>
        <v/>
      </c>
      <c r="H5391" t="str">
        <f t="shared" si="255"/>
        <v/>
      </c>
      <c r="M5391" s="34">
        <f t="shared" si="256"/>
        <v>0</v>
      </c>
    </row>
    <row r="5392" spans="7:13" x14ac:dyDescent="0.25">
      <c r="G5392" s="10" t="str">
        <f t="shared" si="254"/>
        <v/>
      </c>
      <c r="H5392" t="str">
        <f t="shared" si="255"/>
        <v/>
      </c>
      <c r="M5392" s="34">
        <f t="shared" si="256"/>
        <v>0</v>
      </c>
    </row>
    <row r="5393" spans="7:13" x14ac:dyDescent="0.25">
      <c r="G5393" s="10" t="str">
        <f t="shared" si="254"/>
        <v/>
      </c>
      <c r="H5393" t="str">
        <f t="shared" si="255"/>
        <v/>
      </c>
      <c r="M5393" s="34">
        <f t="shared" si="256"/>
        <v>0</v>
      </c>
    </row>
    <row r="5394" spans="7:13" x14ac:dyDescent="0.25">
      <c r="G5394" s="10" t="str">
        <f t="shared" si="254"/>
        <v/>
      </c>
      <c r="H5394" t="str">
        <f t="shared" si="255"/>
        <v/>
      </c>
      <c r="M5394" s="34">
        <f t="shared" si="256"/>
        <v>0</v>
      </c>
    </row>
    <row r="5395" spans="7:13" x14ac:dyDescent="0.25">
      <c r="G5395" s="10" t="str">
        <f t="shared" si="254"/>
        <v/>
      </c>
      <c r="H5395" t="str">
        <f t="shared" si="255"/>
        <v/>
      </c>
      <c r="M5395" s="34">
        <f t="shared" si="256"/>
        <v>0</v>
      </c>
    </row>
    <row r="5396" spans="7:13" x14ac:dyDescent="0.25">
      <c r="G5396" s="10" t="str">
        <f t="shared" si="254"/>
        <v/>
      </c>
      <c r="H5396" t="str">
        <f t="shared" si="255"/>
        <v/>
      </c>
      <c r="M5396" s="34">
        <f t="shared" si="256"/>
        <v>0</v>
      </c>
    </row>
    <row r="5397" spans="7:13" x14ac:dyDescent="0.25">
      <c r="G5397" s="10" t="str">
        <f t="shared" si="254"/>
        <v/>
      </c>
      <c r="H5397" t="str">
        <f t="shared" si="255"/>
        <v/>
      </c>
      <c r="M5397" s="34">
        <f t="shared" si="256"/>
        <v>0</v>
      </c>
    </row>
    <row r="5398" spans="7:13" x14ac:dyDescent="0.25">
      <c r="G5398" s="10" t="str">
        <f t="shared" si="254"/>
        <v/>
      </c>
      <c r="H5398" t="str">
        <f t="shared" si="255"/>
        <v/>
      </c>
      <c r="M5398" s="34">
        <f t="shared" si="256"/>
        <v>0</v>
      </c>
    </row>
    <row r="5399" spans="7:13" x14ac:dyDescent="0.25">
      <c r="G5399" s="10" t="str">
        <f t="shared" si="254"/>
        <v/>
      </c>
      <c r="H5399" t="str">
        <f t="shared" si="255"/>
        <v/>
      </c>
      <c r="M5399" s="34">
        <f t="shared" si="256"/>
        <v>0</v>
      </c>
    </row>
    <row r="5400" spans="7:13" x14ac:dyDescent="0.25">
      <c r="G5400" s="10" t="str">
        <f t="shared" si="254"/>
        <v/>
      </c>
      <c r="H5400" t="str">
        <f t="shared" si="255"/>
        <v/>
      </c>
      <c r="M5400" s="34">
        <f t="shared" si="256"/>
        <v>0</v>
      </c>
    </row>
    <row r="5401" spans="7:13" x14ac:dyDescent="0.25">
      <c r="G5401" s="10" t="str">
        <f t="shared" si="254"/>
        <v/>
      </c>
      <c r="H5401" t="str">
        <f t="shared" si="255"/>
        <v/>
      </c>
      <c r="M5401" s="34">
        <f t="shared" si="256"/>
        <v>0</v>
      </c>
    </row>
    <row r="5402" spans="7:13" x14ac:dyDescent="0.25">
      <c r="G5402" s="10" t="str">
        <f t="shared" si="254"/>
        <v/>
      </c>
      <c r="H5402" t="str">
        <f t="shared" si="255"/>
        <v/>
      </c>
      <c r="M5402" s="34">
        <f t="shared" si="256"/>
        <v>0</v>
      </c>
    </row>
    <row r="5403" spans="7:13" x14ac:dyDescent="0.25">
      <c r="G5403" s="10" t="str">
        <f t="shared" si="254"/>
        <v/>
      </c>
      <c r="H5403" t="str">
        <f t="shared" si="255"/>
        <v/>
      </c>
      <c r="M5403" s="34">
        <f t="shared" si="256"/>
        <v>0</v>
      </c>
    </row>
    <row r="5404" spans="7:13" x14ac:dyDescent="0.25">
      <c r="G5404" s="10" t="str">
        <f t="shared" si="254"/>
        <v/>
      </c>
      <c r="H5404" t="str">
        <f t="shared" si="255"/>
        <v/>
      </c>
      <c r="M5404" s="34">
        <f t="shared" si="256"/>
        <v>0</v>
      </c>
    </row>
    <row r="5405" spans="7:13" x14ac:dyDescent="0.25">
      <c r="G5405" s="10" t="str">
        <f t="shared" si="254"/>
        <v/>
      </c>
      <c r="H5405" t="str">
        <f t="shared" si="255"/>
        <v/>
      </c>
      <c r="M5405" s="34">
        <f t="shared" si="256"/>
        <v>0</v>
      </c>
    </row>
    <row r="5406" spans="7:13" x14ac:dyDescent="0.25">
      <c r="G5406" s="10" t="str">
        <f t="shared" si="254"/>
        <v/>
      </c>
      <c r="H5406" t="str">
        <f t="shared" si="255"/>
        <v/>
      </c>
      <c r="M5406" s="34">
        <f t="shared" si="256"/>
        <v>0</v>
      </c>
    </row>
    <row r="5407" spans="7:13" x14ac:dyDescent="0.25">
      <c r="G5407" s="10" t="str">
        <f t="shared" si="254"/>
        <v/>
      </c>
      <c r="H5407" t="str">
        <f t="shared" si="255"/>
        <v/>
      </c>
      <c r="M5407" s="34">
        <f t="shared" si="256"/>
        <v>0</v>
      </c>
    </row>
    <row r="5408" spans="7:13" x14ac:dyDescent="0.25">
      <c r="G5408" s="10" t="str">
        <f t="shared" si="254"/>
        <v/>
      </c>
      <c r="H5408" t="str">
        <f t="shared" si="255"/>
        <v/>
      </c>
      <c r="M5408" s="34">
        <f t="shared" si="256"/>
        <v>0</v>
      </c>
    </row>
    <row r="5409" spans="7:13" x14ac:dyDescent="0.25">
      <c r="G5409" s="10" t="str">
        <f t="shared" si="254"/>
        <v/>
      </c>
      <c r="H5409" t="str">
        <f t="shared" si="255"/>
        <v/>
      </c>
      <c r="M5409" s="34">
        <f t="shared" si="256"/>
        <v>0</v>
      </c>
    </row>
    <row r="5410" spans="7:13" x14ac:dyDescent="0.25">
      <c r="G5410" s="10" t="str">
        <f t="shared" si="254"/>
        <v/>
      </c>
      <c r="H5410" t="str">
        <f t="shared" si="255"/>
        <v/>
      </c>
      <c r="M5410" s="34">
        <f t="shared" si="256"/>
        <v>0</v>
      </c>
    </row>
    <row r="5411" spans="7:13" x14ac:dyDescent="0.25">
      <c r="G5411" s="10" t="str">
        <f t="shared" si="254"/>
        <v/>
      </c>
      <c r="H5411" t="str">
        <f t="shared" si="255"/>
        <v/>
      </c>
      <c r="M5411" s="34">
        <f t="shared" si="256"/>
        <v>0</v>
      </c>
    </row>
    <row r="5412" spans="7:13" x14ac:dyDescent="0.25">
      <c r="G5412" s="10" t="str">
        <f t="shared" si="254"/>
        <v/>
      </c>
      <c r="H5412" t="str">
        <f t="shared" si="255"/>
        <v/>
      </c>
      <c r="M5412" s="34">
        <f t="shared" si="256"/>
        <v>0</v>
      </c>
    </row>
    <row r="5413" spans="7:13" x14ac:dyDescent="0.25">
      <c r="G5413" s="10" t="str">
        <f t="shared" si="254"/>
        <v/>
      </c>
      <c r="H5413" t="str">
        <f t="shared" si="255"/>
        <v/>
      </c>
      <c r="M5413" s="34">
        <f t="shared" si="256"/>
        <v>0</v>
      </c>
    </row>
    <row r="5414" spans="7:13" x14ac:dyDescent="0.25">
      <c r="G5414" s="10" t="str">
        <f t="shared" si="254"/>
        <v/>
      </c>
      <c r="H5414" t="str">
        <f t="shared" si="255"/>
        <v/>
      </c>
      <c r="M5414" s="34">
        <f t="shared" si="256"/>
        <v>0</v>
      </c>
    </row>
    <row r="5415" spans="7:13" x14ac:dyDescent="0.25">
      <c r="G5415" s="10" t="str">
        <f t="shared" si="254"/>
        <v/>
      </c>
      <c r="H5415" t="str">
        <f t="shared" si="255"/>
        <v/>
      </c>
      <c r="M5415" s="34">
        <f t="shared" si="256"/>
        <v>0</v>
      </c>
    </row>
    <row r="5416" spans="7:13" x14ac:dyDescent="0.25">
      <c r="G5416" s="10" t="str">
        <f t="shared" si="254"/>
        <v/>
      </c>
      <c r="H5416" t="str">
        <f t="shared" si="255"/>
        <v/>
      </c>
      <c r="M5416" s="34">
        <f t="shared" si="256"/>
        <v>0</v>
      </c>
    </row>
    <row r="5417" spans="7:13" x14ac:dyDescent="0.25">
      <c r="G5417" s="10" t="str">
        <f t="shared" si="254"/>
        <v/>
      </c>
      <c r="H5417" t="str">
        <f t="shared" si="255"/>
        <v/>
      </c>
      <c r="M5417" s="34">
        <f t="shared" si="256"/>
        <v>0</v>
      </c>
    </row>
    <row r="5418" spans="7:13" x14ac:dyDescent="0.25">
      <c r="G5418" s="10" t="str">
        <f t="shared" si="254"/>
        <v/>
      </c>
      <c r="H5418" t="str">
        <f t="shared" si="255"/>
        <v/>
      </c>
      <c r="M5418" s="34">
        <f t="shared" si="256"/>
        <v>0</v>
      </c>
    </row>
    <row r="5419" spans="7:13" x14ac:dyDescent="0.25">
      <c r="G5419" s="10" t="str">
        <f t="shared" si="254"/>
        <v/>
      </c>
      <c r="H5419" t="str">
        <f t="shared" si="255"/>
        <v/>
      </c>
      <c r="M5419" s="34">
        <f t="shared" si="256"/>
        <v>0</v>
      </c>
    </row>
    <row r="5420" spans="7:13" x14ac:dyDescent="0.25">
      <c r="G5420" s="10" t="str">
        <f t="shared" si="254"/>
        <v/>
      </c>
      <c r="H5420" t="str">
        <f t="shared" si="255"/>
        <v/>
      </c>
      <c r="M5420" s="34">
        <f t="shared" si="256"/>
        <v>0</v>
      </c>
    </row>
    <row r="5421" spans="7:13" x14ac:dyDescent="0.25">
      <c r="G5421" s="10" t="str">
        <f t="shared" si="254"/>
        <v/>
      </c>
      <c r="H5421" t="str">
        <f t="shared" si="255"/>
        <v/>
      </c>
      <c r="M5421" s="34">
        <f t="shared" si="256"/>
        <v>0</v>
      </c>
    </row>
    <row r="5422" spans="7:13" x14ac:dyDescent="0.25">
      <c r="G5422" s="10" t="str">
        <f t="shared" si="254"/>
        <v/>
      </c>
      <c r="H5422" t="str">
        <f t="shared" si="255"/>
        <v/>
      </c>
      <c r="M5422" s="34">
        <f t="shared" si="256"/>
        <v>0</v>
      </c>
    </row>
    <row r="5423" spans="7:13" x14ac:dyDescent="0.25">
      <c r="G5423" s="10" t="str">
        <f t="shared" si="254"/>
        <v/>
      </c>
      <c r="H5423" t="str">
        <f t="shared" si="255"/>
        <v/>
      </c>
      <c r="M5423" s="34">
        <f t="shared" si="256"/>
        <v>0</v>
      </c>
    </row>
    <row r="5424" spans="7:13" x14ac:dyDescent="0.25">
      <c r="G5424" s="10" t="str">
        <f t="shared" si="254"/>
        <v/>
      </c>
      <c r="H5424" t="str">
        <f t="shared" si="255"/>
        <v/>
      </c>
      <c r="M5424" s="34">
        <f t="shared" si="256"/>
        <v>0</v>
      </c>
    </row>
    <row r="5425" spans="7:13" x14ac:dyDescent="0.25">
      <c r="G5425" s="10" t="str">
        <f t="shared" si="254"/>
        <v/>
      </c>
      <c r="H5425" t="str">
        <f t="shared" si="255"/>
        <v/>
      </c>
      <c r="M5425" s="34">
        <f t="shared" si="256"/>
        <v>0</v>
      </c>
    </row>
    <row r="5426" spans="7:13" x14ac:dyDescent="0.25">
      <c r="G5426" s="10" t="str">
        <f t="shared" si="254"/>
        <v/>
      </c>
      <c r="H5426" t="str">
        <f t="shared" si="255"/>
        <v/>
      </c>
      <c r="M5426" s="34">
        <f t="shared" si="256"/>
        <v>0</v>
      </c>
    </row>
    <row r="5427" spans="7:13" x14ac:dyDescent="0.25">
      <c r="G5427" s="10" t="str">
        <f t="shared" si="254"/>
        <v/>
      </c>
      <c r="H5427" t="str">
        <f t="shared" si="255"/>
        <v/>
      </c>
      <c r="M5427" s="34">
        <f t="shared" si="256"/>
        <v>0</v>
      </c>
    </row>
    <row r="5428" spans="7:13" x14ac:dyDescent="0.25">
      <c r="G5428" s="10" t="str">
        <f t="shared" si="254"/>
        <v/>
      </c>
      <c r="H5428" t="str">
        <f t="shared" si="255"/>
        <v/>
      </c>
      <c r="M5428" s="34">
        <f t="shared" si="256"/>
        <v>0</v>
      </c>
    </row>
    <row r="5429" spans="7:13" x14ac:dyDescent="0.25">
      <c r="G5429" s="10" t="str">
        <f t="shared" si="254"/>
        <v/>
      </c>
      <c r="H5429" t="str">
        <f t="shared" si="255"/>
        <v/>
      </c>
      <c r="M5429" s="34">
        <f t="shared" si="256"/>
        <v>0</v>
      </c>
    </row>
    <row r="5430" spans="7:13" x14ac:dyDescent="0.25">
      <c r="G5430" s="10" t="str">
        <f t="shared" si="254"/>
        <v/>
      </c>
      <c r="H5430" t="str">
        <f t="shared" si="255"/>
        <v/>
      </c>
      <c r="M5430" s="34">
        <f t="shared" si="256"/>
        <v>0</v>
      </c>
    </row>
    <row r="5431" spans="7:13" x14ac:dyDescent="0.25">
      <c r="G5431" s="10" t="str">
        <f t="shared" si="254"/>
        <v/>
      </c>
      <c r="H5431" t="str">
        <f t="shared" si="255"/>
        <v/>
      </c>
      <c r="M5431" s="34">
        <f t="shared" si="256"/>
        <v>0</v>
      </c>
    </row>
    <row r="5432" spans="7:13" x14ac:dyDescent="0.25">
      <c r="G5432" s="10" t="str">
        <f t="shared" si="254"/>
        <v/>
      </c>
      <c r="H5432" t="str">
        <f t="shared" si="255"/>
        <v/>
      </c>
      <c r="M5432" s="34">
        <f t="shared" si="256"/>
        <v>0</v>
      </c>
    </row>
    <row r="5433" spans="7:13" x14ac:dyDescent="0.25">
      <c r="G5433" s="10" t="str">
        <f t="shared" si="254"/>
        <v/>
      </c>
      <c r="H5433" t="str">
        <f t="shared" si="255"/>
        <v/>
      </c>
      <c r="M5433" s="34">
        <f t="shared" si="256"/>
        <v>0</v>
      </c>
    </row>
    <row r="5434" spans="7:13" x14ac:dyDescent="0.25">
      <c r="G5434" s="10" t="str">
        <f t="shared" si="254"/>
        <v/>
      </c>
      <c r="H5434" t="str">
        <f t="shared" si="255"/>
        <v/>
      </c>
      <c r="M5434" s="34">
        <f t="shared" si="256"/>
        <v>0</v>
      </c>
    </row>
    <row r="5435" spans="7:13" x14ac:dyDescent="0.25">
      <c r="G5435" s="10" t="str">
        <f t="shared" si="254"/>
        <v/>
      </c>
      <c r="H5435" t="str">
        <f t="shared" si="255"/>
        <v/>
      </c>
      <c r="M5435" s="34">
        <f t="shared" si="256"/>
        <v>0</v>
      </c>
    </row>
    <row r="5436" spans="7:13" x14ac:dyDescent="0.25">
      <c r="G5436" s="10" t="str">
        <f t="shared" si="254"/>
        <v/>
      </c>
      <c r="H5436" t="str">
        <f t="shared" si="255"/>
        <v/>
      </c>
      <c r="M5436" s="34">
        <f t="shared" si="256"/>
        <v>0</v>
      </c>
    </row>
    <row r="5437" spans="7:13" x14ac:dyDescent="0.25">
      <c r="G5437" s="10" t="str">
        <f t="shared" si="254"/>
        <v/>
      </c>
      <c r="H5437" t="str">
        <f t="shared" si="255"/>
        <v/>
      </c>
      <c r="M5437" s="34">
        <f t="shared" si="256"/>
        <v>0</v>
      </c>
    </row>
    <row r="5438" spans="7:13" x14ac:dyDescent="0.25">
      <c r="G5438" s="10" t="str">
        <f t="shared" si="254"/>
        <v/>
      </c>
      <c r="H5438" t="str">
        <f t="shared" si="255"/>
        <v/>
      </c>
      <c r="M5438" s="34">
        <f t="shared" si="256"/>
        <v>0</v>
      </c>
    </row>
    <row r="5439" spans="7:13" x14ac:dyDescent="0.25">
      <c r="G5439" s="10" t="str">
        <f t="shared" si="254"/>
        <v/>
      </c>
      <c r="H5439" t="str">
        <f t="shared" si="255"/>
        <v/>
      </c>
      <c r="M5439" s="34">
        <f t="shared" si="256"/>
        <v>0</v>
      </c>
    </row>
    <row r="5440" spans="7:13" x14ac:dyDescent="0.25">
      <c r="G5440" s="10" t="str">
        <f t="shared" si="254"/>
        <v/>
      </c>
      <c r="H5440" t="str">
        <f t="shared" si="255"/>
        <v/>
      </c>
      <c r="M5440" s="34">
        <f t="shared" si="256"/>
        <v>0</v>
      </c>
    </row>
    <row r="5441" spans="7:13" x14ac:dyDescent="0.25">
      <c r="G5441" s="10" t="str">
        <f t="shared" si="254"/>
        <v/>
      </c>
      <c r="H5441" t="str">
        <f t="shared" si="255"/>
        <v/>
      </c>
      <c r="M5441" s="34">
        <f t="shared" si="256"/>
        <v>0</v>
      </c>
    </row>
    <row r="5442" spans="7:13" x14ac:dyDescent="0.25">
      <c r="G5442" s="10" t="str">
        <f t="shared" ref="G5442:G5505" si="257">IF(F5442&gt;0,"RECETTE",IF(F5442&lt;0,"DÉPENSE",""))</f>
        <v/>
      </c>
      <c r="H5442" t="str">
        <f t="shared" ref="H5442:H5505" si="258">+IF(ISNUMBER(D5442),D5442,"")</f>
        <v/>
      </c>
      <c r="M5442" s="34">
        <f t="shared" si="256"/>
        <v>0</v>
      </c>
    </row>
    <row r="5443" spans="7:13" x14ac:dyDescent="0.25">
      <c r="G5443" s="10" t="str">
        <f t="shared" si="257"/>
        <v/>
      </c>
      <c r="H5443" t="str">
        <f t="shared" si="258"/>
        <v/>
      </c>
      <c r="M5443" s="34">
        <f t="shared" ref="M5443:M5506" si="259">IF(AND(E5443="Chèque",G5443="RECETTE"),F5443,0)</f>
        <v>0</v>
      </c>
    </row>
    <row r="5444" spans="7:13" x14ac:dyDescent="0.25">
      <c r="G5444" s="10" t="str">
        <f t="shared" si="257"/>
        <v/>
      </c>
      <c r="H5444" t="str">
        <f t="shared" si="258"/>
        <v/>
      </c>
      <c r="M5444" s="34">
        <f t="shared" si="259"/>
        <v>0</v>
      </c>
    </row>
    <row r="5445" spans="7:13" x14ac:dyDescent="0.25">
      <c r="G5445" s="10" t="str">
        <f t="shared" si="257"/>
        <v/>
      </c>
      <c r="H5445" t="str">
        <f t="shared" si="258"/>
        <v/>
      </c>
      <c r="M5445" s="34">
        <f t="shared" si="259"/>
        <v>0</v>
      </c>
    </row>
    <row r="5446" spans="7:13" x14ac:dyDescent="0.25">
      <c r="G5446" s="10" t="str">
        <f t="shared" si="257"/>
        <v/>
      </c>
      <c r="H5446" t="str">
        <f t="shared" si="258"/>
        <v/>
      </c>
      <c r="M5446" s="34">
        <f t="shared" si="259"/>
        <v>0</v>
      </c>
    </row>
    <row r="5447" spans="7:13" x14ac:dyDescent="0.25">
      <c r="G5447" s="10" t="str">
        <f t="shared" si="257"/>
        <v/>
      </c>
      <c r="H5447" t="str">
        <f t="shared" si="258"/>
        <v/>
      </c>
      <c r="M5447" s="34">
        <f t="shared" si="259"/>
        <v>0</v>
      </c>
    </row>
    <row r="5448" spans="7:13" x14ac:dyDescent="0.25">
      <c r="G5448" s="10" t="str">
        <f t="shared" si="257"/>
        <v/>
      </c>
      <c r="H5448" t="str">
        <f t="shared" si="258"/>
        <v/>
      </c>
      <c r="M5448" s="34">
        <f t="shared" si="259"/>
        <v>0</v>
      </c>
    </row>
    <row r="5449" spans="7:13" x14ac:dyDescent="0.25">
      <c r="G5449" s="10" t="str">
        <f t="shared" si="257"/>
        <v/>
      </c>
      <c r="H5449" t="str">
        <f t="shared" si="258"/>
        <v/>
      </c>
      <c r="M5449" s="34">
        <f t="shared" si="259"/>
        <v>0</v>
      </c>
    </row>
    <row r="5450" spans="7:13" x14ac:dyDescent="0.25">
      <c r="G5450" s="10" t="str">
        <f t="shared" si="257"/>
        <v/>
      </c>
      <c r="H5450" t="str">
        <f t="shared" si="258"/>
        <v/>
      </c>
      <c r="M5450" s="34">
        <f t="shared" si="259"/>
        <v>0</v>
      </c>
    </row>
    <row r="5451" spans="7:13" x14ac:dyDescent="0.25">
      <c r="G5451" s="10" t="str">
        <f t="shared" si="257"/>
        <v/>
      </c>
      <c r="H5451" t="str">
        <f t="shared" si="258"/>
        <v/>
      </c>
      <c r="M5451" s="34">
        <f t="shared" si="259"/>
        <v>0</v>
      </c>
    </row>
    <row r="5452" spans="7:13" x14ac:dyDescent="0.25">
      <c r="G5452" s="10" t="str">
        <f t="shared" si="257"/>
        <v/>
      </c>
      <c r="H5452" t="str">
        <f t="shared" si="258"/>
        <v/>
      </c>
      <c r="M5452" s="34">
        <f t="shared" si="259"/>
        <v>0</v>
      </c>
    </row>
    <row r="5453" spans="7:13" x14ac:dyDescent="0.25">
      <c r="G5453" s="10" t="str">
        <f t="shared" si="257"/>
        <v/>
      </c>
      <c r="H5453" t="str">
        <f t="shared" si="258"/>
        <v/>
      </c>
      <c r="M5453" s="34">
        <f t="shared" si="259"/>
        <v>0</v>
      </c>
    </row>
    <row r="5454" spans="7:13" x14ac:dyDescent="0.25">
      <c r="G5454" s="10" t="str">
        <f t="shared" si="257"/>
        <v/>
      </c>
      <c r="H5454" t="str">
        <f t="shared" si="258"/>
        <v/>
      </c>
      <c r="M5454" s="34">
        <f t="shared" si="259"/>
        <v>0</v>
      </c>
    </row>
    <row r="5455" spans="7:13" x14ac:dyDescent="0.25">
      <c r="G5455" s="10" t="str">
        <f t="shared" si="257"/>
        <v/>
      </c>
      <c r="H5455" t="str">
        <f t="shared" si="258"/>
        <v/>
      </c>
      <c r="M5455" s="34">
        <f t="shared" si="259"/>
        <v>0</v>
      </c>
    </row>
    <row r="5456" spans="7:13" x14ac:dyDescent="0.25">
      <c r="G5456" s="10" t="str">
        <f t="shared" si="257"/>
        <v/>
      </c>
      <c r="H5456" t="str">
        <f t="shared" si="258"/>
        <v/>
      </c>
      <c r="M5456" s="34">
        <f t="shared" si="259"/>
        <v>0</v>
      </c>
    </row>
    <row r="5457" spans="7:13" x14ac:dyDescent="0.25">
      <c r="G5457" s="10" t="str">
        <f t="shared" si="257"/>
        <v/>
      </c>
      <c r="H5457" t="str">
        <f t="shared" si="258"/>
        <v/>
      </c>
      <c r="M5457" s="34">
        <f t="shared" si="259"/>
        <v>0</v>
      </c>
    </row>
    <row r="5458" spans="7:13" x14ac:dyDescent="0.25">
      <c r="G5458" s="10" t="str">
        <f t="shared" si="257"/>
        <v/>
      </c>
      <c r="H5458" t="str">
        <f t="shared" si="258"/>
        <v/>
      </c>
      <c r="M5458" s="34">
        <f t="shared" si="259"/>
        <v>0</v>
      </c>
    </row>
    <row r="5459" spans="7:13" x14ac:dyDescent="0.25">
      <c r="G5459" s="10" t="str">
        <f t="shared" si="257"/>
        <v/>
      </c>
      <c r="H5459" t="str">
        <f t="shared" si="258"/>
        <v/>
      </c>
      <c r="M5459" s="34">
        <f t="shared" si="259"/>
        <v>0</v>
      </c>
    </row>
    <row r="5460" spans="7:13" x14ac:dyDescent="0.25">
      <c r="G5460" s="10" t="str">
        <f t="shared" si="257"/>
        <v/>
      </c>
      <c r="H5460" t="str">
        <f t="shared" si="258"/>
        <v/>
      </c>
      <c r="M5460" s="34">
        <f t="shared" si="259"/>
        <v>0</v>
      </c>
    </row>
    <row r="5461" spans="7:13" x14ac:dyDescent="0.25">
      <c r="G5461" s="10" t="str">
        <f t="shared" si="257"/>
        <v/>
      </c>
      <c r="H5461" t="str">
        <f t="shared" si="258"/>
        <v/>
      </c>
      <c r="M5461" s="34">
        <f t="shared" si="259"/>
        <v>0</v>
      </c>
    </row>
    <row r="5462" spans="7:13" x14ac:dyDescent="0.25">
      <c r="G5462" s="10" t="str">
        <f t="shared" si="257"/>
        <v/>
      </c>
      <c r="H5462" t="str">
        <f t="shared" si="258"/>
        <v/>
      </c>
      <c r="M5462" s="34">
        <f t="shared" si="259"/>
        <v>0</v>
      </c>
    </row>
    <row r="5463" spans="7:13" x14ac:dyDescent="0.25">
      <c r="G5463" s="10" t="str">
        <f t="shared" si="257"/>
        <v/>
      </c>
      <c r="H5463" t="str">
        <f t="shared" si="258"/>
        <v/>
      </c>
      <c r="M5463" s="34">
        <f t="shared" si="259"/>
        <v>0</v>
      </c>
    </row>
    <row r="5464" spans="7:13" x14ac:dyDescent="0.25">
      <c r="G5464" s="10" t="str">
        <f t="shared" si="257"/>
        <v/>
      </c>
      <c r="H5464" t="str">
        <f t="shared" si="258"/>
        <v/>
      </c>
      <c r="M5464" s="34">
        <f t="shared" si="259"/>
        <v>0</v>
      </c>
    </row>
    <row r="5465" spans="7:13" x14ac:dyDescent="0.25">
      <c r="G5465" s="10" t="str">
        <f t="shared" si="257"/>
        <v/>
      </c>
      <c r="H5465" t="str">
        <f t="shared" si="258"/>
        <v/>
      </c>
      <c r="M5465" s="34">
        <f t="shared" si="259"/>
        <v>0</v>
      </c>
    </row>
    <row r="5466" spans="7:13" x14ac:dyDescent="0.25">
      <c r="G5466" s="10" t="str">
        <f t="shared" si="257"/>
        <v/>
      </c>
      <c r="H5466" t="str">
        <f t="shared" si="258"/>
        <v/>
      </c>
      <c r="M5466" s="34">
        <f t="shared" si="259"/>
        <v>0</v>
      </c>
    </row>
    <row r="5467" spans="7:13" x14ac:dyDescent="0.25">
      <c r="G5467" s="10" t="str">
        <f t="shared" si="257"/>
        <v/>
      </c>
      <c r="H5467" t="str">
        <f t="shared" si="258"/>
        <v/>
      </c>
      <c r="M5467" s="34">
        <f t="shared" si="259"/>
        <v>0</v>
      </c>
    </row>
    <row r="5468" spans="7:13" x14ac:dyDescent="0.25">
      <c r="G5468" s="10" t="str">
        <f t="shared" si="257"/>
        <v/>
      </c>
      <c r="H5468" t="str">
        <f t="shared" si="258"/>
        <v/>
      </c>
      <c r="M5468" s="34">
        <f t="shared" si="259"/>
        <v>0</v>
      </c>
    </row>
    <row r="5469" spans="7:13" x14ac:dyDescent="0.25">
      <c r="G5469" s="10" t="str">
        <f t="shared" si="257"/>
        <v/>
      </c>
      <c r="H5469" t="str">
        <f t="shared" si="258"/>
        <v/>
      </c>
      <c r="M5469" s="34">
        <f t="shared" si="259"/>
        <v>0</v>
      </c>
    </row>
    <row r="5470" spans="7:13" x14ac:dyDescent="0.25">
      <c r="G5470" s="10" t="str">
        <f t="shared" si="257"/>
        <v/>
      </c>
      <c r="H5470" t="str">
        <f t="shared" si="258"/>
        <v/>
      </c>
      <c r="M5470" s="34">
        <f t="shared" si="259"/>
        <v>0</v>
      </c>
    </row>
    <row r="5471" spans="7:13" x14ac:dyDescent="0.25">
      <c r="G5471" s="10" t="str">
        <f t="shared" si="257"/>
        <v/>
      </c>
      <c r="H5471" t="str">
        <f t="shared" si="258"/>
        <v/>
      </c>
      <c r="M5471" s="34">
        <f t="shared" si="259"/>
        <v>0</v>
      </c>
    </row>
    <row r="5472" spans="7:13" x14ac:dyDescent="0.25">
      <c r="G5472" s="10" t="str">
        <f t="shared" si="257"/>
        <v/>
      </c>
      <c r="H5472" t="str">
        <f t="shared" si="258"/>
        <v/>
      </c>
      <c r="M5472" s="34">
        <f t="shared" si="259"/>
        <v>0</v>
      </c>
    </row>
    <row r="5473" spans="7:13" x14ac:dyDescent="0.25">
      <c r="G5473" s="10" t="str">
        <f t="shared" si="257"/>
        <v/>
      </c>
      <c r="H5473" t="str">
        <f t="shared" si="258"/>
        <v/>
      </c>
      <c r="M5473" s="34">
        <f t="shared" si="259"/>
        <v>0</v>
      </c>
    </row>
    <row r="5474" spans="7:13" x14ac:dyDescent="0.25">
      <c r="G5474" s="10" t="str">
        <f t="shared" si="257"/>
        <v/>
      </c>
      <c r="H5474" t="str">
        <f t="shared" si="258"/>
        <v/>
      </c>
      <c r="M5474" s="34">
        <f t="shared" si="259"/>
        <v>0</v>
      </c>
    </row>
    <row r="5475" spans="7:13" x14ac:dyDescent="0.25">
      <c r="G5475" s="10" t="str">
        <f t="shared" si="257"/>
        <v/>
      </c>
      <c r="H5475" t="str">
        <f t="shared" si="258"/>
        <v/>
      </c>
      <c r="M5475" s="34">
        <f t="shared" si="259"/>
        <v>0</v>
      </c>
    </row>
    <row r="5476" spans="7:13" x14ac:dyDescent="0.25">
      <c r="G5476" s="10" t="str">
        <f t="shared" si="257"/>
        <v/>
      </c>
      <c r="H5476" t="str">
        <f t="shared" si="258"/>
        <v/>
      </c>
      <c r="M5476" s="34">
        <f t="shared" si="259"/>
        <v>0</v>
      </c>
    </row>
    <row r="5477" spans="7:13" x14ac:dyDescent="0.25">
      <c r="G5477" s="10" t="str">
        <f t="shared" si="257"/>
        <v/>
      </c>
      <c r="H5477" t="str">
        <f t="shared" si="258"/>
        <v/>
      </c>
      <c r="M5477" s="34">
        <f t="shared" si="259"/>
        <v>0</v>
      </c>
    </row>
    <row r="5478" spans="7:13" x14ac:dyDescent="0.25">
      <c r="G5478" s="10" t="str">
        <f t="shared" si="257"/>
        <v/>
      </c>
      <c r="H5478" t="str">
        <f t="shared" si="258"/>
        <v/>
      </c>
      <c r="M5478" s="34">
        <f t="shared" si="259"/>
        <v>0</v>
      </c>
    </row>
    <row r="5479" spans="7:13" x14ac:dyDescent="0.25">
      <c r="G5479" s="10" t="str">
        <f t="shared" si="257"/>
        <v/>
      </c>
      <c r="H5479" t="str">
        <f t="shared" si="258"/>
        <v/>
      </c>
      <c r="M5479" s="34">
        <f t="shared" si="259"/>
        <v>0</v>
      </c>
    </row>
    <row r="5480" spans="7:13" x14ac:dyDescent="0.25">
      <c r="G5480" s="10" t="str">
        <f t="shared" si="257"/>
        <v/>
      </c>
      <c r="H5480" t="str">
        <f t="shared" si="258"/>
        <v/>
      </c>
      <c r="M5480" s="34">
        <f t="shared" si="259"/>
        <v>0</v>
      </c>
    </row>
    <row r="5481" spans="7:13" x14ac:dyDescent="0.25">
      <c r="G5481" s="10" t="str">
        <f t="shared" si="257"/>
        <v/>
      </c>
      <c r="H5481" t="str">
        <f t="shared" si="258"/>
        <v/>
      </c>
      <c r="M5481" s="34">
        <f t="shared" si="259"/>
        <v>0</v>
      </c>
    </row>
    <row r="5482" spans="7:13" x14ac:dyDescent="0.25">
      <c r="G5482" s="10" t="str">
        <f t="shared" si="257"/>
        <v/>
      </c>
      <c r="H5482" t="str">
        <f t="shared" si="258"/>
        <v/>
      </c>
      <c r="M5482" s="34">
        <f t="shared" si="259"/>
        <v>0</v>
      </c>
    </row>
    <row r="5483" spans="7:13" x14ac:dyDescent="0.25">
      <c r="G5483" s="10" t="str">
        <f t="shared" si="257"/>
        <v/>
      </c>
      <c r="H5483" t="str">
        <f t="shared" si="258"/>
        <v/>
      </c>
      <c r="M5483" s="34">
        <f t="shared" si="259"/>
        <v>0</v>
      </c>
    </row>
    <row r="5484" spans="7:13" x14ac:dyDescent="0.25">
      <c r="G5484" s="10" t="str">
        <f t="shared" si="257"/>
        <v/>
      </c>
      <c r="H5484" t="str">
        <f t="shared" si="258"/>
        <v/>
      </c>
      <c r="M5484" s="34">
        <f t="shared" si="259"/>
        <v>0</v>
      </c>
    </row>
    <row r="5485" spans="7:13" x14ac:dyDescent="0.25">
      <c r="G5485" s="10" t="str">
        <f t="shared" si="257"/>
        <v/>
      </c>
      <c r="H5485" t="str">
        <f t="shared" si="258"/>
        <v/>
      </c>
      <c r="M5485" s="34">
        <f t="shared" si="259"/>
        <v>0</v>
      </c>
    </row>
    <row r="5486" spans="7:13" x14ac:dyDescent="0.25">
      <c r="G5486" s="10" t="str">
        <f t="shared" si="257"/>
        <v/>
      </c>
      <c r="H5486" t="str">
        <f t="shared" si="258"/>
        <v/>
      </c>
      <c r="M5486" s="34">
        <f t="shared" si="259"/>
        <v>0</v>
      </c>
    </row>
    <row r="5487" spans="7:13" x14ac:dyDescent="0.25">
      <c r="G5487" s="10" t="str">
        <f t="shared" si="257"/>
        <v/>
      </c>
      <c r="H5487" t="str">
        <f t="shared" si="258"/>
        <v/>
      </c>
      <c r="M5487" s="34">
        <f t="shared" si="259"/>
        <v>0</v>
      </c>
    </row>
    <row r="5488" spans="7:13" x14ac:dyDescent="0.25">
      <c r="G5488" s="10" t="str">
        <f t="shared" si="257"/>
        <v/>
      </c>
      <c r="H5488" t="str">
        <f t="shared" si="258"/>
        <v/>
      </c>
      <c r="M5488" s="34">
        <f t="shared" si="259"/>
        <v>0</v>
      </c>
    </row>
    <row r="5489" spans="7:13" x14ac:dyDescent="0.25">
      <c r="G5489" s="10" t="str">
        <f t="shared" si="257"/>
        <v/>
      </c>
      <c r="H5489" t="str">
        <f t="shared" si="258"/>
        <v/>
      </c>
      <c r="M5489" s="34">
        <f t="shared" si="259"/>
        <v>0</v>
      </c>
    </row>
    <row r="5490" spans="7:13" x14ac:dyDescent="0.25">
      <c r="G5490" s="10" t="str">
        <f t="shared" si="257"/>
        <v/>
      </c>
      <c r="H5490" t="str">
        <f t="shared" si="258"/>
        <v/>
      </c>
      <c r="M5490" s="34">
        <f t="shared" si="259"/>
        <v>0</v>
      </c>
    </row>
    <row r="5491" spans="7:13" x14ac:dyDescent="0.25">
      <c r="G5491" s="10" t="str">
        <f t="shared" si="257"/>
        <v/>
      </c>
      <c r="H5491" t="str">
        <f t="shared" si="258"/>
        <v/>
      </c>
      <c r="M5491" s="34">
        <f t="shared" si="259"/>
        <v>0</v>
      </c>
    </row>
    <row r="5492" spans="7:13" x14ac:dyDescent="0.25">
      <c r="G5492" s="10" t="str">
        <f t="shared" si="257"/>
        <v/>
      </c>
      <c r="H5492" t="str">
        <f t="shared" si="258"/>
        <v/>
      </c>
      <c r="M5492" s="34">
        <f t="shared" si="259"/>
        <v>0</v>
      </c>
    </row>
    <row r="5493" spans="7:13" x14ac:dyDescent="0.25">
      <c r="G5493" s="10" t="str">
        <f t="shared" si="257"/>
        <v/>
      </c>
      <c r="H5493" t="str">
        <f t="shared" si="258"/>
        <v/>
      </c>
      <c r="M5493" s="34">
        <f t="shared" si="259"/>
        <v>0</v>
      </c>
    </row>
    <row r="5494" spans="7:13" x14ac:dyDescent="0.25">
      <c r="G5494" s="10" t="str">
        <f t="shared" si="257"/>
        <v/>
      </c>
      <c r="H5494" t="str">
        <f t="shared" si="258"/>
        <v/>
      </c>
      <c r="M5494" s="34">
        <f t="shared" si="259"/>
        <v>0</v>
      </c>
    </row>
    <row r="5495" spans="7:13" x14ac:dyDescent="0.25">
      <c r="G5495" s="10" t="str">
        <f t="shared" si="257"/>
        <v/>
      </c>
      <c r="H5495" t="str">
        <f t="shared" si="258"/>
        <v/>
      </c>
      <c r="M5495" s="34">
        <f t="shared" si="259"/>
        <v>0</v>
      </c>
    </row>
    <row r="5496" spans="7:13" x14ac:dyDescent="0.25">
      <c r="G5496" s="10" t="str">
        <f t="shared" si="257"/>
        <v/>
      </c>
      <c r="H5496" t="str">
        <f t="shared" si="258"/>
        <v/>
      </c>
      <c r="M5496" s="34">
        <f t="shared" si="259"/>
        <v>0</v>
      </c>
    </row>
    <row r="5497" spans="7:13" x14ac:dyDescent="0.25">
      <c r="G5497" s="10" t="str">
        <f t="shared" si="257"/>
        <v/>
      </c>
      <c r="H5497" t="str">
        <f t="shared" si="258"/>
        <v/>
      </c>
      <c r="M5497" s="34">
        <f t="shared" si="259"/>
        <v>0</v>
      </c>
    </row>
    <row r="5498" spans="7:13" x14ac:dyDescent="0.25">
      <c r="G5498" s="10" t="str">
        <f t="shared" si="257"/>
        <v/>
      </c>
      <c r="H5498" t="str">
        <f t="shared" si="258"/>
        <v/>
      </c>
      <c r="M5498" s="34">
        <f t="shared" si="259"/>
        <v>0</v>
      </c>
    </row>
    <row r="5499" spans="7:13" x14ac:dyDescent="0.25">
      <c r="G5499" s="10" t="str">
        <f t="shared" si="257"/>
        <v/>
      </c>
      <c r="H5499" t="str">
        <f t="shared" si="258"/>
        <v/>
      </c>
      <c r="M5499" s="34">
        <f t="shared" si="259"/>
        <v>0</v>
      </c>
    </row>
    <row r="5500" spans="7:13" x14ac:dyDescent="0.25">
      <c r="G5500" s="10" t="str">
        <f t="shared" si="257"/>
        <v/>
      </c>
      <c r="H5500" t="str">
        <f t="shared" si="258"/>
        <v/>
      </c>
      <c r="M5500" s="34">
        <f t="shared" si="259"/>
        <v>0</v>
      </c>
    </row>
    <row r="5501" spans="7:13" x14ac:dyDescent="0.25">
      <c r="G5501" s="10" t="str">
        <f t="shared" si="257"/>
        <v/>
      </c>
      <c r="H5501" t="str">
        <f t="shared" si="258"/>
        <v/>
      </c>
      <c r="M5501" s="34">
        <f t="shared" si="259"/>
        <v>0</v>
      </c>
    </row>
    <row r="5502" spans="7:13" x14ac:dyDescent="0.25">
      <c r="G5502" s="10" t="str">
        <f t="shared" si="257"/>
        <v/>
      </c>
      <c r="H5502" t="str">
        <f t="shared" si="258"/>
        <v/>
      </c>
      <c r="M5502" s="34">
        <f t="shared" si="259"/>
        <v>0</v>
      </c>
    </row>
    <row r="5503" spans="7:13" x14ac:dyDescent="0.25">
      <c r="G5503" s="10" t="str">
        <f t="shared" si="257"/>
        <v/>
      </c>
      <c r="H5503" t="str">
        <f t="shared" si="258"/>
        <v/>
      </c>
      <c r="M5503" s="34">
        <f t="shared" si="259"/>
        <v>0</v>
      </c>
    </row>
    <row r="5504" spans="7:13" x14ac:dyDescent="0.25">
      <c r="G5504" s="10" t="str">
        <f t="shared" si="257"/>
        <v/>
      </c>
      <c r="H5504" t="str">
        <f t="shared" si="258"/>
        <v/>
      </c>
      <c r="M5504" s="34">
        <f t="shared" si="259"/>
        <v>0</v>
      </c>
    </row>
    <row r="5505" spans="7:13" x14ac:dyDescent="0.25">
      <c r="G5505" s="10" t="str">
        <f t="shared" si="257"/>
        <v/>
      </c>
      <c r="H5505" t="str">
        <f t="shared" si="258"/>
        <v/>
      </c>
      <c r="M5505" s="34">
        <f t="shared" si="259"/>
        <v>0</v>
      </c>
    </row>
    <row r="5506" spans="7:13" x14ac:dyDescent="0.25">
      <c r="G5506" s="10" t="str">
        <f t="shared" ref="G5506:G5542" si="260">IF(F5506&gt;0,"RECETTE",IF(F5506&lt;0,"DÉPENSE",""))</f>
        <v/>
      </c>
      <c r="H5506" t="str">
        <f t="shared" ref="H5506:H5542" si="261">+IF(ISNUMBER(D5506),D5506,"")</f>
        <v/>
      </c>
      <c r="M5506" s="34">
        <f t="shared" si="259"/>
        <v>0</v>
      </c>
    </row>
    <row r="5507" spans="7:13" x14ac:dyDescent="0.25">
      <c r="G5507" s="10" t="str">
        <f t="shared" si="260"/>
        <v/>
      </c>
      <c r="H5507" t="str">
        <f t="shared" si="261"/>
        <v/>
      </c>
      <c r="M5507" s="34">
        <f t="shared" ref="M5507:M5570" si="262">IF(AND(E5507="Chèque",G5507="RECETTE"),F5507,0)</f>
        <v>0</v>
      </c>
    </row>
    <row r="5508" spans="7:13" x14ac:dyDescent="0.25">
      <c r="G5508" s="10" t="str">
        <f t="shared" si="260"/>
        <v/>
      </c>
      <c r="H5508" t="str">
        <f t="shared" si="261"/>
        <v/>
      </c>
      <c r="M5508" s="34">
        <f t="shared" si="262"/>
        <v>0</v>
      </c>
    </row>
    <row r="5509" spans="7:13" x14ac:dyDescent="0.25">
      <c r="G5509" s="10" t="str">
        <f t="shared" si="260"/>
        <v/>
      </c>
      <c r="H5509" t="str">
        <f t="shared" si="261"/>
        <v/>
      </c>
      <c r="M5509" s="34">
        <f t="shared" si="262"/>
        <v>0</v>
      </c>
    </row>
    <row r="5510" spans="7:13" x14ac:dyDescent="0.25">
      <c r="G5510" s="10" t="str">
        <f t="shared" si="260"/>
        <v/>
      </c>
      <c r="H5510" t="str">
        <f t="shared" si="261"/>
        <v/>
      </c>
      <c r="M5510" s="34">
        <f t="shared" si="262"/>
        <v>0</v>
      </c>
    </row>
    <row r="5511" spans="7:13" x14ac:dyDescent="0.25">
      <c r="G5511" s="10" t="str">
        <f t="shared" si="260"/>
        <v/>
      </c>
      <c r="H5511" t="str">
        <f t="shared" si="261"/>
        <v/>
      </c>
      <c r="M5511" s="34">
        <f t="shared" si="262"/>
        <v>0</v>
      </c>
    </row>
    <row r="5512" spans="7:13" x14ac:dyDescent="0.25">
      <c r="G5512" s="10" t="str">
        <f t="shared" si="260"/>
        <v/>
      </c>
      <c r="H5512" t="str">
        <f t="shared" si="261"/>
        <v/>
      </c>
      <c r="M5512" s="34">
        <f t="shared" si="262"/>
        <v>0</v>
      </c>
    </row>
    <row r="5513" spans="7:13" x14ac:dyDescent="0.25">
      <c r="G5513" s="10" t="str">
        <f t="shared" si="260"/>
        <v/>
      </c>
      <c r="H5513" t="str">
        <f t="shared" si="261"/>
        <v/>
      </c>
      <c r="M5513" s="34">
        <f t="shared" si="262"/>
        <v>0</v>
      </c>
    </row>
    <row r="5514" spans="7:13" x14ac:dyDescent="0.25">
      <c r="G5514" s="10" t="str">
        <f t="shared" si="260"/>
        <v/>
      </c>
      <c r="H5514" t="str">
        <f t="shared" si="261"/>
        <v/>
      </c>
      <c r="M5514" s="34">
        <f t="shared" si="262"/>
        <v>0</v>
      </c>
    </row>
    <row r="5515" spans="7:13" x14ac:dyDescent="0.25">
      <c r="G5515" s="10" t="str">
        <f t="shared" si="260"/>
        <v/>
      </c>
      <c r="H5515" t="str">
        <f t="shared" si="261"/>
        <v/>
      </c>
      <c r="M5515" s="34">
        <f t="shared" si="262"/>
        <v>0</v>
      </c>
    </row>
    <row r="5516" spans="7:13" x14ac:dyDescent="0.25">
      <c r="G5516" s="10" t="str">
        <f t="shared" si="260"/>
        <v/>
      </c>
      <c r="H5516" t="str">
        <f t="shared" si="261"/>
        <v/>
      </c>
      <c r="M5516" s="34">
        <f t="shared" si="262"/>
        <v>0</v>
      </c>
    </row>
    <row r="5517" spans="7:13" x14ac:dyDescent="0.25">
      <c r="G5517" s="10" t="str">
        <f t="shared" si="260"/>
        <v/>
      </c>
      <c r="H5517" t="str">
        <f t="shared" si="261"/>
        <v/>
      </c>
      <c r="M5517" s="34">
        <f t="shared" si="262"/>
        <v>0</v>
      </c>
    </row>
    <row r="5518" spans="7:13" x14ac:dyDescent="0.25">
      <c r="G5518" s="10" t="str">
        <f t="shared" si="260"/>
        <v/>
      </c>
      <c r="H5518" t="str">
        <f t="shared" si="261"/>
        <v/>
      </c>
      <c r="M5518" s="34">
        <f t="shared" si="262"/>
        <v>0</v>
      </c>
    </row>
    <row r="5519" spans="7:13" x14ac:dyDescent="0.25">
      <c r="G5519" s="10" t="str">
        <f t="shared" si="260"/>
        <v/>
      </c>
      <c r="H5519" t="str">
        <f t="shared" si="261"/>
        <v/>
      </c>
      <c r="M5519" s="34">
        <f t="shared" si="262"/>
        <v>0</v>
      </c>
    </row>
    <row r="5520" spans="7:13" x14ac:dyDescent="0.25">
      <c r="G5520" s="10" t="str">
        <f t="shared" si="260"/>
        <v/>
      </c>
      <c r="H5520" t="str">
        <f t="shared" si="261"/>
        <v/>
      </c>
      <c r="M5520" s="34">
        <f t="shared" si="262"/>
        <v>0</v>
      </c>
    </row>
    <row r="5521" spans="7:13" x14ac:dyDescent="0.25">
      <c r="G5521" s="10" t="str">
        <f t="shared" si="260"/>
        <v/>
      </c>
      <c r="H5521" t="str">
        <f t="shared" si="261"/>
        <v/>
      </c>
      <c r="M5521" s="34">
        <f t="shared" si="262"/>
        <v>0</v>
      </c>
    </row>
    <row r="5522" spans="7:13" x14ac:dyDescent="0.25">
      <c r="G5522" s="10" t="str">
        <f t="shared" si="260"/>
        <v/>
      </c>
      <c r="H5522" t="str">
        <f t="shared" si="261"/>
        <v/>
      </c>
      <c r="M5522" s="34">
        <f t="shared" si="262"/>
        <v>0</v>
      </c>
    </row>
    <row r="5523" spans="7:13" x14ac:dyDescent="0.25">
      <c r="G5523" s="10" t="str">
        <f t="shared" si="260"/>
        <v/>
      </c>
      <c r="H5523" t="str">
        <f t="shared" si="261"/>
        <v/>
      </c>
      <c r="M5523" s="34">
        <f t="shared" si="262"/>
        <v>0</v>
      </c>
    </row>
    <row r="5524" spans="7:13" x14ac:dyDescent="0.25">
      <c r="G5524" s="10" t="str">
        <f t="shared" si="260"/>
        <v/>
      </c>
      <c r="H5524" t="str">
        <f t="shared" si="261"/>
        <v/>
      </c>
      <c r="M5524" s="34">
        <f t="shared" si="262"/>
        <v>0</v>
      </c>
    </row>
    <row r="5525" spans="7:13" x14ac:dyDescent="0.25">
      <c r="G5525" s="10" t="str">
        <f t="shared" si="260"/>
        <v/>
      </c>
      <c r="H5525" t="str">
        <f t="shared" si="261"/>
        <v/>
      </c>
      <c r="M5525" s="34">
        <f t="shared" si="262"/>
        <v>0</v>
      </c>
    </row>
    <row r="5526" spans="7:13" x14ac:dyDescent="0.25">
      <c r="G5526" s="10" t="str">
        <f t="shared" si="260"/>
        <v/>
      </c>
      <c r="H5526" t="str">
        <f t="shared" si="261"/>
        <v/>
      </c>
      <c r="M5526" s="34">
        <f t="shared" si="262"/>
        <v>0</v>
      </c>
    </row>
    <row r="5527" spans="7:13" x14ac:dyDescent="0.25">
      <c r="G5527" s="10" t="str">
        <f t="shared" si="260"/>
        <v/>
      </c>
      <c r="H5527" t="str">
        <f t="shared" si="261"/>
        <v/>
      </c>
      <c r="M5527" s="34">
        <f t="shared" si="262"/>
        <v>0</v>
      </c>
    </row>
    <row r="5528" spans="7:13" x14ac:dyDescent="0.25">
      <c r="G5528" s="10" t="str">
        <f t="shared" si="260"/>
        <v/>
      </c>
      <c r="H5528" t="str">
        <f t="shared" si="261"/>
        <v/>
      </c>
      <c r="M5528" s="34">
        <f t="shared" si="262"/>
        <v>0</v>
      </c>
    </row>
    <row r="5529" spans="7:13" x14ac:dyDescent="0.25">
      <c r="G5529" s="10" t="str">
        <f t="shared" si="260"/>
        <v/>
      </c>
      <c r="H5529" t="str">
        <f t="shared" si="261"/>
        <v/>
      </c>
      <c r="M5529" s="34">
        <f t="shared" si="262"/>
        <v>0</v>
      </c>
    </row>
    <row r="5530" spans="7:13" x14ac:dyDescent="0.25">
      <c r="G5530" s="10" t="str">
        <f t="shared" si="260"/>
        <v/>
      </c>
      <c r="H5530" t="str">
        <f t="shared" si="261"/>
        <v/>
      </c>
      <c r="M5530" s="34">
        <f t="shared" si="262"/>
        <v>0</v>
      </c>
    </row>
    <row r="5531" spans="7:13" x14ac:dyDescent="0.25">
      <c r="G5531" s="10" t="str">
        <f t="shared" si="260"/>
        <v/>
      </c>
      <c r="H5531" t="str">
        <f t="shared" si="261"/>
        <v/>
      </c>
      <c r="M5531" s="34">
        <f t="shared" si="262"/>
        <v>0</v>
      </c>
    </row>
    <row r="5532" spans="7:13" x14ac:dyDescent="0.25">
      <c r="G5532" s="10" t="str">
        <f t="shared" si="260"/>
        <v/>
      </c>
      <c r="H5532" t="str">
        <f t="shared" si="261"/>
        <v/>
      </c>
      <c r="M5532" s="34">
        <f t="shared" si="262"/>
        <v>0</v>
      </c>
    </row>
    <row r="5533" spans="7:13" x14ac:dyDescent="0.25">
      <c r="G5533" s="10" t="str">
        <f t="shared" si="260"/>
        <v/>
      </c>
      <c r="H5533" t="str">
        <f t="shared" si="261"/>
        <v/>
      </c>
      <c r="M5533" s="34">
        <f t="shared" si="262"/>
        <v>0</v>
      </c>
    </row>
    <row r="5534" spans="7:13" x14ac:dyDescent="0.25">
      <c r="G5534" s="10" t="str">
        <f t="shared" si="260"/>
        <v/>
      </c>
      <c r="H5534" t="str">
        <f t="shared" si="261"/>
        <v/>
      </c>
      <c r="M5534" s="34">
        <f t="shared" si="262"/>
        <v>0</v>
      </c>
    </row>
    <row r="5535" spans="7:13" x14ac:dyDescent="0.25">
      <c r="G5535" s="10" t="str">
        <f t="shared" si="260"/>
        <v/>
      </c>
      <c r="H5535" t="str">
        <f t="shared" si="261"/>
        <v/>
      </c>
      <c r="M5535" s="34">
        <f t="shared" si="262"/>
        <v>0</v>
      </c>
    </row>
    <row r="5536" spans="7:13" x14ac:dyDescent="0.25">
      <c r="G5536" s="10" t="str">
        <f t="shared" si="260"/>
        <v/>
      </c>
      <c r="H5536" t="str">
        <f t="shared" si="261"/>
        <v/>
      </c>
      <c r="M5536" s="34">
        <f t="shared" si="262"/>
        <v>0</v>
      </c>
    </row>
    <row r="5537" spans="7:13" x14ac:dyDescent="0.25">
      <c r="G5537" s="10" t="str">
        <f t="shared" si="260"/>
        <v/>
      </c>
      <c r="H5537" t="str">
        <f t="shared" si="261"/>
        <v/>
      </c>
      <c r="M5537" s="34">
        <f t="shared" si="262"/>
        <v>0</v>
      </c>
    </row>
    <row r="5538" spans="7:13" x14ac:dyDescent="0.25">
      <c r="G5538" s="10" t="str">
        <f t="shared" si="260"/>
        <v/>
      </c>
      <c r="H5538" t="str">
        <f t="shared" si="261"/>
        <v/>
      </c>
      <c r="M5538" s="34">
        <f t="shared" si="262"/>
        <v>0</v>
      </c>
    </row>
    <row r="5539" spans="7:13" x14ac:dyDescent="0.25">
      <c r="G5539" s="10" t="str">
        <f t="shared" si="260"/>
        <v/>
      </c>
      <c r="H5539" t="str">
        <f t="shared" si="261"/>
        <v/>
      </c>
      <c r="M5539" s="34">
        <f t="shared" si="262"/>
        <v>0</v>
      </c>
    </row>
    <row r="5540" spans="7:13" x14ac:dyDescent="0.25">
      <c r="G5540" s="10" t="str">
        <f t="shared" si="260"/>
        <v/>
      </c>
      <c r="H5540" t="str">
        <f t="shared" si="261"/>
        <v/>
      </c>
      <c r="M5540" s="34">
        <f t="shared" si="262"/>
        <v>0</v>
      </c>
    </row>
    <row r="5541" spans="7:13" x14ac:dyDescent="0.25">
      <c r="G5541" s="10" t="str">
        <f t="shared" si="260"/>
        <v/>
      </c>
      <c r="H5541" t="str">
        <f t="shared" si="261"/>
        <v/>
      </c>
      <c r="M5541" s="34">
        <f t="shared" si="262"/>
        <v>0</v>
      </c>
    </row>
    <row r="5542" spans="7:13" x14ac:dyDescent="0.25">
      <c r="G5542" s="10" t="str">
        <f t="shared" si="260"/>
        <v/>
      </c>
      <c r="H5542" t="str">
        <f t="shared" si="261"/>
        <v/>
      </c>
      <c r="M5542" s="34">
        <f t="shared" si="262"/>
        <v>0</v>
      </c>
    </row>
    <row r="5543" spans="7:13" x14ac:dyDescent="0.25">
      <c r="M5543" s="34">
        <f t="shared" si="262"/>
        <v>0</v>
      </c>
    </row>
    <row r="5544" spans="7:13" x14ac:dyDescent="0.25">
      <c r="M5544" s="34">
        <f t="shared" si="262"/>
        <v>0</v>
      </c>
    </row>
    <row r="5545" spans="7:13" x14ac:dyDescent="0.25">
      <c r="M5545" s="34">
        <f t="shared" si="262"/>
        <v>0</v>
      </c>
    </row>
    <row r="5546" spans="7:13" x14ac:dyDescent="0.25">
      <c r="M5546" s="34">
        <f t="shared" si="262"/>
        <v>0</v>
      </c>
    </row>
    <row r="5547" spans="7:13" x14ac:dyDescent="0.25">
      <c r="M5547" s="34">
        <f t="shared" si="262"/>
        <v>0</v>
      </c>
    </row>
    <row r="5548" spans="7:13" x14ac:dyDescent="0.25">
      <c r="M5548" s="34">
        <f t="shared" si="262"/>
        <v>0</v>
      </c>
    </row>
    <row r="5549" spans="7:13" x14ac:dyDescent="0.25">
      <c r="M5549" s="34">
        <f t="shared" si="262"/>
        <v>0</v>
      </c>
    </row>
    <row r="5550" spans="7:13" x14ac:dyDescent="0.25">
      <c r="M5550" s="34">
        <f t="shared" si="262"/>
        <v>0</v>
      </c>
    </row>
    <row r="5551" spans="7:13" x14ac:dyDescent="0.25">
      <c r="M5551" s="34">
        <f t="shared" si="262"/>
        <v>0</v>
      </c>
    </row>
    <row r="5552" spans="7:13" x14ac:dyDescent="0.25">
      <c r="M5552" s="34">
        <f t="shared" si="262"/>
        <v>0</v>
      </c>
    </row>
    <row r="5553" spans="13:13" x14ac:dyDescent="0.25">
      <c r="M5553" s="34">
        <f t="shared" si="262"/>
        <v>0</v>
      </c>
    </row>
    <row r="5554" spans="13:13" x14ac:dyDescent="0.25">
      <c r="M5554" s="34">
        <f t="shared" si="262"/>
        <v>0</v>
      </c>
    </row>
    <row r="5555" spans="13:13" x14ac:dyDescent="0.25">
      <c r="M5555" s="34">
        <f t="shared" si="262"/>
        <v>0</v>
      </c>
    </row>
    <row r="5556" spans="13:13" x14ac:dyDescent="0.25">
      <c r="M5556" s="34">
        <f t="shared" si="262"/>
        <v>0</v>
      </c>
    </row>
    <row r="5557" spans="13:13" x14ac:dyDescent="0.25">
      <c r="M5557" s="34">
        <f t="shared" si="262"/>
        <v>0</v>
      </c>
    </row>
    <row r="5558" spans="13:13" x14ac:dyDescent="0.25">
      <c r="M5558" s="34">
        <f t="shared" si="262"/>
        <v>0</v>
      </c>
    </row>
    <row r="5559" spans="13:13" x14ac:dyDescent="0.25">
      <c r="M5559" s="34">
        <f t="shared" si="262"/>
        <v>0</v>
      </c>
    </row>
    <row r="5560" spans="13:13" x14ac:dyDescent="0.25">
      <c r="M5560" s="34">
        <f t="shared" si="262"/>
        <v>0</v>
      </c>
    </row>
    <row r="5561" spans="13:13" x14ac:dyDescent="0.25">
      <c r="M5561" s="34">
        <f t="shared" si="262"/>
        <v>0</v>
      </c>
    </row>
    <row r="5562" spans="13:13" x14ac:dyDescent="0.25">
      <c r="M5562" s="34">
        <f t="shared" si="262"/>
        <v>0</v>
      </c>
    </row>
    <row r="5563" spans="13:13" x14ac:dyDescent="0.25">
      <c r="M5563" s="34">
        <f t="shared" si="262"/>
        <v>0</v>
      </c>
    </row>
    <row r="5564" spans="13:13" x14ac:dyDescent="0.25">
      <c r="M5564" s="34">
        <f t="shared" si="262"/>
        <v>0</v>
      </c>
    </row>
    <row r="5565" spans="13:13" x14ac:dyDescent="0.25">
      <c r="M5565" s="34">
        <f t="shared" si="262"/>
        <v>0</v>
      </c>
    </row>
    <row r="5566" spans="13:13" x14ac:dyDescent="0.25">
      <c r="M5566" s="34">
        <f t="shared" si="262"/>
        <v>0</v>
      </c>
    </row>
    <row r="5567" spans="13:13" x14ac:dyDescent="0.25">
      <c r="M5567" s="34">
        <f t="shared" si="262"/>
        <v>0</v>
      </c>
    </row>
    <row r="5568" spans="13:13" x14ac:dyDescent="0.25">
      <c r="M5568" s="34">
        <f t="shared" si="262"/>
        <v>0</v>
      </c>
    </row>
    <row r="5569" spans="13:13" x14ac:dyDescent="0.25">
      <c r="M5569" s="34">
        <f t="shared" si="262"/>
        <v>0</v>
      </c>
    </row>
    <row r="5570" spans="13:13" x14ac:dyDescent="0.25">
      <c r="M5570" s="34">
        <f t="shared" si="262"/>
        <v>0</v>
      </c>
    </row>
    <row r="5571" spans="13:13" x14ac:dyDescent="0.25">
      <c r="M5571" s="34">
        <f t="shared" ref="M5571:M5634" si="263">IF(AND(E5571="Chèque",G5571="RECETTE"),F5571,0)</f>
        <v>0</v>
      </c>
    </row>
    <row r="5572" spans="13:13" x14ac:dyDescent="0.25">
      <c r="M5572" s="34">
        <f t="shared" si="263"/>
        <v>0</v>
      </c>
    </row>
    <row r="5573" spans="13:13" x14ac:dyDescent="0.25">
      <c r="M5573" s="34">
        <f t="shared" si="263"/>
        <v>0</v>
      </c>
    </row>
    <row r="5574" spans="13:13" x14ac:dyDescent="0.25">
      <c r="M5574" s="34">
        <f t="shared" si="263"/>
        <v>0</v>
      </c>
    </row>
    <row r="5575" spans="13:13" x14ac:dyDescent="0.25">
      <c r="M5575" s="34">
        <f t="shared" si="263"/>
        <v>0</v>
      </c>
    </row>
    <row r="5576" spans="13:13" x14ac:dyDescent="0.25">
      <c r="M5576" s="34">
        <f t="shared" si="263"/>
        <v>0</v>
      </c>
    </row>
    <row r="5577" spans="13:13" x14ac:dyDescent="0.25">
      <c r="M5577" s="34">
        <f t="shared" si="263"/>
        <v>0</v>
      </c>
    </row>
    <row r="5578" spans="13:13" x14ac:dyDescent="0.25">
      <c r="M5578" s="34">
        <f t="shared" si="263"/>
        <v>0</v>
      </c>
    </row>
    <row r="5579" spans="13:13" x14ac:dyDescent="0.25">
      <c r="M5579" s="34">
        <f t="shared" si="263"/>
        <v>0</v>
      </c>
    </row>
    <row r="5580" spans="13:13" x14ac:dyDescent="0.25">
      <c r="M5580" s="34">
        <f t="shared" si="263"/>
        <v>0</v>
      </c>
    </row>
    <row r="5581" spans="13:13" x14ac:dyDescent="0.25">
      <c r="M5581" s="34">
        <f t="shared" si="263"/>
        <v>0</v>
      </c>
    </row>
    <row r="5582" spans="13:13" x14ac:dyDescent="0.25">
      <c r="M5582" s="34">
        <f t="shared" si="263"/>
        <v>0</v>
      </c>
    </row>
    <row r="5583" spans="13:13" x14ac:dyDescent="0.25">
      <c r="M5583" s="34">
        <f t="shared" si="263"/>
        <v>0</v>
      </c>
    </row>
    <row r="5584" spans="13:13" x14ac:dyDescent="0.25">
      <c r="M5584" s="34">
        <f t="shared" si="263"/>
        <v>0</v>
      </c>
    </row>
    <row r="5585" spans="13:13" x14ac:dyDescent="0.25">
      <c r="M5585" s="34">
        <f t="shared" si="263"/>
        <v>0</v>
      </c>
    </row>
    <row r="5586" spans="13:13" x14ac:dyDescent="0.25">
      <c r="M5586" s="34">
        <f t="shared" si="263"/>
        <v>0</v>
      </c>
    </row>
    <row r="5587" spans="13:13" x14ac:dyDescent="0.25">
      <c r="M5587" s="34">
        <f t="shared" si="263"/>
        <v>0</v>
      </c>
    </row>
    <row r="5588" spans="13:13" x14ac:dyDescent="0.25">
      <c r="M5588" s="34">
        <f t="shared" si="263"/>
        <v>0</v>
      </c>
    </row>
    <row r="5589" spans="13:13" x14ac:dyDescent="0.25">
      <c r="M5589" s="34">
        <f t="shared" si="263"/>
        <v>0</v>
      </c>
    </row>
    <row r="5590" spans="13:13" x14ac:dyDescent="0.25">
      <c r="M5590" s="34">
        <f t="shared" si="263"/>
        <v>0</v>
      </c>
    </row>
    <row r="5591" spans="13:13" x14ac:dyDescent="0.25">
      <c r="M5591" s="34">
        <f t="shared" si="263"/>
        <v>0</v>
      </c>
    </row>
    <row r="5592" spans="13:13" x14ac:dyDescent="0.25">
      <c r="M5592" s="34">
        <f t="shared" si="263"/>
        <v>0</v>
      </c>
    </row>
    <row r="5593" spans="13:13" x14ac:dyDescent="0.25">
      <c r="M5593" s="34">
        <f t="shared" si="263"/>
        <v>0</v>
      </c>
    </row>
    <row r="5594" spans="13:13" x14ac:dyDescent="0.25">
      <c r="M5594" s="34">
        <f t="shared" si="263"/>
        <v>0</v>
      </c>
    </row>
    <row r="5595" spans="13:13" x14ac:dyDescent="0.25">
      <c r="M5595" s="34">
        <f t="shared" si="263"/>
        <v>0</v>
      </c>
    </row>
    <row r="5596" spans="13:13" x14ac:dyDescent="0.25">
      <c r="M5596" s="34">
        <f t="shared" si="263"/>
        <v>0</v>
      </c>
    </row>
    <row r="5597" spans="13:13" x14ac:dyDescent="0.25">
      <c r="M5597" s="34">
        <f t="shared" si="263"/>
        <v>0</v>
      </c>
    </row>
    <row r="5598" spans="13:13" x14ac:dyDescent="0.25">
      <c r="M5598" s="34">
        <f t="shared" si="263"/>
        <v>0</v>
      </c>
    </row>
    <row r="5599" spans="13:13" x14ac:dyDescent="0.25">
      <c r="M5599" s="34">
        <f t="shared" si="263"/>
        <v>0</v>
      </c>
    </row>
    <row r="5600" spans="13:13" x14ac:dyDescent="0.25">
      <c r="M5600" s="34">
        <f t="shared" si="263"/>
        <v>0</v>
      </c>
    </row>
    <row r="5601" spans="13:13" x14ac:dyDescent="0.25">
      <c r="M5601" s="34">
        <f t="shared" si="263"/>
        <v>0</v>
      </c>
    </row>
    <row r="5602" spans="13:13" x14ac:dyDescent="0.25">
      <c r="M5602" s="34">
        <f t="shared" si="263"/>
        <v>0</v>
      </c>
    </row>
    <row r="5603" spans="13:13" x14ac:dyDescent="0.25">
      <c r="M5603" s="34">
        <f t="shared" si="263"/>
        <v>0</v>
      </c>
    </row>
    <row r="5604" spans="13:13" x14ac:dyDescent="0.25">
      <c r="M5604" s="34">
        <f t="shared" si="263"/>
        <v>0</v>
      </c>
    </row>
    <row r="5605" spans="13:13" x14ac:dyDescent="0.25">
      <c r="M5605" s="34">
        <f t="shared" si="263"/>
        <v>0</v>
      </c>
    </row>
    <row r="5606" spans="13:13" x14ac:dyDescent="0.25">
      <c r="M5606" s="34">
        <f t="shared" si="263"/>
        <v>0</v>
      </c>
    </row>
    <row r="5607" spans="13:13" x14ac:dyDescent="0.25">
      <c r="M5607" s="34">
        <f t="shared" si="263"/>
        <v>0</v>
      </c>
    </row>
    <row r="5608" spans="13:13" x14ac:dyDescent="0.25">
      <c r="M5608" s="34">
        <f t="shared" si="263"/>
        <v>0</v>
      </c>
    </row>
    <row r="5609" spans="13:13" x14ac:dyDescent="0.25">
      <c r="M5609" s="34">
        <f t="shared" si="263"/>
        <v>0</v>
      </c>
    </row>
    <row r="5610" spans="13:13" x14ac:dyDescent="0.25">
      <c r="M5610" s="34">
        <f t="shared" si="263"/>
        <v>0</v>
      </c>
    </row>
    <row r="5611" spans="13:13" x14ac:dyDescent="0.25">
      <c r="M5611" s="34">
        <f t="shared" si="263"/>
        <v>0</v>
      </c>
    </row>
    <row r="5612" spans="13:13" x14ac:dyDescent="0.25">
      <c r="M5612" s="34">
        <f t="shared" si="263"/>
        <v>0</v>
      </c>
    </row>
    <row r="5613" spans="13:13" x14ac:dyDescent="0.25">
      <c r="M5613" s="34">
        <f t="shared" si="263"/>
        <v>0</v>
      </c>
    </row>
    <row r="5614" spans="13:13" x14ac:dyDescent="0.25">
      <c r="M5614" s="34">
        <f t="shared" si="263"/>
        <v>0</v>
      </c>
    </row>
    <row r="5615" spans="13:13" x14ac:dyDescent="0.25">
      <c r="M5615" s="34">
        <f t="shared" si="263"/>
        <v>0</v>
      </c>
    </row>
    <row r="5616" spans="13:13" x14ac:dyDescent="0.25">
      <c r="M5616" s="34">
        <f t="shared" si="263"/>
        <v>0</v>
      </c>
    </row>
    <row r="5617" spans="13:13" x14ac:dyDescent="0.25">
      <c r="M5617" s="34">
        <f t="shared" si="263"/>
        <v>0</v>
      </c>
    </row>
    <row r="5618" spans="13:13" x14ac:dyDescent="0.25">
      <c r="M5618" s="34">
        <f t="shared" si="263"/>
        <v>0</v>
      </c>
    </row>
    <row r="5619" spans="13:13" x14ac:dyDescent="0.25">
      <c r="M5619" s="34">
        <f t="shared" si="263"/>
        <v>0</v>
      </c>
    </row>
    <row r="5620" spans="13:13" x14ac:dyDescent="0.25">
      <c r="M5620" s="34">
        <f t="shared" si="263"/>
        <v>0</v>
      </c>
    </row>
    <row r="5621" spans="13:13" x14ac:dyDescent="0.25">
      <c r="M5621" s="34">
        <f t="shared" si="263"/>
        <v>0</v>
      </c>
    </row>
    <row r="5622" spans="13:13" x14ac:dyDescent="0.25">
      <c r="M5622" s="34">
        <f t="shared" si="263"/>
        <v>0</v>
      </c>
    </row>
    <row r="5623" spans="13:13" x14ac:dyDescent="0.25">
      <c r="M5623" s="34">
        <f t="shared" si="263"/>
        <v>0</v>
      </c>
    </row>
    <row r="5624" spans="13:13" x14ac:dyDescent="0.25">
      <c r="M5624" s="34">
        <f t="shared" si="263"/>
        <v>0</v>
      </c>
    </row>
    <row r="5625" spans="13:13" x14ac:dyDescent="0.25">
      <c r="M5625" s="34">
        <f t="shared" si="263"/>
        <v>0</v>
      </c>
    </row>
    <row r="5626" spans="13:13" x14ac:dyDescent="0.25">
      <c r="M5626" s="34">
        <f t="shared" si="263"/>
        <v>0</v>
      </c>
    </row>
    <row r="5627" spans="13:13" x14ac:dyDescent="0.25">
      <c r="M5627" s="34">
        <f t="shared" si="263"/>
        <v>0</v>
      </c>
    </row>
    <row r="5628" spans="13:13" x14ac:dyDescent="0.25">
      <c r="M5628" s="34">
        <f t="shared" si="263"/>
        <v>0</v>
      </c>
    </row>
    <row r="5629" spans="13:13" x14ac:dyDescent="0.25">
      <c r="M5629" s="34">
        <f t="shared" si="263"/>
        <v>0</v>
      </c>
    </row>
    <row r="5630" spans="13:13" x14ac:dyDescent="0.25">
      <c r="M5630" s="34">
        <f t="shared" si="263"/>
        <v>0</v>
      </c>
    </row>
    <row r="5631" spans="13:13" x14ac:dyDescent="0.25">
      <c r="M5631" s="34">
        <f t="shared" si="263"/>
        <v>0</v>
      </c>
    </row>
    <row r="5632" spans="13:13" x14ac:dyDescent="0.25">
      <c r="M5632" s="34">
        <f t="shared" si="263"/>
        <v>0</v>
      </c>
    </row>
    <row r="5633" spans="13:13" x14ac:dyDescent="0.25">
      <c r="M5633" s="34">
        <f t="shared" si="263"/>
        <v>0</v>
      </c>
    </row>
    <row r="5634" spans="13:13" x14ac:dyDescent="0.25">
      <c r="M5634" s="34">
        <f t="shared" si="263"/>
        <v>0</v>
      </c>
    </row>
    <row r="5635" spans="13:13" x14ac:dyDescent="0.25">
      <c r="M5635" s="34">
        <f t="shared" ref="M5635:M5698" si="264">IF(AND(E5635="Chèque",G5635="RECETTE"),F5635,0)</f>
        <v>0</v>
      </c>
    </row>
    <row r="5636" spans="13:13" x14ac:dyDescent="0.25">
      <c r="M5636" s="34">
        <f t="shared" si="264"/>
        <v>0</v>
      </c>
    </row>
    <row r="5637" spans="13:13" x14ac:dyDescent="0.25">
      <c r="M5637" s="34">
        <f t="shared" si="264"/>
        <v>0</v>
      </c>
    </row>
    <row r="5638" spans="13:13" x14ac:dyDescent="0.25">
      <c r="M5638" s="34">
        <f t="shared" si="264"/>
        <v>0</v>
      </c>
    </row>
    <row r="5639" spans="13:13" x14ac:dyDescent="0.25">
      <c r="M5639" s="34">
        <f t="shared" si="264"/>
        <v>0</v>
      </c>
    </row>
    <row r="5640" spans="13:13" x14ac:dyDescent="0.25">
      <c r="M5640" s="34">
        <f t="shared" si="264"/>
        <v>0</v>
      </c>
    </row>
    <row r="5641" spans="13:13" x14ac:dyDescent="0.25">
      <c r="M5641" s="34">
        <f t="shared" si="264"/>
        <v>0</v>
      </c>
    </row>
    <row r="5642" spans="13:13" x14ac:dyDescent="0.25">
      <c r="M5642" s="34">
        <f t="shared" si="264"/>
        <v>0</v>
      </c>
    </row>
    <row r="5643" spans="13:13" x14ac:dyDescent="0.25">
      <c r="M5643" s="34">
        <f t="shared" si="264"/>
        <v>0</v>
      </c>
    </row>
    <row r="5644" spans="13:13" x14ac:dyDescent="0.25">
      <c r="M5644" s="34">
        <f t="shared" si="264"/>
        <v>0</v>
      </c>
    </row>
    <row r="5645" spans="13:13" x14ac:dyDescent="0.25">
      <c r="M5645" s="34">
        <f t="shared" si="264"/>
        <v>0</v>
      </c>
    </row>
    <row r="5646" spans="13:13" x14ac:dyDescent="0.25">
      <c r="M5646" s="34">
        <f t="shared" si="264"/>
        <v>0</v>
      </c>
    </row>
    <row r="5647" spans="13:13" x14ac:dyDescent="0.25">
      <c r="M5647" s="34">
        <f t="shared" si="264"/>
        <v>0</v>
      </c>
    </row>
    <row r="5648" spans="13:13" x14ac:dyDescent="0.25">
      <c r="M5648" s="34">
        <f t="shared" si="264"/>
        <v>0</v>
      </c>
    </row>
    <row r="5649" spans="13:13" x14ac:dyDescent="0.25">
      <c r="M5649" s="34">
        <f t="shared" si="264"/>
        <v>0</v>
      </c>
    </row>
    <row r="5650" spans="13:13" x14ac:dyDescent="0.25">
      <c r="M5650" s="34">
        <f t="shared" si="264"/>
        <v>0</v>
      </c>
    </row>
    <row r="5651" spans="13:13" x14ac:dyDescent="0.25">
      <c r="M5651" s="34">
        <f t="shared" si="264"/>
        <v>0</v>
      </c>
    </row>
    <row r="5652" spans="13:13" x14ac:dyDescent="0.25">
      <c r="M5652" s="34">
        <f t="shared" si="264"/>
        <v>0</v>
      </c>
    </row>
    <row r="5653" spans="13:13" x14ac:dyDescent="0.25">
      <c r="M5653" s="34">
        <f t="shared" si="264"/>
        <v>0</v>
      </c>
    </row>
    <row r="5654" spans="13:13" x14ac:dyDescent="0.25">
      <c r="M5654" s="34">
        <f t="shared" si="264"/>
        <v>0</v>
      </c>
    </row>
    <row r="5655" spans="13:13" x14ac:dyDescent="0.25">
      <c r="M5655" s="34">
        <f t="shared" si="264"/>
        <v>0</v>
      </c>
    </row>
    <row r="5656" spans="13:13" x14ac:dyDescent="0.25">
      <c r="M5656" s="34">
        <f t="shared" si="264"/>
        <v>0</v>
      </c>
    </row>
    <row r="5657" spans="13:13" x14ac:dyDescent="0.25">
      <c r="M5657" s="34">
        <f t="shared" si="264"/>
        <v>0</v>
      </c>
    </row>
    <row r="5658" spans="13:13" x14ac:dyDescent="0.25">
      <c r="M5658" s="34">
        <f t="shared" si="264"/>
        <v>0</v>
      </c>
    </row>
    <row r="5659" spans="13:13" x14ac:dyDescent="0.25">
      <c r="M5659" s="34">
        <f t="shared" si="264"/>
        <v>0</v>
      </c>
    </row>
    <row r="5660" spans="13:13" x14ac:dyDescent="0.25">
      <c r="M5660" s="34">
        <f t="shared" si="264"/>
        <v>0</v>
      </c>
    </row>
    <row r="5661" spans="13:13" x14ac:dyDescent="0.25">
      <c r="M5661" s="34">
        <f t="shared" si="264"/>
        <v>0</v>
      </c>
    </row>
    <row r="5662" spans="13:13" x14ac:dyDescent="0.25">
      <c r="M5662" s="34">
        <f t="shared" si="264"/>
        <v>0</v>
      </c>
    </row>
    <row r="5663" spans="13:13" x14ac:dyDescent="0.25">
      <c r="M5663" s="34">
        <f t="shared" si="264"/>
        <v>0</v>
      </c>
    </row>
    <row r="5664" spans="13:13" x14ac:dyDescent="0.25">
      <c r="M5664" s="34">
        <f t="shared" si="264"/>
        <v>0</v>
      </c>
    </row>
    <row r="5665" spans="13:13" x14ac:dyDescent="0.25">
      <c r="M5665" s="34">
        <f t="shared" si="264"/>
        <v>0</v>
      </c>
    </row>
    <row r="5666" spans="13:13" x14ac:dyDescent="0.25">
      <c r="M5666" s="34">
        <f t="shared" si="264"/>
        <v>0</v>
      </c>
    </row>
    <row r="5667" spans="13:13" x14ac:dyDescent="0.25">
      <c r="M5667" s="34">
        <f t="shared" si="264"/>
        <v>0</v>
      </c>
    </row>
    <row r="5668" spans="13:13" x14ac:dyDescent="0.25">
      <c r="M5668" s="34">
        <f t="shared" si="264"/>
        <v>0</v>
      </c>
    </row>
    <row r="5669" spans="13:13" x14ac:dyDescent="0.25">
      <c r="M5669" s="34">
        <f t="shared" si="264"/>
        <v>0</v>
      </c>
    </row>
    <row r="5670" spans="13:13" x14ac:dyDescent="0.25">
      <c r="M5670" s="34">
        <f t="shared" si="264"/>
        <v>0</v>
      </c>
    </row>
    <row r="5671" spans="13:13" x14ac:dyDescent="0.25">
      <c r="M5671" s="34">
        <f t="shared" si="264"/>
        <v>0</v>
      </c>
    </row>
    <row r="5672" spans="13:13" x14ac:dyDescent="0.25">
      <c r="M5672" s="34">
        <f t="shared" si="264"/>
        <v>0</v>
      </c>
    </row>
    <row r="5673" spans="13:13" x14ac:dyDescent="0.25">
      <c r="M5673" s="34">
        <f t="shared" si="264"/>
        <v>0</v>
      </c>
    </row>
    <row r="5674" spans="13:13" x14ac:dyDescent="0.25">
      <c r="M5674" s="34">
        <f t="shared" si="264"/>
        <v>0</v>
      </c>
    </row>
    <row r="5675" spans="13:13" x14ac:dyDescent="0.25">
      <c r="M5675" s="34">
        <f t="shared" si="264"/>
        <v>0</v>
      </c>
    </row>
    <row r="5676" spans="13:13" x14ac:dyDescent="0.25">
      <c r="M5676" s="34">
        <f t="shared" si="264"/>
        <v>0</v>
      </c>
    </row>
    <row r="5677" spans="13:13" x14ac:dyDescent="0.25">
      <c r="M5677" s="34">
        <f t="shared" si="264"/>
        <v>0</v>
      </c>
    </row>
    <row r="5678" spans="13:13" x14ac:dyDescent="0.25">
      <c r="M5678" s="34">
        <f t="shared" si="264"/>
        <v>0</v>
      </c>
    </row>
    <row r="5679" spans="13:13" x14ac:dyDescent="0.25">
      <c r="M5679" s="34">
        <f t="shared" si="264"/>
        <v>0</v>
      </c>
    </row>
    <row r="5680" spans="13:13" x14ac:dyDescent="0.25">
      <c r="M5680" s="34">
        <f t="shared" si="264"/>
        <v>0</v>
      </c>
    </row>
    <row r="5681" spans="13:13" x14ac:dyDescent="0.25">
      <c r="M5681" s="34">
        <f t="shared" si="264"/>
        <v>0</v>
      </c>
    </row>
    <row r="5682" spans="13:13" x14ac:dyDescent="0.25">
      <c r="M5682" s="34">
        <f t="shared" si="264"/>
        <v>0</v>
      </c>
    </row>
    <row r="5683" spans="13:13" x14ac:dyDescent="0.25">
      <c r="M5683" s="34">
        <f t="shared" si="264"/>
        <v>0</v>
      </c>
    </row>
    <row r="5684" spans="13:13" x14ac:dyDescent="0.25">
      <c r="M5684" s="34">
        <f t="shared" si="264"/>
        <v>0</v>
      </c>
    </row>
    <row r="5685" spans="13:13" x14ac:dyDescent="0.25">
      <c r="M5685" s="34">
        <f t="shared" si="264"/>
        <v>0</v>
      </c>
    </row>
    <row r="5686" spans="13:13" x14ac:dyDescent="0.25">
      <c r="M5686" s="34">
        <f t="shared" si="264"/>
        <v>0</v>
      </c>
    </row>
    <row r="5687" spans="13:13" x14ac:dyDescent="0.25">
      <c r="M5687" s="34">
        <f t="shared" si="264"/>
        <v>0</v>
      </c>
    </row>
    <row r="5688" spans="13:13" x14ac:dyDescent="0.25">
      <c r="M5688" s="34">
        <f t="shared" si="264"/>
        <v>0</v>
      </c>
    </row>
    <row r="5689" spans="13:13" x14ac:dyDescent="0.25">
      <c r="M5689" s="34">
        <f t="shared" si="264"/>
        <v>0</v>
      </c>
    </row>
    <row r="5690" spans="13:13" x14ac:dyDescent="0.25">
      <c r="M5690" s="34">
        <f t="shared" si="264"/>
        <v>0</v>
      </c>
    </row>
    <row r="5691" spans="13:13" x14ac:dyDescent="0.25">
      <c r="M5691" s="34">
        <f t="shared" si="264"/>
        <v>0</v>
      </c>
    </row>
    <row r="5692" spans="13:13" x14ac:dyDescent="0.25">
      <c r="M5692" s="34">
        <f t="shared" si="264"/>
        <v>0</v>
      </c>
    </row>
    <row r="5693" spans="13:13" x14ac:dyDescent="0.25">
      <c r="M5693" s="34">
        <f t="shared" si="264"/>
        <v>0</v>
      </c>
    </row>
    <row r="5694" spans="13:13" x14ac:dyDescent="0.25">
      <c r="M5694" s="34">
        <f t="shared" si="264"/>
        <v>0</v>
      </c>
    </row>
    <row r="5695" spans="13:13" x14ac:dyDescent="0.25">
      <c r="M5695" s="34">
        <f t="shared" si="264"/>
        <v>0</v>
      </c>
    </row>
    <row r="5696" spans="13:13" x14ac:dyDescent="0.25">
      <c r="M5696" s="34">
        <f t="shared" si="264"/>
        <v>0</v>
      </c>
    </row>
    <row r="5697" spans="13:13" x14ac:dyDescent="0.25">
      <c r="M5697" s="34">
        <f t="shared" si="264"/>
        <v>0</v>
      </c>
    </row>
    <row r="5698" spans="13:13" x14ac:dyDescent="0.25">
      <c r="M5698" s="34">
        <f t="shared" si="264"/>
        <v>0</v>
      </c>
    </row>
    <row r="5699" spans="13:13" x14ac:dyDescent="0.25">
      <c r="M5699" s="34">
        <f t="shared" ref="M5699:M5762" si="265">IF(AND(E5699="Chèque",G5699="RECETTE"),F5699,0)</f>
        <v>0</v>
      </c>
    </row>
    <row r="5700" spans="13:13" x14ac:dyDescent="0.25">
      <c r="M5700" s="34">
        <f t="shared" si="265"/>
        <v>0</v>
      </c>
    </row>
    <row r="5701" spans="13:13" x14ac:dyDescent="0.25">
      <c r="M5701" s="34">
        <f t="shared" si="265"/>
        <v>0</v>
      </c>
    </row>
    <row r="5702" spans="13:13" x14ac:dyDescent="0.25">
      <c r="M5702" s="34">
        <f t="shared" si="265"/>
        <v>0</v>
      </c>
    </row>
    <row r="5703" spans="13:13" x14ac:dyDescent="0.25">
      <c r="M5703" s="34">
        <f t="shared" si="265"/>
        <v>0</v>
      </c>
    </row>
    <row r="5704" spans="13:13" x14ac:dyDescent="0.25">
      <c r="M5704" s="34">
        <f t="shared" si="265"/>
        <v>0</v>
      </c>
    </row>
    <row r="5705" spans="13:13" x14ac:dyDescent="0.25">
      <c r="M5705" s="34">
        <f t="shared" si="265"/>
        <v>0</v>
      </c>
    </row>
    <row r="5706" spans="13:13" x14ac:dyDescent="0.25">
      <c r="M5706" s="34">
        <f t="shared" si="265"/>
        <v>0</v>
      </c>
    </row>
    <row r="5707" spans="13:13" x14ac:dyDescent="0.25">
      <c r="M5707" s="34">
        <f t="shared" si="265"/>
        <v>0</v>
      </c>
    </row>
    <row r="5708" spans="13:13" x14ac:dyDescent="0.25">
      <c r="M5708" s="34">
        <f t="shared" si="265"/>
        <v>0</v>
      </c>
    </row>
    <row r="5709" spans="13:13" x14ac:dyDescent="0.25">
      <c r="M5709" s="34">
        <f t="shared" si="265"/>
        <v>0</v>
      </c>
    </row>
    <row r="5710" spans="13:13" x14ac:dyDescent="0.25">
      <c r="M5710" s="34">
        <f t="shared" si="265"/>
        <v>0</v>
      </c>
    </row>
    <row r="5711" spans="13:13" x14ac:dyDescent="0.25">
      <c r="M5711" s="34">
        <f t="shared" si="265"/>
        <v>0</v>
      </c>
    </row>
    <row r="5712" spans="13:13" x14ac:dyDescent="0.25">
      <c r="M5712" s="34">
        <f t="shared" si="265"/>
        <v>0</v>
      </c>
    </row>
    <row r="5713" spans="13:13" x14ac:dyDescent="0.25">
      <c r="M5713" s="34">
        <f t="shared" si="265"/>
        <v>0</v>
      </c>
    </row>
    <row r="5714" spans="13:13" x14ac:dyDescent="0.25">
      <c r="M5714" s="34">
        <f t="shared" si="265"/>
        <v>0</v>
      </c>
    </row>
    <row r="5715" spans="13:13" x14ac:dyDescent="0.25">
      <c r="M5715" s="34">
        <f t="shared" si="265"/>
        <v>0</v>
      </c>
    </row>
    <row r="5716" spans="13:13" x14ac:dyDescent="0.25">
      <c r="M5716" s="34">
        <f t="shared" si="265"/>
        <v>0</v>
      </c>
    </row>
    <row r="5717" spans="13:13" x14ac:dyDescent="0.25">
      <c r="M5717" s="34">
        <f t="shared" si="265"/>
        <v>0</v>
      </c>
    </row>
    <row r="5718" spans="13:13" x14ac:dyDescent="0.25">
      <c r="M5718" s="34">
        <f t="shared" si="265"/>
        <v>0</v>
      </c>
    </row>
    <row r="5719" spans="13:13" x14ac:dyDescent="0.25">
      <c r="M5719" s="34">
        <f t="shared" si="265"/>
        <v>0</v>
      </c>
    </row>
    <row r="5720" spans="13:13" x14ac:dyDescent="0.25">
      <c r="M5720" s="34">
        <f t="shared" si="265"/>
        <v>0</v>
      </c>
    </row>
    <row r="5721" spans="13:13" x14ac:dyDescent="0.25">
      <c r="M5721" s="34">
        <f t="shared" si="265"/>
        <v>0</v>
      </c>
    </row>
    <row r="5722" spans="13:13" x14ac:dyDescent="0.25">
      <c r="M5722" s="34">
        <f t="shared" si="265"/>
        <v>0</v>
      </c>
    </row>
    <row r="5723" spans="13:13" x14ac:dyDescent="0.25">
      <c r="M5723" s="34">
        <f t="shared" si="265"/>
        <v>0</v>
      </c>
    </row>
    <row r="5724" spans="13:13" x14ac:dyDescent="0.25">
      <c r="M5724" s="34">
        <f t="shared" si="265"/>
        <v>0</v>
      </c>
    </row>
    <row r="5725" spans="13:13" x14ac:dyDescent="0.25">
      <c r="M5725" s="34">
        <f t="shared" si="265"/>
        <v>0</v>
      </c>
    </row>
    <row r="5726" spans="13:13" x14ac:dyDescent="0.25">
      <c r="M5726" s="34">
        <f t="shared" si="265"/>
        <v>0</v>
      </c>
    </row>
    <row r="5727" spans="13:13" x14ac:dyDescent="0.25">
      <c r="M5727" s="34">
        <f t="shared" si="265"/>
        <v>0</v>
      </c>
    </row>
    <row r="5728" spans="13:13" x14ac:dyDescent="0.25">
      <c r="M5728" s="34">
        <f t="shared" si="265"/>
        <v>0</v>
      </c>
    </row>
    <row r="5729" spans="13:13" x14ac:dyDescent="0.25">
      <c r="M5729" s="34">
        <f t="shared" si="265"/>
        <v>0</v>
      </c>
    </row>
    <row r="5730" spans="13:13" x14ac:dyDescent="0.25">
      <c r="M5730" s="34">
        <f t="shared" si="265"/>
        <v>0</v>
      </c>
    </row>
    <row r="5731" spans="13:13" x14ac:dyDescent="0.25">
      <c r="M5731" s="34">
        <f t="shared" si="265"/>
        <v>0</v>
      </c>
    </row>
    <row r="5732" spans="13:13" x14ac:dyDescent="0.25">
      <c r="M5732" s="34">
        <f t="shared" si="265"/>
        <v>0</v>
      </c>
    </row>
    <row r="5733" spans="13:13" x14ac:dyDescent="0.25">
      <c r="M5733" s="34">
        <f t="shared" si="265"/>
        <v>0</v>
      </c>
    </row>
    <row r="5734" spans="13:13" x14ac:dyDescent="0.25">
      <c r="M5734" s="34">
        <f t="shared" si="265"/>
        <v>0</v>
      </c>
    </row>
    <row r="5735" spans="13:13" x14ac:dyDescent="0.25">
      <c r="M5735" s="34">
        <f t="shared" si="265"/>
        <v>0</v>
      </c>
    </row>
    <row r="5736" spans="13:13" x14ac:dyDescent="0.25">
      <c r="M5736" s="34">
        <f t="shared" si="265"/>
        <v>0</v>
      </c>
    </row>
    <row r="5737" spans="13:13" x14ac:dyDescent="0.25">
      <c r="M5737" s="34">
        <f t="shared" si="265"/>
        <v>0</v>
      </c>
    </row>
    <row r="5738" spans="13:13" x14ac:dyDescent="0.25">
      <c r="M5738" s="34">
        <f t="shared" si="265"/>
        <v>0</v>
      </c>
    </row>
    <row r="5739" spans="13:13" x14ac:dyDescent="0.25">
      <c r="M5739" s="34">
        <f t="shared" si="265"/>
        <v>0</v>
      </c>
    </row>
    <row r="5740" spans="13:13" x14ac:dyDescent="0.25">
      <c r="M5740" s="34">
        <f t="shared" si="265"/>
        <v>0</v>
      </c>
    </row>
    <row r="5741" spans="13:13" x14ac:dyDescent="0.25">
      <c r="M5741" s="34">
        <f t="shared" si="265"/>
        <v>0</v>
      </c>
    </row>
    <row r="5742" spans="13:13" x14ac:dyDescent="0.25">
      <c r="M5742" s="34">
        <f t="shared" si="265"/>
        <v>0</v>
      </c>
    </row>
    <row r="5743" spans="13:13" x14ac:dyDescent="0.25">
      <c r="M5743" s="34">
        <f t="shared" si="265"/>
        <v>0</v>
      </c>
    </row>
    <row r="5744" spans="13:13" x14ac:dyDescent="0.25">
      <c r="M5744" s="34">
        <f t="shared" si="265"/>
        <v>0</v>
      </c>
    </row>
    <row r="5745" spans="13:13" x14ac:dyDescent="0.25">
      <c r="M5745" s="34">
        <f t="shared" si="265"/>
        <v>0</v>
      </c>
    </row>
    <row r="5746" spans="13:13" x14ac:dyDescent="0.25">
      <c r="M5746" s="34">
        <f t="shared" si="265"/>
        <v>0</v>
      </c>
    </row>
    <row r="5747" spans="13:13" x14ac:dyDescent="0.25">
      <c r="M5747" s="34">
        <f t="shared" si="265"/>
        <v>0</v>
      </c>
    </row>
    <row r="5748" spans="13:13" x14ac:dyDescent="0.25">
      <c r="M5748" s="34">
        <f t="shared" si="265"/>
        <v>0</v>
      </c>
    </row>
    <row r="5749" spans="13:13" x14ac:dyDescent="0.25">
      <c r="M5749" s="34">
        <f t="shared" si="265"/>
        <v>0</v>
      </c>
    </row>
    <row r="5750" spans="13:13" x14ac:dyDescent="0.25">
      <c r="M5750" s="34">
        <f t="shared" si="265"/>
        <v>0</v>
      </c>
    </row>
    <row r="5751" spans="13:13" x14ac:dyDescent="0.25">
      <c r="M5751" s="34">
        <f t="shared" si="265"/>
        <v>0</v>
      </c>
    </row>
    <row r="5752" spans="13:13" x14ac:dyDescent="0.25">
      <c r="M5752" s="34">
        <f t="shared" si="265"/>
        <v>0</v>
      </c>
    </row>
    <row r="5753" spans="13:13" x14ac:dyDescent="0.25">
      <c r="M5753" s="34">
        <f t="shared" si="265"/>
        <v>0</v>
      </c>
    </row>
    <row r="5754" spans="13:13" x14ac:dyDescent="0.25">
      <c r="M5754" s="34">
        <f t="shared" si="265"/>
        <v>0</v>
      </c>
    </row>
    <row r="5755" spans="13:13" x14ac:dyDescent="0.25">
      <c r="M5755" s="34">
        <f t="shared" si="265"/>
        <v>0</v>
      </c>
    </row>
    <row r="5756" spans="13:13" x14ac:dyDescent="0.25">
      <c r="M5756" s="34">
        <f t="shared" si="265"/>
        <v>0</v>
      </c>
    </row>
    <row r="5757" spans="13:13" x14ac:dyDescent="0.25">
      <c r="M5757" s="34">
        <f t="shared" si="265"/>
        <v>0</v>
      </c>
    </row>
    <row r="5758" spans="13:13" x14ac:dyDescent="0.25">
      <c r="M5758" s="34">
        <f t="shared" si="265"/>
        <v>0</v>
      </c>
    </row>
    <row r="5759" spans="13:13" x14ac:dyDescent="0.25">
      <c r="M5759" s="34">
        <f t="shared" si="265"/>
        <v>0</v>
      </c>
    </row>
    <row r="5760" spans="13:13" x14ac:dyDescent="0.25">
      <c r="M5760" s="34">
        <f t="shared" si="265"/>
        <v>0</v>
      </c>
    </row>
    <row r="5761" spans="13:13" x14ac:dyDescent="0.25">
      <c r="M5761" s="34">
        <f t="shared" si="265"/>
        <v>0</v>
      </c>
    </row>
    <row r="5762" spans="13:13" x14ac:dyDescent="0.25">
      <c r="M5762" s="34">
        <f t="shared" si="265"/>
        <v>0</v>
      </c>
    </row>
    <row r="5763" spans="13:13" x14ac:dyDescent="0.25">
      <c r="M5763" s="34">
        <f t="shared" ref="M5763:M5826" si="266">IF(AND(E5763="Chèque",G5763="RECETTE"),F5763,0)</f>
        <v>0</v>
      </c>
    </row>
    <row r="5764" spans="13:13" x14ac:dyDescent="0.25">
      <c r="M5764" s="34">
        <f t="shared" si="266"/>
        <v>0</v>
      </c>
    </row>
    <row r="5765" spans="13:13" x14ac:dyDescent="0.25">
      <c r="M5765" s="34">
        <f t="shared" si="266"/>
        <v>0</v>
      </c>
    </row>
    <row r="5766" spans="13:13" x14ac:dyDescent="0.25">
      <c r="M5766" s="34">
        <f t="shared" si="266"/>
        <v>0</v>
      </c>
    </row>
    <row r="5767" spans="13:13" x14ac:dyDescent="0.25">
      <c r="M5767" s="34">
        <f t="shared" si="266"/>
        <v>0</v>
      </c>
    </row>
    <row r="5768" spans="13:13" x14ac:dyDescent="0.25">
      <c r="M5768" s="34">
        <f t="shared" si="266"/>
        <v>0</v>
      </c>
    </row>
    <row r="5769" spans="13:13" x14ac:dyDescent="0.25">
      <c r="M5769" s="34">
        <f t="shared" si="266"/>
        <v>0</v>
      </c>
    </row>
    <row r="5770" spans="13:13" x14ac:dyDescent="0.25">
      <c r="M5770" s="34">
        <f t="shared" si="266"/>
        <v>0</v>
      </c>
    </row>
    <row r="5771" spans="13:13" x14ac:dyDescent="0.25">
      <c r="M5771" s="34">
        <f t="shared" si="266"/>
        <v>0</v>
      </c>
    </row>
    <row r="5772" spans="13:13" x14ac:dyDescent="0.25">
      <c r="M5772" s="34">
        <f t="shared" si="266"/>
        <v>0</v>
      </c>
    </row>
    <row r="5773" spans="13:13" x14ac:dyDescent="0.25">
      <c r="M5773" s="34">
        <f t="shared" si="266"/>
        <v>0</v>
      </c>
    </row>
    <row r="5774" spans="13:13" x14ac:dyDescent="0.25">
      <c r="M5774" s="34">
        <f t="shared" si="266"/>
        <v>0</v>
      </c>
    </row>
    <row r="5775" spans="13:13" x14ac:dyDescent="0.25">
      <c r="M5775" s="34">
        <f t="shared" si="266"/>
        <v>0</v>
      </c>
    </row>
    <row r="5776" spans="13:13" x14ac:dyDescent="0.25">
      <c r="M5776" s="34">
        <f t="shared" si="266"/>
        <v>0</v>
      </c>
    </row>
    <row r="5777" spans="13:13" x14ac:dyDescent="0.25">
      <c r="M5777" s="34">
        <f t="shared" si="266"/>
        <v>0</v>
      </c>
    </row>
    <row r="5778" spans="13:13" x14ac:dyDescent="0.25">
      <c r="M5778" s="34">
        <f t="shared" si="266"/>
        <v>0</v>
      </c>
    </row>
    <row r="5779" spans="13:13" x14ac:dyDescent="0.25">
      <c r="M5779" s="34">
        <f t="shared" si="266"/>
        <v>0</v>
      </c>
    </row>
    <row r="5780" spans="13:13" x14ac:dyDescent="0.25">
      <c r="M5780" s="34">
        <f t="shared" si="266"/>
        <v>0</v>
      </c>
    </row>
    <row r="5781" spans="13:13" x14ac:dyDescent="0.25">
      <c r="M5781" s="34">
        <f t="shared" si="266"/>
        <v>0</v>
      </c>
    </row>
    <row r="5782" spans="13:13" x14ac:dyDescent="0.25">
      <c r="M5782" s="34">
        <f t="shared" si="266"/>
        <v>0</v>
      </c>
    </row>
    <row r="5783" spans="13:13" x14ac:dyDescent="0.25">
      <c r="M5783" s="34">
        <f t="shared" si="266"/>
        <v>0</v>
      </c>
    </row>
    <row r="5784" spans="13:13" x14ac:dyDescent="0.25">
      <c r="M5784" s="34">
        <f t="shared" si="266"/>
        <v>0</v>
      </c>
    </row>
    <row r="5785" spans="13:13" x14ac:dyDescent="0.25">
      <c r="M5785" s="34">
        <f t="shared" si="266"/>
        <v>0</v>
      </c>
    </row>
    <row r="5786" spans="13:13" x14ac:dyDescent="0.25">
      <c r="M5786" s="34">
        <f t="shared" si="266"/>
        <v>0</v>
      </c>
    </row>
    <row r="5787" spans="13:13" x14ac:dyDescent="0.25">
      <c r="M5787" s="34">
        <f t="shared" si="266"/>
        <v>0</v>
      </c>
    </row>
    <row r="5788" spans="13:13" x14ac:dyDescent="0.25">
      <c r="M5788" s="34">
        <f t="shared" si="266"/>
        <v>0</v>
      </c>
    </row>
    <row r="5789" spans="13:13" x14ac:dyDescent="0.25">
      <c r="M5789" s="34">
        <f t="shared" si="266"/>
        <v>0</v>
      </c>
    </row>
    <row r="5790" spans="13:13" x14ac:dyDescent="0.25">
      <c r="M5790" s="34">
        <f t="shared" si="266"/>
        <v>0</v>
      </c>
    </row>
    <row r="5791" spans="13:13" x14ac:dyDescent="0.25">
      <c r="M5791" s="34">
        <f t="shared" si="266"/>
        <v>0</v>
      </c>
    </row>
    <row r="5792" spans="13:13" x14ac:dyDescent="0.25">
      <c r="M5792" s="34">
        <f t="shared" si="266"/>
        <v>0</v>
      </c>
    </row>
    <row r="5793" spans="13:13" x14ac:dyDescent="0.25">
      <c r="M5793" s="34">
        <f t="shared" si="266"/>
        <v>0</v>
      </c>
    </row>
    <row r="5794" spans="13:13" x14ac:dyDescent="0.25">
      <c r="M5794" s="34">
        <f t="shared" si="266"/>
        <v>0</v>
      </c>
    </row>
    <row r="5795" spans="13:13" x14ac:dyDescent="0.25">
      <c r="M5795" s="34">
        <f t="shared" si="266"/>
        <v>0</v>
      </c>
    </row>
    <row r="5796" spans="13:13" x14ac:dyDescent="0.25">
      <c r="M5796" s="34">
        <f t="shared" si="266"/>
        <v>0</v>
      </c>
    </row>
    <row r="5797" spans="13:13" x14ac:dyDescent="0.25">
      <c r="M5797" s="34">
        <f t="shared" si="266"/>
        <v>0</v>
      </c>
    </row>
    <row r="5798" spans="13:13" x14ac:dyDescent="0.25">
      <c r="M5798" s="34">
        <f t="shared" si="266"/>
        <v>0</v>
      </c>
    </row>
    <row r="5799" spans="13:13" x14ac:dyDescent="0.25">
      <c r="M5799" s="34">
        <f t="shared" si="266"/>
        <v>0</v>
      </c>
    </row>
    <row r="5800" spans="13:13" x14ac:dyDescent="0.25">
      <c r="M5800" s="34">
        <f t="shared" si="266"/>
        <v>0</v>
      </c>
    </row>
    <row r="5801" spans="13:13" x14ac:dyDescent="0.25">
      <c r="M5801" s="34">
        <f t="shared" si="266"/>
        <v>0</v>
      </c>
    </row>
    <row r="5802" spans="13:13" x14ac:dyDescent="0.25">
      <c r="M5802" s="34">
        <f t="shared" si="266"/>
        <v>0</v>
      </c>
    </row>
    <row r="5803" spans="13:13" x14ac:dyDescent="0.25">
      <c r="M5803" s="34">
        <f t="shared" si="266"/>
        <v>0</v>
      </c>
    </row>
    <row r="5804" spans="13:13" x14ac:dyDescent="0.25">
      <c r="M5804" s="34">
        <f t="shared" si="266"/>
        <v>0</v>
      </c>
    </row>
    <row r="5805" spans="13:13" x14ac:dyDescent="0.25">
      <c r="M5805" s="34">
        <f t="shared" si="266"/>
        <v>0</v>
      </c>
    </row>
    <row r="5806" spans="13:13" x14ac:dyDescent="0.25">
      <c r="M5806" s="34">
        <f t="shared" si="266"/>
        <v>0</v>
      </c>
    </row>
    <row r="5807" spans="13:13" x14ac:dyDescent="0.25">
      <c r="M5807" s="34">
        <f t="shared" si="266"/>
        <v>0</v>
      </c>
    </row>
    <row r="5808" spans="13:13" x14ac:dyDescent="0.25">
      <c r="M5808" s="34">
        <f t="shared" si="266"/>
        <v>0</v>
      </c>
    </row>
    <row r="5809" spans="13:13" x14ac:dyDescent="0.25">
      <c r="M5809" s="34">
        <f t="shared" si="266"/>
        <v>0</v>
      </c>
    </row>
    <row r="5810" spans="13:13" x14ac:dyDescent="0.25">
      <c r="M5810" s="34">
        <f t="shared" si="266"/>
        <v>0</v>
      </c>
    </row>
    <row r="5811" spans="13:13" x14ac:dyDescent="0.25">
      <c r="M5811" s="34">
        <f t="shared" si="266"/>
        <v>0</v>
      </c>
    </row>
    <row r="5812" spans="13:13" x14ac:dyDescent="0.25">
      <c r="M5812" s="34">
        <f t="shared" si="266"/>
        <v>0</v>
      </c>
    </row>
    <row r="5813" spans="13:13" x14ac:dyDescent="0.25">
      <c r="M5813" s="34">
        <f t="shared" si="266"/>
        <v>0</v>
      </c>
    </row>
    <row r="5814" spans="13:13" x14ac:dyDescent="0.25">
      <c r="M5814" s="34">
        <f t="shared" si="266"/>
        <v>0</v>
      </c>
    </row>
    <row r="5815" spans="13:13" x14ac:dyDescent="0.25">
      <c r="M5815" s="34">
        <f t="shared" si="266"/>
        <v>0</v>
      </c>
    </row>
    <row r="5816" spans="13:13" x14ac:dyDescent="0.25">
      <c r="M5816" s="34">
        <f t="shared" si="266"/>
        <v>0</v>
      </c>
    </row>
    <row r="5817" spans="13:13" x14ac:dyDescent="0.25">
      <c r="M5817" s="34">
        <f t="shared" si="266"/>
        <v>0</v>
      </c>
    </row>
    <row r="5818" spans="13:13" x14ac:dyDescent="0.25">
      <c r="M5818" s="34">
        <f t="shared" si="266"/>
        <v>0</v>
      </c>
    </row>
    <row r="5819" spans="13:13" x14ac:dyDescent="0.25">
      <c r="M5819" s="34">
        <f t="shared" si="266"/>
        <v>0</v>
      </c>
    </row>
    <row r="5820" spans="13:13" x14ac:dyDescent="0.25">
      <c r="M5820" s="34">
        <f t="shared" si="266"/>
        <v>0</v>
      </c>
    </row>
    <row r="5821" spans="13:13" x14ac:dyDescent="0.25">
      <c r="M5821" s="34">
        <f t="shared" si="266"/>
        <v>0</v>
      </c>
    </row>
    <row r="5822" spans="13:13" x14ac:dyDescent="0.25">
      <c r="M5822" s="34">
        <f t="shared" si="266"/>
        <v>0</v>
      </c>
    </row>
    <row r="5823" spans="13:13" x14ac:dyDescent="0.25">
      <c r="M5823" s="34">
        <f t="shared" si="266"/>
        <v>0</v>
      </c>
    </row>
    <row r="5824" spans="13:13" x14ac:dyDescent="0.25">
      <c r="M5824" s="34">
        <f t="shared" si="266"/>
        <v>0</v>
      </c>
    </row>
    <row r="5825" spans="13:13" x14ac:dyDescent="0.25">
      <c r="M5825" s="34">
        <f t="shared" si="266"/>
        <v>0</v>
      </c>
    </row>
    <row r="5826" spans="13:13" x14ac:dyDescent="0.25">
      <c r="M5826" s="34">
        <f t="shared" si="266"/>
        <v>0</v>
      </c>
    </row>
    <row r="5827" spans="13:13" x14ac:dyDescent="0.25">
      <c r="M5827" s="34">
        <f t="shared" ref="M5827:M5890" si="267">IF(AND(E5827="Chèque",G5827="RECETTE"),F5827,0)</f>
        <v>0</v>
      </c>
    </row>
    <row r="5828" spans="13:13" x14ac:dyDescent="0.25">
      <c r="M5828" s="34">
        <f t="shared" si="267"/>
        <v>0</v>
      </c>
    </row>
    <row r="5829" spans="13:13" x14ac:dyDescent="0.25">
      <c r="M5829" s="34">
        <f t="shared" si="267"/>
        <v>0</v>
      </c>
    </row>
    <row r="5830" spans="13:13" x14ac:dyDescent="0.25">
      <c r="M5830" s="34">
        <f t="shared" si="267"/>
        <v>0</v>
      </c>
    </row>
    <row r="5831" spans="13:13" x14ac:dyDescent="0.25">
      <c r="M5831" s="34">
        <f t="shared" si="267"/>
        <v>0</v>
      </c>
    </row>
    <row r="5832" spans="13:13" x14ac:dyDescent="0.25">
      <c r="M5832" s="34">
        <f t="shared" si="267"/>
        <v>0</v>
      </c>
    </row>
    <row r="5833" spans="13:13" x14ac:dyDescent="0.25">
      <c r="M5833" s="34">
        <f t="shared" si="267"/>
        <v>0</v>
      </c>
    </row>
    <row r="5834" spans="13:13" x14ac:dyDescent="0.25">
      <c r="M5834" s="34">
        <f t="shared" si="267"/>
        <v>0</v>
      </c>
    </row>
    <row r="5835" spans="13:13" x14ac:dyDescent="0.25">
      <c r="M5835" s="34">
        <f t="shared" si="267"/>
        <v>0</v>
      </c>
    </row>
    <row r="5836" spans="13:13" x14ac:dyDescent="0.25">
      <c r="M5836" s="34">
        <f t="shared" si="267"/>
        <v>0</v>
      </c>
    </row>
    <row r="5837" spans="13:13" x14ac:dyDescent="0.25">
      <c r="M5837" s="34">
        <f t="shared" si="267"/>
        <v>0</v>
      </c>
    </row>
    <row r="5838" spans="13:13" x14ac:dyDescent="0.25">
      <c r="M5838" s="34">
        <f t="shared" si="267"/>
        <v>0</v>
      </c>
    </row>
    <row r="5839" spans="13:13" x14ac:dyDescent="0.25">
      <c r="M5839" s="34">
        <f t="shared" si="267"/>
        <v>0</v>
      </c>
    </row>
    <row r="5840" spans="13:13" x14ac:dyDescent="0.25">
      <c r="M5840" s="34">
        <f t="shared" si="267"/>
        <v>0</v>
      </c>
    </row>
    <row r="5841" spans="13:13" x14ac:dyDescent="0.25">
      <c r="M5841" s="34">
        <f t="shared" si="267"/>
        <v>0</v>
      </c>
    </row>
    <row r="5842" spans="13:13" x14ac:dyDescent="0.25">
      <c r="M5842" s="34">
        <f t="shared" si="267"/>
        <v>0</v>
      </c>
    </row>
    <row r="5843" spans="13:13" x14ac:dyDescent="0.25">
      <c r="M5843" s="34">
        <f t="shared" si="267"/>
        <v>0</v>
      </c>
    </row>
    <row r="5844" spans="13:13" x14ac:dyDescent="0.25">
      <c r="M5844" s="34">
        <f t="shared" si="267"/>
        <v>0</v>
      </c>
    </row>
    <row r="5845" spans="13:13" x14ac:dyDescent="0.25">
      <c r="M5845" s="34">
        <f t="shared" si="267"/>
        <v>0</v>
      </c>
    </row>
    <row r="5846" spans="13:13" x14ac:dyDescent="0.25">
      <c r="M5846" s="34">
        <f t="shared" si="267"/>
        <v>0</v>
      </c>
    </row>
    <row r="5847" spans="13:13" x14ac:dyDescent="0.25">
      <c r="M5847" s="34">
        <f t="shared" si="267"/>
        <v>0</v>
      </c>
    </row>
    <row r="5848" spans="13:13" x14ac:dyDescent="0.25">
      <c r="M5848" s="34">
        <f t="shared" si="267"/>
        <v>0</v>
      </c>
    </row>
    <row r="5849" spans="13:13" x14ac:dyDescent="0.25">
      <c r="M5849" s="34">
        <f t="shared" si="267"/>
        <v>0</v>
      </c>
    </row>
    <row r="5850" spans="13:13" x14ac:dyDescent="0.25">
      <c r="M5850" s="34">
        <f t="shared" si="267"/>
        <v>0</v>
      </c>
    </row>
    <row r="5851" spans="13:13" x14ac:dyDescent="0.25">
      <c r="M5851" s="34">
        <f t="shared" si="267"/>
        <v>0</v>
      </c>
    </row>
    <row r="5852" spans="13:13" x14ac:dyDescent="0.25">
      <c r="M5852" s="34">
        <f t="shared" si="267"/>
        <v>0</v>
      </c>
    </row>
    <row r="5853" spans="13:13" x14ac:dyDescent="0.25">
      <c r="M5853" s="34">
        <f t="shared" si="267"/>
        <v>0</v>
      </c>
    </row>
    <row r="5854" spans="13:13" x14ac:dyDescent="0.25">
      <c r="M5854" s="34">
        <f t="shared" si="267"/>
        <v>0</v>
      </c>
    </row>
    <row r="5855" spans="13:13" x14ac:dyDescent="0.25">
      <c r="M5855" s="34">
        <f t="shared" si="267"/>
        <v>0</v>
      </c>
    </row>
    <row r="5856" spans="13:13" x14ac:dyDescent="0.25">
      <c r="M5856" s="34">
        <f t="shared" si="267"/>
        <v>0</v>
      </c>
    </row>
    <row r="5857" spans="13:13" x14ac:dyDescent="0.25">
      <c r="M5857" s="34">
        <f t="shared" si="267"/>
        <v>0</v>
      </c>
    </row>
    <row r="5858" spans="13:13" x14ac:dyDescent="0.25">
      <c r="M5858" s="34">
        <f t="shared" si="267"/>
        <v>0</v>
      </c>
    </row>
    <row r="5859" spans="13:13" x14ac:dyDescent="0.25">
      <c r="M5859" s="34">
        <f t="shared" si="267"/>
        <v>0</v>
      </c>
    </row>
    <row r="5860" spans="13:13" x14ac:dyDescent="0.25">
      <c r="M5860" s="34">
        <f t="shared" si="267"/>
        <v>0</v>
      </c>
    </row>
    <row r="5861" spans="13:13" x14ac:dyDescent="0.25">
      <c r="M5861" s="34">
        <f t="shared" si="267"/>
        <v>0</v>
      </c>
    </row>
    <row r="5862" spans="13:13" x14ac:dyDescent="0.25">
      <c r="M5862" s="34">
        <f t="shared" si="267"/>
        <v>0</v>
      </c>
    </row>
    <row r="5863" spans="13:13" x14ac:dyDescent="0.25">
      <c r="M5863" s="34">
        <f t="shared" si="267"/>
        <v>0</v>
      </c>
    </row>
    <row r="5864" spans="13:13" x14ac:dyDescent="0.25">
      <c r="M5864" s="34">
        <f t="shared" si="267"/>
        <v>0</v>
      </c>
    </row>
    <row r="5865" spans="13:13" x14ac:dyDescent="0.25">
      <c r="M5865" s="34">
        <f t="shared" si="267"/>
        <v>0</v>
      </c>
    </row>
    <row r="5866" spans="13:13" x14ac:dyDescent="0.25">
      <c r="M5866" s="34">
        <f t="shared" si="267"/>
        <v>0</v>
      </c>
    </row>
    <row r="5867" spans="13:13" x14ac:dyDescent="0.25">
      <c r="M5867" s="34">
        <f t="shared" si="267"/>
        <v>0</v>
      </c>
    </row>
    <row r="5868" spans="13:13" x14ac:dyDescent="0.25">
      <c r="M5868" s="34">
        <f t="shared" si="267"/>
        <v>0</v>
      </c>
    </row>
    <row r="5869" spans="13:13" x14ac:dyDescent="0.25">
      <c r="M5869" s="34">
        <f t="shared" si="267"/>
        <v>0</v>
      </c>
    </row>
    <row r="5870" spans="13:13" x14ac:dyDescent="0.25">
      <c r="M5870" s="34">
        <f t="shared" si="267"/>
        <v>0</v>
      </c>
    </row>
    <row r="5871" spans="13:13" x14ac:dyDescent="0.25">
      <c r="M5871" s="34">
        <f t="shared" si="267"/>
        <v>0</v>
      </c>
    </row>
    <row r="5872" spans="13:13" x14ac:dyDescent="0.25">
      <c r="M5872" s="34">
        <f t="shared" si="267"/>
        <v>0</v>
      </c>
    </row>
    <row r="5873" spans="13:13" x14ac:dyDescent="0.25">
      <c r="M5873" s="34">
        <f t="shared" si="267"/>
        <v>0</v>
      </c>
    </row>
    <row r="5874" spans="13:13" x14ac:dyDescent="0.25">
      <c r="M5874" s="34">
        <f t="shared" si="267"/>
        <v>0</v>
      </c>
    </row>
    <row r="5875" spans="13:13" x14ac:dyDescent="0.25">
      <c r="M5875" s="34">
        <f t="shared" si="267"/>
        <v>0</v>
      </c>
    </row>
    <row r="5876" spans="13:13" x14ac:dyDescent="0.25">
      <c r="M5876" s="34">
        <f t="shared" si="267"/>
        <v>0</v>
      </c>
    </row>
    <row r="5877" spans="13:13" x14ac:dyDescent="0.25">
      <c r="M5877" s="34">
        <f t="shared" si="267"/>
        <v>0</v>
      </c>
    </row>
    <row r="5878" spans="13:13" x14ac:dyDescent="0.25">
      <c r="M5878" s="34">
        <f t="shared" si="267"/>
        <v>0</v>
      </c>
    </row>
    <row r="5879" spans="13:13" x14ac:dyDescent="0.25">
      <c r="M5879" s="34">
        <f t="shared" si="267"/>
        <v>0</v>
      </c>
    </row>
    <row r="5880" spans="13:13" x14ac:dyDescent="0.25">
      <c r="M5880" s="34">
        <f t="shared" si="267"/>
        <v>0</v>
      </c>
    </row>
    <row r="5881" spans="13:13" x14ac:dyDescent="0.25">
      <c r="M5881" s="34">
        <f t="shared" si="267"/>
        <v>0</v>
      </c>
    </row>
    <row r="5882" spans="13:13" x14ac:dyDescent="0.25">
      <c r="M5882" s="34">
        <f t="shared" si="267"/>
        <v>0</v>
      </c>
    </row>
    <row r="5883" spans="13:13" x14ac:dyDescent="0.25">
      <c r="M5883" s="34">
        <f t="shared" si="267"/>
        <v>0</v>
      </c>
    </row>
    <row r="5884" spans="13:13" x14ac:dyDescent="0.25">
      <c r="M5884" s="34">
        <f t="shared" si="267"/>
        <v>0</v>
      </c>
    </row>
    <row r="5885" spans="13:13" x14ac:dyDescent="0.25">
      <c r="M5885" s="34">
        <f t="shared" si="267"/>
        <v>0</v>
      </c>
    </row>
    <row r="5886" spans="13:13" x14ac:dyDescent="0.25">
      <c r="M5886" s="34">
        <f t="shared" si="267"/>
        <v>0</v>
      </c>
    </row>
    <row r="5887" spans="13:13" x14ac:dyDescent="0.25">
      <c r="M5887" s="34">
        <f t="shared" si="267"/>
        <v>0</v>
      </c>
    </row>
    <row r="5888" spans="13:13" x14ac:dyDescent="0.25">
      <c r="M5888" s="34">
        <f t="shared" si="267"/>
        <v>0</v>
      </c>
    </row>
    <row r="5889" spans="13:13" x14ac:dyDescent="0.25">
      <c r="M5889" s="34">
        <f t="shared" si="267"/>
        <v>0</v>
      </c>
    </row>
    <row r="5890" spans="13:13" x14ac:dyDescent="0.25">
      <c r="M5890" s="34">
        <f t="shared" si="267"/>
        <v>0</v>
      </c>
    </row>
    <row r="5891" spans="13:13" x14ac:dyDescent="0.25">
      <c r="M5891" s="34">
        <f t="shared" ref="M5891:M5954" si="268">IF(AND(E5891="Chèque",G5891="RECETTE"),F5891,0)</f>
        <v>0</v>
      </c>
    </row>
    <row r="5892" spans="13:13" x14ac:dyDescent="0.25">
      <c r="M5892" s="34">
        <f t="shared" si="268"/>
        <v>0</v>
      </c>
    </row>
    <row r="5893" spans="13:13" x14ac:dyDescent="0.25">
      <c r="M5893" s="34">
        <f t="shared" si="268"/>
        <v>0</v>
      </c>
    </row>
    <row r="5894" spans="13:13" x14ac:dyDescent="0.25">
      <c r="M5894" s="34">
        <f t="shared" si="268"/>
        <v>0</v>
      </c>
    </row>
    <row r="5895" spans="13:13" x14ac:dyDescent="0.25">
      <c r="M5895" s="34">
        <f t="shared" si="268"/>
        <v>0</v>
      </c>
    </row>
    <row r="5896" spans="13:13" x14ac:dyDescent="0.25">
      <c r="M5896" s="34">
        <f t="shared" si="268"/>
        <v>0</v>
      </c>
    </row>
    <row r="5897" spans="13:13" x14ac:dyDescent="0.25">
      <c r="M5897" s="34">
        <f t="shared" si="268"/>
        <v>0</v>
      </c>
    </row>
    <row r="5898" spans="13:13" x14ac:dyDescent="0.25">
      <c r="M5898" s="34">
        <f t="shared" si="268"/>
        <v>0</v>
      </c>
    </row>
    <row r="5899" spans="13:13" x14ac:dyDescent="0.25">
      <c r="M5899" s="34">
        <f t="shared" si="268"/>
        <v>0</v>
      </c>
    </row>
    <row r="5900" spans="13:13" x14ac:dyDescent="0.25">
      <c r="M5900" s="34">
        <f t="shared" si="268"/>
        <v>0</v>
      </c>
    </row>
    <row r="5901" spans="13:13" x14ac:dyDescent="0.25">
      <c r="M5901" s="34">
        <f t="shared" si="268"/>
        <v>0</v>
      </c>
    </row>
    <row r="5902" spans="13:13" x14ac:dyDescent="0.25">
      <c r="M5902" s="34">
        <f t="shared" si="268"/>
        <v>0</v>
      </c>
    </row>
    <row r="5903" spans="13:13" x14ac:dyDescent="0.25">
      <c r="M5903" s="34">
        <f t="shared" si="268"/>
        <v>0</v>
      </c>
    </row>
    <row r="5904" spans="13:13" x14ac:dyDescent="0.25">
      <c r="M5904" s="34">
        <f t="shared" si="268"/>
        <v>0</v>
      </c>
    </row>
    <row r="5905" spans="13:13" x14ac:dyDescent="0.25">
      <c r="M5905" s="34">
        <f t="shared" si="268"/>
        <v>0</v>
      </c>
    </row>
    <row r="5906" spans="13:13" x14ac:dyDescent="0.25">
      <c r="M5906" s="34">
        <f t="shared" si="268"/>
        <v>0</v>
      </c>
    </row>
    <row r="5907" spans="13:13" x14ac:dyDescent="0.25">
      <c r="M5907" s="34">
        <f t="shared" si="268"/>
        <v>0</v>
      </c>
    </row>
    <row r="5908" spans="13:13" x14ac:dyDescent="0.25">
      <c r="M5908" s="34">
        <f t="shared" si="268"/>
        <v>0</v>
      </c>
    </row>
    <row r="5909" spans="13:13" x14ac:dyDescent="0.25">
      <c r="M5909" s="34">
        <f t="shared" si="268"/>
        <v>0</v>
      </c>
    </row>
    <row r="5910" spans="13:13" x14ac:dyDescent="0.25">
      <c r="M5910" s="34">
        <f t="shared" si="268"/>
        <v>0</v>
      </c>
    </row>
    <row r="5911" spans="13:13" x14ac:dyDescent="0.25">
      <c r="M5911" s="34">
        <f t="shared" si="268"/>
        <v>0</v>
      </c>
    </row>
    <row r="5912" spans="13:13" x14ac:dyDescent="0.25">
      <c r="M5912" s="34">
        <f t="shared" si="268"/>
        <v>0</v>
      </c>
    </row>
    <row r="5913" spans="13:13" x14ac:dyDescent="0.25">
      <c r="M5913" s="34">
        <f t="shared" si="268"/>
        <v>0</v>
      </c>
    </row>
    <row r="5914" spans="13:13" x14ac:dyDescent="0.25">
      <c r="M5914" s="34">
        <f t="shared" si="268"/>
        <v>0</v>
      </c>
    </row>
    <row r="5915" spans="13:13" x14ac:dyDescent="0.25">
      <c r="M5915" s="34">
        <f t="shared" si="268"/>
        <v>0</v>
      </c>
    </row>
    <row r="5916" spans="13:13" x14ac:dyDescent="0.25">
      <c r="M5916" s="34">
        <f t="shared" si="268"/>
        <v>0</v>
      </c>
    </row>
    <row r="5917" spans="13:13" x14ac:dyDescent="0.25">
      <c r="M5917" s="34">
        <f t="shared" si="268"/>
        <v>0</v>
      </c>
    </row>
    <row r="5918" spans="13:13" x14ac:dyDescent="0.25">
      <c r="M5918" s="34">
        <f t="shared" si="268"/>
        <v>0</v>
      </c>
    </row>
    <row r="5919" spans="13:13" x14ac:dyDescent="0.25">
      <c r="M5919" s="34">
        <f t="shared" si="268"/>
        <v>0</v>
      </c>
    </row>
    <row r="5920" spans="13:13" x14ac:dyDescent="0.25">
      <c r="M5920" s="34">
        <f t="shared" si="268"/>
        <v>0</v>
      </c>
    </row>
    <row r="5921" spans="13:13" x14ac:dyDescent="0.25">
      <c r="M5921" s="34">
        <f t="shared" si="268"/>
        <v>0</v>
      </c>
    </row>
    <row r="5922" spans="13:13" x14ac:dyDescent="0.25">
      <c r="M5922" s="34">
        <f t="shared" si="268"/>
        <v>0</v>
      </c>
    </row>
    <row r="5923" spans="13:13" x14ac:dyDescent="0.25">
      <c r="M5923" s="34">
        <f t="shared" si="268"/>
        <v>0</v>
      </c>
    </row>
    <row r="5924" spans="13:13" x14ac:dyDescent="0.25">
      <c r="M5924" s="34">
        <f t="shared" si="268"/>
        <v>0</v>
      </c>
    </row>
    <row r="5925" spans="13:13" x14ac:dyDescent="0.25">
      <c r="M5925" s="34">
        <f t="shared" si="268"/>
        <v>0</v>
      </c>
    </row>
    <row r="5926" spans="13:13" x14ac:dyDescent="0.25">
      <c r="M5926" s="34">
        <f t="shared" si="268"/>
        <v>0</v>
      </c>
    </row>
    <row r="5927" spans="13:13" x14ac:dyDescent="0.25">
      <c r="M5927" s="34">
        <f t="shared" si="268"/>
        <v>0</v>
      </c>
    </row>
    <row r="5928" spans="13:13" x14ac:dyDescent="0.25">
      <c r="M5928" s="34">
        <f t="shared" si="268"/>
        <v>0</v>
      </c>
    </row>
    <row r="5929" spans="13:13" x14ac:dyDescent="0.25">
      <c r="M5929" s="34">
        <f t="shared" si="268"/>
        <v>0</v>
      </c>
    </row>
    <row r="5930" spans="13:13" x14ac:dyDescent="0.25">
      <c r="M5930" s="34">
        <f t="shared" si="268"/>
        <v>0</v>
      </c>
    </row>
    <row r="5931" spans="13:13" x14ac:dyDescent="0.25">
      <c r="M5931" s="34">
        <f t="shared" si="268"/>
        <v>0</v>
      </c>
    </row>
    <row r="5932" spans="13:13" x14ac:dyDescent="0.25">
      <c r="M5932" s="34">
        <f t="shared" si="268"/>
        <v>0</v>
      </c>
    </row>
    <row r="5933" spans="13:13" x14ac:dyDescent="0.25">
      <c r="M5933" s="34">
        <f t="shared" si="268"/>
        <v>0</v>
      </c>
    </row>
    <row r="5934" spans="13:13" x14ac:dyDescent="0.25">
      <c r="M5934" s="34">
        <f t="shared" si="268"/>
        <v>0</v>
      </c>
    </row>
    <row r="5935" spans="13:13" x14ac:dyDescent="0.25">
      <c r="M5935" s="34">
        <f t="shared" si="268"/>
        <v>0</v>
      </c>
    </row>
    <row r="5936" spans="13:13" x14ac:dyDescent="0.25">
      <c r="M5936" s="34">
        <f t="shared" si="268"/>
        <v>0</v>
      </c>
    </row>
    <row r="5937" spans="13:13" x14ac:dyDescent="0.25">
      <c r="M5937" s="34">
        <f t="shared" si="268"/>
        <v>0</v>
      </c>
    </row>
    <row r="5938" spans="13:13" x14ac:dyDescent="0.25">
      <c r="M5938" s="34">
        <f t="shared" si="268"/>
        <v>0</v>
      </c>
    </row>
    <row r="5939" spans="13:13" x14ac:dyDescent="0.25">
      <c r="M5939" s="34">
        <f t="shared" si="268"/>
        <v>0</v>
      </c>
    </row>
    <row r="5940" spans="13:13" x14ac:dyDescent="0.25">
      <c r="M5940" s="34">
        <f t="shared" si="268"/>
        <v>0</v>
      </c>
    </row>
    <row r="5941" spans="13:13" x14ac:dyDescent="0.25">
      <c r="M5941" s="34">
        <f t="shared" si="268"/>
        <v>0</v>
      </c>
    </row>
    <row r="5942" spans="13:13" x14ac:dyDescent="0.25">
      <c r="M5942" s="34">
        <f t="shared" si="268"/>
        <v>0</v>
      </c>
    </row>
    <row r="5943" spans="13:13" x14ac:dyDescent="0.25">
      <c r="M5943" s="34">
        <f t="shared" si="268"/>
        <v>0</v>
      </c>
    </row>
    <row r="5944" spans="13:13" x14ac:dyDescent="0.25">
      <c r="M5944" s="34">
        <f t="shared" si="268"/>
        <v>0</v>
      </c>
    </row>
    <row r="5945" spans="13:13" x14ac:dyDescent="0.25">
      <c r="M5945" s="34">
        <f t="shared" si="268"/>
        <v>0</v>
      </c>
    </row>
    <row r="5946" spans="13:13" x14ac:dyDescent="0.25">
      <c r="M5946" s="34">
        <f t="shared" si="268"/>
        <v>0</v>
      </c>
    </row>
    <row r="5947" spans="13:13" x14ac:dyDescent="0.25">
      <c r="M5947" s="34">
        <f t="shared" si="268"/>
        <v>0</v>
      </c>
    </row>
    <row r="5948" spans="13:13" x14ac:dyDescent="0.25">
      <c r="M5948" s="34">
        <f t="shared" si="268"/>
        <v>0</v>
      </c>
    </row>
    <row r="5949" spans="13:13" x14ac:dyDescent="0.25">
      <c r="M5949" s="34">
        <f t="shared" si="268"/>
        <v>0</v>
      </c>
    </row>
    <row r="5950" spans="13:13" x14ac:dyDescent="0.25">
      <c r="M5950" s="34">
        <f t="shared" si="268"/>
        <v>0</v>
      </c>
    </row>
    <row r="5951" spans="13:13" x14ac:dyDescent="0.25">
      <c r="M5951" s="34">
        <f t="shared" si="268"/>
        <v>0</v>
      </c>
    </row>
    <row r="5952" spans="13:13" x14ac:dyDescent="0.25">
      <c r="M5952" s="34">
        <f t="shared" si="268"/>
        <v>0</v>
      </c>
    </row>
    <row r="5953" spans="13:13" x14ac:dyDescent="0.25">
      <c r="M5953" s="34">
        <f t="shared" si="268"/>
        <v>0</v>
      </c>
    </row>
    <row r="5954" spans="13:13" x14ac:dyDescent="0.25">
      <c r="M5954" s="34">
        <f t="shared" si="268"/>
        <v>0</v>
      </c>
    </row>
    <row r="5955" spans="13:13" x14ac:dyDescent="0.25">
      <c r="M5955" s="34">
        <f t="shared" ref="M5955:M6018" si="269">IF(AND(E5955="Chèque",G5955="RECETTE"),F5955,0)</f>
        <v>0</v>
      </c>
    </row>
    <row r="5956" spans="13:13" x14ac:dyDescent="0.25">
      <c r="M5956" s="34">
        <f t="shared" si="269"/>
        <v>0</v>
      </c>
    </row>
    <row r="5957" spans="13:13" x14ac:dyDescent="0.25">
      <c r="M5957" s="34">
        <f t="shared" si="269"/>
        <v>0</v>
      </c>
    </row>
    <row r="5958" spans="13:13" x14ac:dyDescent="0.25">
      <c r="M5958" s="34">
        <f t="shared" si="269"/>
        <v>0</v>
      </c>
    </row>
    <row r="5959" spans="13:13" x14ac:dyDescent="0.25">
      <c r="M5959" s="34">
        <f t="shared" si="269"/>
        <v>0</v>
      </c>
    </row>
    <row r="5960" spans="13:13" x14ac:dyDescent="0.25">
      <c r="M5960" s="34">
        <f t="shared" si="269"/>
        <v>0</v>
      </c>
    </row>
    <row r="5961" spans="13:13" x14ac:dyDescent="0.25">
      <c r="M5961" s="34">
        <f t="shared" si="269"/>
        <v>0</v>
      </c>
    </row>
    <row r="5962" spans="13:13" x14ac:dyDescent="0.25">
      <c r="M5962" s="34">
        <f t="shared" si="269"/>
        <v>0</v>
      </c>
    </row>
    <row r="5963" spans="13:13" x14ac:dyDescent="0.25">
      <c r="M5963" s="34">
        <f t="shared" si="269"/>
        <v>0</v>
      </c>
    </row>
    <row r="5964" spans="13:13" x14ac:dyDescent="0.25">
      <c r="M5964" s="34">
        <f t="shared" si="269"/>
        <v>0</v>
      </c>
    </row>
    <row r="5965" spans="13:13" x14ac:dyDescent="0.25">
      <c r="M5965" s="34">
        <f t="shared" si="269"/>
        <v>0</v>
      </c>
    </row>
    <row r="5966" spans="13:13" x14ac:dyDescent="0.25">
      <c r="M5966" s="34">
        <f t="shared" si="269"/>
        <v>0</v>
      </c>
    </row>
    <row r="5967" spans="13:13" x14ac:dyDescent="0.25">
      <c r="M5967" s="34">
        <f t="shared" si="269"/>
        <v>0</v>
      </c>
    </row>
    <row r="5968" spans="13:13" x14ac:dyDescent="0.25">
      <c r="M5968" s="34">
        <f t="shared" si="269"/>
        <v>0</v>
      </c>
    </row>
    <row r="5969" spans="13:13" x14ac:dyDescent="0.25">
      <c r="M5969" s="34">
        <f t="shared" si="269"/>
        <v>0</v>
      </c>
    </row>
    <row r="5970" spans="13:13" x14ac:dyDescent="0.25">
      <c r="M5970" s="34">
        <f t="shared" si="269"/>
        <v>0</v>
      </c>
    </row>
    <row r="5971" spans="13:13" x14ac:dyDescent="0.25">
      <c r="M5971" s="34">
        <f t="shared" si="269"/>
        <v>0</v>
      </c>
    </row>
    <row r="5972" spans="13:13" x14ac:dyDescent="0.25">
      <c r="M5972" s="34">
        <f t="shared" si="269"/>
        <v>0</v>
      </c>
    </row>
    <row r="5973" spans="13:13" x14ac:dyDescent="0.25">
      <c r="M5973" s="34">
        <f t="shared" si="269"/>
        <v>0</v>
      </c>
    </row>
    <row r="5974" spans="13:13" x14ac:dyDescent="0.25">
      <c r="M5974" s="34">
        <f t="shared" si="269"/>
        <v>0</v>
      </c>
    </row>
    <row r="5975" spans="13:13" x14ac:dyDescent="0.25">
      <c r="M5975" s="34">
        <f t="shared" si="269"/>
        <v>0</v>
      </c>
    </row>
    <row r="5976" spans="13:13" x14ac:dyDescent="0.25">
      <c r="M5976" s="34">
        <f t="shared" si="269"/>
        <v>0</v>
      </c>
    </row>
    <row r="5977" spans="13:13" x14ac:dyDescent="0.25">
      <c r="M5977" s="34">
        <f t="shared" si="269"/>
        <v>0</v>
      </c>
    </row>
    <row r="5978" spans="13:13" x14ac:dyDescent="0.25">
      <c r="M5978" s="34">
        <f t="shared" si="269"/>
        <v>0</v>
      </c>
    </row>
    <row r="5979" spans="13:13" x14ac:dyDescent="0.25">
      <c r="M5979" s="34">
        <f t="shared" si="269"/>
        <v>0</v>
      </c>
    </row>
    <row r="5980" spans="13:13" x14ac:dyDescent="0.25">
      <c r="M5980" s="34">
        <f t="shared" si="269"/>
        <v>0</v>
      </c>
    </row>
    <row r="5981" spans="13:13" x14ac:dyDescent="0.25">
      <c r="M5981" s="34">
        <f t="shared" si="269"/>
        <v>0</v>
      </c>
    </row>
    <row r="5982" spans="13:13" x14ac:dyDescent="0.25">
      <c r="M5982" s="34">
        <f t="shared" si="269"/>
        <v>0</v>
      </c>
    </row>
    <row r="5983" spans="13:13" x14ac:dyDescent="0.25">
      <c r="M5983" s="34">
        <f t="shared" si="269"/>
        <v>0</v>
      </c>
    </row>
    <row r="5984" spans="13:13" x14ac:dyDescent="0.25">
      <c r="M5984" s="34">
        <f t="shared" si="269"/>
        <v>0</v>
      </c>
    </row>
    <row r="5985" spans="13:13" x14ac:dyDescent="0.25">
      <c r="M5985" s="34">
        <f t="shared" si="269"/>
        <v>0</v>
      </c>
    </row>
    <row r="5986" spans="13:13" x14ac:dyDescent="0.25">
      <c r="M5986" s="34">
        <f t="shared" si="269"/>
        <v>0</v>
      </c>
    </row>
    <row r="5987" spans="13:13" x14ac:dyDescent="0.25">
      <c r="M5987" s="34">
        <f t="shared" si="269"/>
        <v>0</v>
      </c>
    </row>
    <row r="5988" spans="13:13" x14ac:dyDescent="0.25">
      <c r="M5988" s="34">
        <f t="shared" si="269"/>
        <v>0</v>
      </c>
    </row>
    <row r="5989" spans="13:13" x14ac:dyDescent="0.25">
      <c r="M5989" s="34">
        <f t="shared" si="269"/>
        <v>0</v>
      </c>
    </row>
    <row r="5990" spans="13:13" x14ac:dyDescent="0.25">
      <c r="M5990" s="34">
        <f t="shared" si="269"/>
        <v>0</v>
      </c>
    </row>
    <row r="5991" spans="13:13" x14ac:dyDescent="0.25">
      <c r="M5991" s="34">
        <f t="shared" si="269"/>
        <v>0</v>
      </c>
    </row>
    <row r="5992" spans="13:13" x14ac:dyDescent="0.25">
      <c r="M5992" s="34">
        <f t="shared" si="269"/>
        <v>0</v>
      </c>
    </row>
    <row r="5993" spans="13:13" x14ac:dyDescent="0.25">
      <c r="M5993" s="34">
        <f t="shared" si="269"/>
        <v>0</v>
      </c>
    </row>
    <row r="5994" spans="13:13" x14ac:dyDescent="0.25">
      <c r="M5994" s="34">
        <f t="shared" si="269"/>
        <v>0</v>
      </c>
    </row>
    <row r="5995" spans="13:13" x14ac:dyDescent="0.25">
      <c r="M5995" s="34">
        <f t="shared" si="269"/>
        <v>0</v>
      </c>
    </row>
    <row r="5996" spans="13:13" x14ac:dyDescent="0.25">
      <c r="M5996" s="34">
        <f t="shared" si="269"/>
        <v>0</v>
      </c>
    </row>
    <row r="5997" spans="13:13" x14ac:dyDescent="0.25">
      <c r="M5997" s="34">
        <f t="shared" si="269"/>
        <v>0</v>
      </c>
    </row>
    <row r="5998" spans="13:13" x14ac:dyDescent="0.25">
      <c r="M5998" s="34">
        <f t="shared" si="269"/>
        <v>0</v>
      </c>
    </row>
    <row r="5999" spans="13:13" x14ac:dyDescent="0.25">
      <c r="M5999" s="34">
        <f t="shared" si="269"/>
        <v>0</v>
      </c>
    </row>
    <row r="6000" spans="13:13" x14ac:dyDescent="0.25">
      <c r="M6000" s="34">
        <f t="shared" si="269"/>
        <v>0</v>
      </c>
    </row>
    <row r="6001" spans="13:13" x14ac:dyDescent="0.25">
      <c r="M6001" s="34">
        <f t="shared" si="269"/>
        <v>0</v>
      </c>
    </row>
    <row r="6002" spans="13:13" x14ac:dyDescent="0.25">
      <c r="M6002" s="34">
        <f t="shared" si="269"/>
        <v>0</v>
      </c>
    </row>
    <row r="6003" spans="13:13" x14ac:dyDescent="0.25">
      <c r="M6003" s="34">
        <f t="shared" si="269"/>
        <v>0</v>
      </c>
    </row>
    <row r="6004" spans="13:13" x14ac:dyDescent="0.25">
      <c r="M6004" s="34">
        <f t="shared" si="269"/>
        <v>0</v>
      </c>
    </row>
    <row r="6005" spans="13:13" x14ac:dyDescent="0.25">
      <c r="M6005" s="34">
        <f t="shared" si="269"/>
        <v>0</v>
      </c>
    </row>
    <row r="6006" spans="13:13" x14ac:dyDescent="0.25">
      <c r="M6006" s="34">
        <f t="shared" si="269"/>
        <v>0</v>
      </c>
    </row>
    <row r="6007" spans="13:13" x14ac:dyDescent="0.25">
      <c r="M6007" s="34">
        <f t="shared" si="269"/>
        <v>0</v>
      </c>
    </row>
    <row r="6008" spans="13:13" x14ac:dyDescent="0.25">
      <c r="M6008" s="34">
        <f t="shared" si="269"/>
        <v>0</v>
      </c>
    </row>
    <row r="6009" spans="13:13" x14ac:dyDescent="0.25">
      <c r="M6009" s="34">
        <f t="shared" si="269"/>
        <v>0</v>
      </c>
    </row>
    <row r="6010" spans="13:13" x14ac:dyDescent="0.25">
      <c r="M6010" s="34">
        <f t="shared" si="269"/>
        <v>0</v>
      </c>
    </row>
    <row r="6011" spans="13:13" x14ac:dyDescent="0.25">
      <c r="M6011" s="34">
        <f t="shared" si="269"/>
        <v>0</v>
      </c>
    </row>
    <row r="6012" spans="13:13" x14ac:dyDescent="0.25">
      <c r="M6012" s="34">
        <f t="shared" si="269"/>
        <v>0</v>
      </c>
    </row>
    <row r="6013" spans="13:13" x14ac:dyDescent="0.25">
      <c r="M6013" s="34">
        <f t="shared" si="269"/>
        <v>0</v>
      </c>
    </row>
    <row r="6014" spans="13:13" x14ac:dyDescent="0.25">
      <c r="M6014" s="34">
        <f t="shared" si="269"/>
        <v>0</v>
      </c>
    </row>
    <row r="6015" spans="13:13" x14ac:dyDescent="0.25">
      <c r="M6015" s="34">
        <f t="shared" si="269"/>
        <v>0</v>
      </c>
    </row>
    <row r="6016" spans="13:13" x14ac:dyDescent="0.25">
      <c r="M6016" s="34">
        <f t="shared" si="269"/>
        <v>0</v>
      </c>
    </row>
    <row r="6017" spans="13:13" x14ac:dyDescent="0.25">
      <c r="M6017" s="34">
        <f t="shared" si="269"/>
        <v>0</v>
      </c>
    </row>
    <row r="6018" spans="13:13" x14ac:dyDescent="0.25">
      <c r="M6018" s="34">
        <f t="shared" si="269"/>
        <v>0</v>
      </c>
    </row>
    <row r="6019" spans="13:13" x14ac:dyDescent="0.25">
      <c r="M6019" s="34">
        <f t="shared" ref="M6019:M6082" si="270">IF(AND(E6019="Chèque",G6019="RECETTE"),F6019,0)</f>
        <v>0</v>
      </c>
    </row>
    <row r="6020" spans="13:13" x14ac:dyDescent="0.25">
      <c r="M6020" s="34">
        <f t="shared" si="270"/>
        <v>0</v>
      </c>
    </row>
    <row r="6021" spans="13:13" x14ac:dyDescent="0.25">
      <c r="M6021" s="34">
        <f t="shared" si="270"/>
        <v>0</v>
      </c>
    </row>
    <row r="6022" spans="13:13" x14ac:dyDescent="0.25">
      <c r="M6022" s="34">
        <f t="shared" si="270"/>
        <v>0</v>
      </c>
    </row>
    <row r="6023" spans="13:13" x14ac:dyDescent="0.25">
      <c r="M6023" s="34">
        <f t="shared" si="270"/>
        <v>0</v>
      </c>
    </row>
    <row r="6024" spans="13:13" x14ac:dyDescent="0.25">
      <c r="M6024" s="34">
        <f t="shared" si="270"/>
        <v>0</v>
      </c>
    </row>
    <row r="6025" spans="13:13" x14ac:dyDescent="0.25">
      <c r="M6025" s="34">
        <f t="shared" si="270"/>
        <v>0</v>
      </c>
    </row>
    <row r="6026" spans="13:13" x14ac:dyDescent="0.25">
      <c r="M6026" s="34">
        <f t="shared" si="270"/>
        <v>0</v>
      </c>
    </row>
    <row r="6027" spans="13:13" x14ac:dyDescent="0.25">
      <c r="M6027" s="34">
        <f t="shared" si="270"/>
        <v>0</v>
      </c>
    </row>
    <row r="6028" spans="13:13" x14ac:dyDescent="0.25">
      <c r="M6028" s="34">
        <f t="shared" si="270"/>
        <v>0</v>
      </c>
    </row>
    <row r="6029" spans="13:13" x14ac:dyDescent="0.25">
      <c r="M6029" s="34">
        <f t="shared" si="270"/>
        <v>0</v>
      </c>
    </row>
    <row r="6030" spans="13:13" x14ac:dyDescent="0.25">
      <c r="M6030" s="34">
        <f t="shared" si="270"/>
        <v>0</v>
      </c>
    </row>
    <row r="6031" spans="13:13" x14ac:dyDescent="0.25">
      <c r="M6031" s="34">
        <f t="shared" si="270"/>
        <v>0</v>
      </c>
    </row>
    <row r="6032" spans="13:13" x14ac:dyDescent="0.25">
      <c r="M6032" s="34">
        <f t="shared" si="270"/>
        <v>0</v>
      </c>
    </row>
    <row r="6033" spans="13:13" x14ac:dyDescent="0.25">
      <c r="M6033" s="34">
        <f t="shared" si="270"/>
        <v>0</v>
      </c>
    </row>
    <row r="6034" spans="13:13" x14ac:dyDescent="0.25">
      <c r="M6034" s="34">
        <f t="shared" si="270"/>
        <v>0</v>
      </c>
    </row>
    <row r="6035" spans="13:13" x14ac:dyDescent="0.25">
      <c r="M6035" s="34">
        <f t="shared" si="270"/>
        <v>0</v>
      </c>
    </row>
    <row r="6036" spans="13:13" x14ac:dyDescent="0.25">
      <c r="M6036" s="34">
        <f t="shared" si="270"/>
        <v>0</v>
      </c>
    </row>
    <row r="6037" spans="13:13" x14ac:dyDescent="0.25">
      <c r="M6037" s="34">
        <f t="shared" si="270"/>
        <v>0</v>
      </c>
    </row>
    <row r="6038" spans="13:13" x14ac:dyDescent="0.25">
      <c r="M6038" s="34">
        <f t="shared" si="270"/>
        <v>0</v>
      </c>
    </row>
    <row r="6039" spans="13:13" x14ac:dyDescent="0.25">
      <c r="M6039" s="34">
        <f t="shared" si="270"/>
        <v>0</v>
      </c>
    </row>
    <row r="6040" spans="13:13" x14ac:dyDescent="0.25">
      <c r="M6040" s="34">
        <f t="shared" si="270"/>
        <v>0</v>
      </c>
    </row>
    <row r="6041" spans="13:13" x14ac:dyDescent="0.25">
      <c r="M6041" s="34">
        <f t="shared" si="270"/>
        <v>0</v>
      </c>
    </row>
    <row r="6042" spans="13:13" x14ac:dyDescent="0.25">
      <c r="M6042" s="34">
        <f t="shared" si="270"/>
        <v>0</v>
      </c>
    </row>
    <row r="6043" spans="13:13" x14ac:dyDescent="0.25">
      <c r="M6043" s="34">
        <f t="shared" si="270"/>
        <v>0</v>
      </c>
    </row>
    <row r="6044" spans="13:13" x14ac:dyDescent="0.25">
      <c r="M6044" s="34">
        <f t="shared" si="270"/>
        <v>0</v>
      </c>
    </row>
    <row r="6045" spans="13:13" x14ac:dyDescent="0.25">
      <c r="M6045" s="34">
        <f t="shared" si="270"/>
        <v>0</v>
      </c>
    </row>
    <row r="6046" spans="13:13" x14ac:dyDescent="0.25">
      <c r="M6046" s="34">
        <f t="shared" si="270"/>
        <v>0</v>
      </c>
    </row>
    <row r="6047" spans="13:13" x14ac:dyDescent="0.25">
      <c r="M6047" s="34">
        <f t="shared" si="270"/>
        <v>0</v>
      </c>
    </row>
    <row r="6048" spans="13:13" x14ac:dyDescent="0.25">
      <c r="M6048" s="34">
        <f t="shared" si="270"/>
        <v>0</v>
      </c>
    </row>
    <row r="6049" spans="13:13" x14ac:dyDescent="0.25">
      <c r="M6049" s="34">
        <f t="shared" si="270"/>
        <v>0</v>
      </c>
    </row>
    <row r="6050" spans="13:13" x14ac:dyDescent="0.25">
      <c r="M6050" s="34">
        <f t="shared" si="270"/>
        <v>0</v>
      </c>
    </row>
    <row r="6051" spans="13:13" x14ac:dyDescent="0.25">
      <c r="M6051" s="34">
        <f t="shared" si="270"/>
        <v>0</v>
      </c>
    </row>
    <row r="6052" spans="13:13" x14ac:dyDescent="0.25">
      <c r="M6052" s="34">
        <f t="shared" si="270"/>
        <v>0</v>
      </c>
    </row>
    <row r="6053" spans="13:13" x14ac:dyDescent="0.25">
      <c r="M6053" s="34">
        <f t="shared" si="270"/>
        <v>0</v>
      </c>
    </row>
    <row r="6054" spans="13:13" x14ac:dyDescent="0.25">
      <c r="M6054" s="34">
        <f t="shared" si="270"/>
        <v>0</v>
      </c>
    </row>
    <row r="6055" spans="13:13" x14ac:dyDescent="0.25">
      <c r="M6055" s="34">
        <f t="shared" si="270"/>
        <v>0</v>
      </c>
    </row>
    <row r="6056" spans="13:13" x14ac:dyDescent="0.25">
      <c r="M6056" s="34">
        <f t="shared" si="270"/>
        <v>0</v>
      </c>
    </row>
    <row r="6057" spans="13:13" x14ac:dyDescent="0.25">
      <c r="M6057" s="34">
        <f t="shared" si="270"/>
        <v>0</v>
      </c>
    </row>
    <row r="6058" spans="13:13" x14ac:dyDescent="0.25">
      <c r="M6058" s="34">
        <f t="shared" si="270"/>
        <v>0</v>
      </c>
    </row>
    <row r="6059" spans="13:13" x14ac:dyDescent="0.25">
      <c r="M6059" s="34">
        <f t="shared" si="270"/>
        <v>0</v>
      </c>
    </row>
    <row r="6060" spans="13:13" x14ac:dyDescent="0.25">
      <c r="M6060" s="34">
        <f t="shared" si="270"/>
        <v>0</v>
      </c>
    </row>
    <row r="6061" spans="13:13" x14ac:dyDescent="0.25">
      <c r="M6061" s="34">
        <f t="shared" si="270"/>
        <v>0</v>
      </c>
    </row>
    <row r="6062" spans="13:13" x14ac:dyDescent="0.25">
      <c r="M6062" s="34">
        <f t="shared" si="270"/>
        <v>0</v>
      </c>
    </row>
    <row r="6063" spans="13:13" x14ac:dyDescent="0.25">
      <c r="M6063" s="34">
        <f t="shared" si="270"/>
        <v>0</v>
      </c>
    </row>
    <row r="6064" spans="13:13" x14ac:dyDescent="0.25">
      <c r="M6064" s="34">
        <f t="shared" si="270"/>
        <v>0</v>
      </c>
    </row>
    <row r="6065" spans="13:13" x14ac:dyDescent="0.25">
      <c r="M6065" s="34">
        <f t="shared" si="270"/>
        <v>0</v>
      </c>
    </row>
    <row r="6066" spans="13:13" x14ac:dyDescent="0.25">
      <c r="M6066" s="34">
        <f t="shared" si="270"/>
        <v>0</v>
      </c>
    </row>
    <row r="6067" spans="13:13" x14ac:dyDescent="0.25">
      <c r="M6067" s="34">
        <f t="shared" si="270"/>
        <v>0</v>
      </c>
    </row>
    <row r="6068" spans="13:13" x14ac:dyDescent="0.25">
      <c r="M6068" s="34">
        <f t="shared" si="270"/>
        <v>0</v>
      </c>
    </row>
    <row r="6069" spans="13:13" x14ac:dyDescent="0.25">
      <c r="M6069" s="34">
        <f t="shared" si="270"/>
        <v>0</v>
      </c>
    </row>
    <row r="6070" spans="13:13" x14ac:dyDescent="0.25">
      <c r="M6070" s="34">
        <f t="shared" si="270"/>
        <v>0</v>
      </c>
    </row>
    <row r="6071" spans="13:13" x14ac:dyDescent="0.25">
      <c r="M6071" s="34">
        <f t="shared" si="270"/>
        <v>0</v>
      </c>
    </row>
    <row r="6072" spans="13:13" x14ac:dyDescent="0.25">
      <c r="M6072" s="34">
        <f t="shared" si="270"/>
        <v>0</v>
      </c>
    </row>
    <row r="6073" spans="13:13" x14ac:dyDescent="0.25">
      <c r="M6073" s="34">
        <f t="shared" si="270"/>
        <v>0</v>
      </c>
    </row>
    <row r="6074" spans="13:13" x14ac:dyDescent="0.25">
      <c r="M6074" s="34">
        <f t="shared" si="270"/>
        <v>0</v>
      </c>
    </row>
    <row r="6075" spans="13:13" x14ac:dyDescent="0.25">
      <c r="M6075" s="34">
        <f t="shared" si="270"/>
        <v>0</v>
      </c>
    </row>
    <row r="6076" spans="13:13" x14ac:dyDescent="0.25">
      <c r="M6076" s="34">
        <f t="shared" si="270"/>
        <v>0</v>
      </c>
    </row>
    <row r="6077" spans="13:13" x14ac:dyDescent="0.25">
      <c r="M6077" s="34">
        <f t="shared" si="270"/>
        <v>0</v>
      </c>
    </row>
    <row r="6078" spans="13:13" x14ac:dyDescent="0.25">
      <c r="M6078" s="34">
        <f t="shared" si="270"/>
        <v>0</v>
      </c>
    </row>
    <row r="6079" spans="13:13" x14ac:dyDescent="0.25">
      <c r="M6079" s="34">
        <f t="shared" si="270"/>
        <v>0</v>
      </c>
    </row>
    <row r="6080" spans="13:13" x14ac:dyDescent="0.25">
      <c r="M6080" s="34">
        <f t="shared" si="270"/>
        <v>0</v>
      </c>
    </row>
    <row r="6081" spans="13:13" x14ac:dyDescent="0.25">
      <c r="M6081" s="34">
        <f t="shared" si="270"/>
        <v>0</v>
      </c>
    </row>
    <row r="6082" spans="13:13" x14ac:dyDescent="0.25">
      <c r="M6082" s="34">
        <f t="shared" si="270"/>
        <v>0</v>
      </c>
    </row>
    <row r="6083" spans="13:13" x14ac:dyDescent="0.25">
      <c r="M6083" s="34">
        <f t="shared" ref="M6083:M6146" si="271">IF(AND(E6083="Chèque",G6083="RECETTE"),F6083,0)</f>
        <v>0</v>
      </c>
    </row>
    <row r="6084" spans="13:13" x14ac:dyDescent="0.25">
      <c r="M6084" s="34">
        <f t="shared" si="271"/>
        <v>0</v>
      </c>
    </row>
    <row r="6085" spans="13:13" x14ac:dyDescent="0.25">
      <c r="M6085" s="34">
        <f t="shared" si="271"/>
        <v>0</v>
      </c>
    </row>
    <row r="6086" spans="13:13" x14ac:dyDescent="0.25">
      <c r="M6086" s="34">
        <f t="shared" si="271"/>
        <v>0</v>
      </c>
    </row>
    <row r="6087" spans="13:13" x14ac:dyDescent="0.25">
      <c r="M6087" s="34">
        <f t="shared" si="271"/>
        <v>0</v>
      </c>
    </row>
    <row r="6088" spans="13:13" x14ac:dyDescent="0.25">
      <c r="M6088" s="34">
        <f t="shared" si="271"/>
        <v>0</v>
      </c>
    </row>
    <row r="6089" spans="13:13" x14ac:dyDescent="0.25">
      <c r="M6089" s="34">
        <f t="shared" si="271"/>
        <v>0</v>
      </c>
    </row>
    <row r="6090" spans="13:13" x14ac:dyDescent="0.25">
      <c r="M6090" s="34">
        <f t="shared" si="271"/>
        <v>0</v>
      </c>
    </row>
    <row r="6091" spans="13:13" x14ac:dyDescent="0.25">
      <c r="M6091" s="34">
        <f t="shared" si="271"/>
        <v>0</v>
      </c>
    </row>
    <row r="6092" spans="13:13" x14ac:dyDescent="0.25">
      <c r="M6092" s="34">
        <f t="shared" si="271"/>
        <v>0</v>
      </c>
    </row>
    <row r="6093" spans="13:13" x14ac:dyDescent="0.25">
      <c r="M6093" s="34">
        <f t="shared" si="271"/>
        <v>0</v>
      </c>
    </row>
    <row r="6094" spans="13:13" x14ac:dyDescent="0.25">
      <c r="M6094" s="34">
        <f t="shared" si="271"/>
        <v>0</v>
      </c>
    </row>
    <row r="6095" spans="13:13" x14ac:dyDescent="0.25">
      <c r="M6095" s="34">
        <f t="shared" si="271"/>
        <v>0</v>
      </c>
    </row>
    <row r="6096" spans="13:13" x14ac:dyDescent="0.25">
      <c r="M6096" s="34">
        <f t="shared" si="271"/>
        <v>0</v>
      </c>
    </row>
    <row r="6097" spans="13:13" x14ac:dyDescent="0.25">
      <c r="M6097" s="34">
        <f t="shared" si="271"/>
        <v>0</v>
      </c>
    </row>
    <row r="6098" spans="13:13" x14ac:dyDescent="0.25">
      <c r="M6098" s="34">
        <f t="shared" si="271"/>
        <v>0</v>
      </c>
    </row>
    <row r="6099" spans="13:13" x14ac:dyDescent="0.25">
      <c r="M6099" s="34">
        <f t="shared" si="271"/>
        <v>0</v>
      </c>
    </row>
    <row r="6100" spans="13:13" x14ac:dyDescent="0.25">
      <c r="M6100" s="34">
        <f t="shared" si="271"/>
        <v>0</v>
      </c>
    </row>
    <row r="6101" spans="13:13" x14ac:dyDescent="0.25">
      <c r="M6101" s="34">
        <f t="shared" si="271"/>
        <v>0</v>
      </c>
    </row>
    <row r="6102" spans="13:13" x14ac:dyDescent="0.25">
      <c r="M6102" s="34">
        <f t="shared" si="271"/>
        <v>0</v>
      </c>
    </row>
    <row r="6103" spans="13:13" x14ac:dyDescent="0.25">
      <c r="M6103" s="34">
        <f t="shared" si="271"/>
        <v>0</v>
      </c>
    </row>
    <row r="6104" spans="13:13" x14ac:dyDescent="0.25">
      <c r="M6104" s="34">
        <f t="shared" si="271"/>
        <v>0</v>
      </c>
    </row>
    <row r="6105" spans="13:13" x14ac:dyDescent="0.25">
      <c r="M6105" s="34">
        <f t="shared" si="271"/>
        <v>0</v>
      </c>
    </row>
    <row r="6106" spans="13:13" x14ac:dyDescent="0.25">
      <c r="M6106" s="34">
        <f t="shared" si="271"/>
        <v>0</v>
      </c>
    </row>
    <row r="6107" spans="13:13" x14ac:dyDescent="0.25">
      <c r="M6107" s="34">
        <f t="shared" si="271"/>
        <v>0</v>
      </c>
    </row>
    <row r="6108" spans="13:13" x14ac:dyDescent="0.25">
      <c r="M6108" s="34">
        <f t="shared" si="271"/>
        <v>0</v>
      </c>
    </row>
    <row r="6109" spans="13:13" x14ac:dyDescent="0.25">
      <c r="M6109" s="34">
        <f t="shared" si="271"/>
        <v>0</v>
      </c>
    </row>
    <row r="6110" spans="13:13" x14ac:dyDescent="0.25">
      <c r="M6110" s="34">
        <f t="shared" si="271"/>
        <v>0</v>
      </c>
    </row>
    <row r="6111" spans="13:13" x14ac:dyDescent="0.25">
      <c r="M6111" s="34">
        <f t="shared" si="271"/>
        <v>0</v>
      </c>
    </row>
    <row r="6112" spans="13:13" x14ac:dyDescent="0.25">
      <c r="M6112" s="34">
        <f t="shared" si="271"/>
        <v>0</v>
      </c>
    </row>
    <row r="6113" spans="13:13" x14ac:dyDescent="0.25">
      <c r="M6113" s="34">
        <f t="shared" si="271"/>
        <v>0</v>
      </c>
    </row>
    <row r="6114" spans="13:13" x14ac:dyDescent="0.25">
      <c r="M6114" s="34">
        <f t="shared" si="271"/>
        <v>0</v>
      </c>
    </row>
    <row r="6115" spans="13:13" x14ac:dyDescent="0.25">
      <c r="M6115" s="34">
        <f t="shared" si="271"/>
        <v>0</v>
      </c>
    </row>
    <row r="6116" spans="13:13" x14ac:dyDescent="0.25">
      <c r="M6116" s="34">
        <f t="shared" si="271"/>
        <v>0</v>
      </c>
    </row>
    <row r="6117" spans="13:13" x14ac:dyDescent="0.25">
      <c r="M6117" s="34">
        <f t="shared" si="271"/>
        <v>0</v>
      </c>
    </row>
    <row r="6118" spans="13:13" x14ac:dyDescent="0.25">
      <c r="M6118" s="34">
        <f t="shared" si="271"/>
        <v>0</v>
      </c>
    </row>
    <row r="6119" spans="13:13" x14ac:dyDescent="0.25">
      <c r="M6119" s="34">
        <f t="shared" si="271"/>
        <v>0</v>
      </c>
    </row>
    <row r="6120" spans="13:13" x14ac:dyDescent="0.25">
      <c r="M6120" s="34">
        <f t="shared" si="271"/>
        <v>0</v>
      </c>
    </row>
    <row r="6121" spans="13:13" x14ac:dyDescent="0.25">
      <c r="M6121" s="34">
        <f t="shared" si="271"/>
        <v>0</v>
      </c>
    </row>
    <row r="6122" spans="13:13" x14ac:dyDescent="0.25">
      <c r="M6122" s="34">
        <f t="shared" si="271"/>
        <v>0</v>
      </c>
    </row>
    <row r="6123" spans="13:13" x14ac:dyDescent="0.25">
      <c r="M6123" s="34">
        <f t="shared" si="271"/>
        <v>0</v>
      </c>
    </row>
    <row r="6124" spans="13:13" x14ac:dyDescent="0.25">
      <c r="M6124" s="34">
        <f t="shared" si="271"/>
        <v>0</v>
      </c>
    </row>
    <row r="6125" spans="13:13" x14ac:dyDescent="0.25">
      <c r="M6125" s="34">
        <f t="shared" si="271"/>
        <v>0</v>
      </c>
    </row>
    <row r="6126" spans="13:13" x14ac:dyDescent="0.25">
      <c r="M6126" s="34">
        <f t="shared" si="271"/>
        <v>0</v>
      </c>
    </row>
    <row r="6127" spans="13:13" x14ac:dyDescent="0.25">
      <c r="M6127" s="34">
        <f t="shared" si="271"/>
        <v>0</v>
      </c>
    </row>
    <row r="6128" spans="13:13" x14ac:dyDescent="0.25">
      <c r="M6128" s="34">
        <f t="shared" si="271"/>
        <v>0</v>
      </c>
    </row>
    <row r="6129" spans="13:13" x14ac:dyDescent="0.25">
      <c r="M6129" s="34">
        <f t="shared" si="271"/>
        <v>0</v>
      </c>
    </row>
    <row r="6130" spans="13:13" x14ac:dyDescent="0.25">
      <c r="M6130" s="34">
        <f t="shared" si="271"/>
        <v>0</v>
      </c>
    </row>
    <row r="6131" spans="13:13" x14ac:dyDescent="0.25">
      <c r="M6131" s="34">
        <f t="shared" si="271"/>
        <v>0</v>
      </c>
    </row>
    <row r="6132" spans="13:13" x14ac:dyDescent="0.25">
      <c r="M6132" s="34">
        <f t="shared" si="271"/>
        <v>0</v>
      </c>
    </row>
    <row r="6133" spans="13:13" x14ac:dyDescent="0.25">
      <c r="M6133" s="34">
        <f t="shared" si="271"/>
        <v>0</v>
      </c>
    </row>
    <row r="6134" spans="13:13" x14ac:dyDescent="0.25">
      <c r="M6134" s="34">
        <f t="shared" si="271"/>
        <v>0</v>
      </c>
    </row>
    <row r="6135" spans="13:13" x14ac:dyDescent="0.25">
      <c r="M6135" s="34">
        <f t="shared" si="271"/>
        <v>0</v>
      </c>
    </row>
    <row r="6136" spans="13:13" x14ac:dyDescent="0.25">
      <c r="M6136" s="34">
        <f t="shared" si="271"/>
        <v>0</v>
      </c>
    </row>
    <row r="6137" spans="13:13" x14ac:dyDescent="0.25">
      <c r="M6137" s="34">
        <f t="shared" si="271"/>
        <v>0</v>
      </c>
    </row>
    <row r="6138" spans="13:13" x14ac:dyDescent="0.25">
      <c r="M6138" s="34">
        <f t="shared" si="271"/>
        <v>0</v>
      </c>
    </row>
    <row r="6139" spans="13:13" x14ac:dyDescent="0.25">
      <c r="M6139" s="34">
        <f t="shared" si="271"/>
        <v>0</v>
      </c>
    </row>
    <row r="6140" spans="13:13" x14ac:dyDescent="0.25">
      <c r="M6140" s="34">
        <f t="shared" si="271"/>
        <v>0</v>
      </c>
    </row>
    <row r="6141" spans="13:13" x14ac:dyDescent="0.25">
      <c r="M6141" s="34">
        <f t="shared" si="271"/>
        <v>0</v>
      </c>
    </row>
    <row r="6142" spans="13:13" x14ac:dyDescent="0.25">
      <c r="M6142" s="34">
        <f t="shared" si="271"/>
        <v>0</v>
      </c>
    </row>
    <row r="6143" spans="13:13" x14ac:dyDescent="0.25">
      <c r="M6143" s="34">
        <f t="shared" si="271"/>
        <v>0</v>
      </c>
    </row>
    <row r="6144" spans="13:13" x14ac:dyDescent="0.25">
      <c r="M6144" s="34">
        <f t="shared" si="271"/>
        <v>0</v>
      </c>
    </row>
    <row r="6145" spans="13:13" x14ac:dyDescent="0.25">
      <c r="M6145" s="34">
        <f t="shared" si="271"/>
        <v>0</v>
      </c>
    </row>
    <row r="6146" spans="13:13" x14ac:dyDescent="0.25">
      <c r="M6146" s="34">
        <f t="shared" si="271"/>
        <v>0</v>
      </c>
    </row>
    <row r="6147" spans="13:13" x14ac:dyDescent="0.25">
      <c r="M6147" s="34">
        <f t="shared" ref="M6147:M6210" si="272">IF(AND(E6147="Chèque",G6147="RECETTE"),F6147,0)</f>
        <v>0</v>
      </c>
    </row>
    <row r="6148" spans="13:13" x14ac:dyDescent="0.25">
      <c r="M6148" s="34">
        <f t="shared" si="272"/>
        <v>0</v>
      </c>
    </row>
    <row r="6149" spans="13:13" x14ac:dyDescent="0.25">
      <c r="M6149" s="34">
        <f t="shared" si="272"/>
        <v>0</v>
      </c>
    </row>
    <row r="6150" spans="13:13" x14ac:dyDescent="0.25">
      <c r="M6150" s="34">
        <f t="shared" si="272"/>
        <v>0</v>
      </c>
    </row>
    <row r="6151" spans="13:13" x14ac:dyDescent="0.25">
      <c r="M6151" s="34">
        <f t="shared" si="272"/>
        <v>0</v>
      </c>
    </row>
    <row r="6152" spans="13:13" x14ac:dyDescent="0.25">
      <c r="M6152" s="34">
        <f t="shared" si="272"/>
        <v>0</v>
      </c>
    </row>
    <row r="6153" spans="13:13" x14ac:dyDescent="0.25">
      <c r="M6153" s="34">
        <f t="shared" si="272"/>
        <v>0</v>
      </c>
    </row>
    <row r="6154" spans="13:13" x14ac:dyDescent="0.25">
      <c r="M6154" s="34">
        <f t="shared" si="272"/>
        <v>0</v>
      </c>
    </row>
    <row r="6155" spans="13:13" x14ac:dyDescent="0.25">
      <c r="M6155" s="34">
        <f t="shared" si="272"/>
        <v>0</v>
      </c>
    </row>
    <row r="6156" spans="13:13" x14ac:dyDescent="0.25">
      <c r="M6156" s="34">
        <f t="shared" si="272"/>
        <v>0</v>
      </c>
    </row>
    <row r="6157" spans="13:13" x14ac:dyDescent="0.25">
      <c r="M6157" s="34">
        <f t="shared" si="272"/>
        <v>0</v>
      </c>
    </row>
    <row r="6158" spans="13:13" x14ac:dyDescent="0.25">
      <c r="M6158" s="34">
        <f t="shared" si="272"/>
        <v>0</v>
      </c>
    </row>
    <row r="6159" spans="13:13" x14ac:dyDescent="0.25">
      <c r="M6159" s="34">
        <f t="shared" si="272"/>
        <v>0</v>
      </c>
    </row>
    <row r="6160" spans="13:13" x14ac:dyDescent="0.25">
      <c r="M6160" s="34">
        <f t="shared" si="272"/>
        <v>0</v>
      </c>
    </row>
    <row r="6161" spans="13:13" x14ac:dyDescent="0.25">
      <c r="M6161" s="34">
        <f t="shared" si="272"/>
        <v>0</v>
      </c>
    </row>
    <row r="6162" spans="13:13" x14ac:dyDescent="0.25">
      <c r="M6162" s="34">
        <f t="shared" si="272"/>
        <v>0</v>
      </c>
    </row>
    <row r="6163" spans="13:13" x14ac:dyDescent="0.25">
      <c r="M6163" s="34">
        <f t="shared" si="272"/>
        <v>0</v>
      </c>
    </row>
    <row r="6164" spans="13:13" x14ac:dyDescent="0.25">
      <c r="M6164" s="34">
        <f t="shared" si="272"/>
        <v>0</v>
      </c>
    </row>
    <row r="6165" spans="13:13" x14ac:dyDescent="0.25">
      <c r="M6165" s="34">
        <f t="shared" si="272"/>
        <v>0</v>
      </c>
    </row>
    <row r="6166" spans="13:13" x14ac:dyDescent="0.25">
      <c r="M6166" s="34">
        <f t="shared" si="272"/>
        <v>0</v>
      </c>
    </row>
    <row r="6167" spans="13:13" x14ac:dyDescent="0.25">
      <c r="M6167" s="34">
        <f t="shared" si="272"/>
        <v>0</v>
      </c>
    </row>
    <row r="6168" spans="13:13" x14ac:dyDescent="0.25">
      <c r="M6168" s="34">
        <f t="shared" si="272"/>
        <v>0</v>
      </c>
    </row>
    <row r="6169" spans="13:13" x14ac:dyDescent="0.25">
      <c r="M6169" s="34">
        <f t="shared" si="272"/>
        <v>0</v>
      </c>
    </row>
    <row r="6170" spans="13:13" x14ac:dyDescent="0.25">
      <c r="M6170" s="34">
        <f t="shared" si="272"/>
        <v>0</v>
      </c>
    </row>
    <row r="6171" spans="13:13" x14ac:dyDescent="0.25">
      <c r="M6171" s="34">
        <f t="shared" si="272"/>
        <v>0</v>
      </c>
    </row>
    <row r="6172" spans="13:13" x14ac:dyDescent="0.25">
      <c r="M6172" s="34">
        <f t="shared" si="272"/>
        <v>0</v>
      </c>
    </row>
    <row r="6173" spans="13:13" x14ac:dyDescent="0.25">
      <c r="M6173" s="34">
        <f t="shared" si="272"/>
        <v>0</v>
      </c>
    </row>
    <row r="6174" spans="13:13" x14ac:dyDescent="0.25">
      <c r="M6174" s="34">
        <f t="shared" si="272"/>
        <v>0</v>
      </c>
    </row>
    <row r="6175" spans="13:13" x14ac:dyDescent="0.25">
      <c r="M6175" s="34">
        <f t="shared" si="272"/>
        <v>0</v>
      </c>
    </row>
    <row r="6176" spans="13:13" x14ac:dyDescent="0.25">
      <c r="M6176" s="34">
        <f t="shared" si="272"/>
        <v>0</v>
      </c>
    </row>
    <row r="6177" spans="13:13" x14ac:dyDescent="0.25">
      <c r="M6177" s="34">
        <f t="shared" si="272"/>
        <v>0</v>
      </c>
    </row>
    <row r="6178" spans="13:13" x14ac:dyDescent="0.25">
      <c r="M6178" s="34">
        <f t="shared" si="272"/>
        <v>0</v>
      </c>
    </row>
    <row r="6179" spans="13:13" x14ac:dyDescent="0.25">
      <c r="M6179" s="34">
        <f t="shared" si="272"/>
        <v>0</v>
      </c>
    </row>
    <row r="6180" spans="13:13" x14ac:dyDescent="0.25">
      <c r="M6180" s="34">
        <f t="shared" si="272"/>
        <v>0</v>
      </c>
    </row>
    <row r="6181" spans="13:13" x14ac:dyDescent="0.25">
      <c r="M6181" s="34">
        <f t="shared" si="272"/>
        <v>0</v>
      </c>
    </row>
    <row r="6182" spans="13:13" x14ac:dyDescent="0.25">
      <c r="M6182" s="34">
        <f t="shared" si="272"/>
        <v>0</v>
      </c>
    </row>
    <row r="6183" spans="13:13" x14ac:dyDescent="0.25">
      <c r="M6183" s="34">
        <f t="shared" si="272"/>
        <v>0</v>
      </c>
    </row>
    <row r="6184" spans="13:13" x14ac:dyDescent="0.25">
      <c r="M6184" s="34">
        <f t="shared" si="272"/>
        <v>0</v>
      </c>
    </row>
    <row r="6185" spans="13:13" x14ac:dyDescent="0.25">
      <c r="M6185" s="34">
        <f t="shared" si="272"/>
        <v>0</v>
      </c>
    </row>
    <row r="6186" spans="13:13" x14ac:dyDescent="0.25">
      <c r="M6186" s="34">
        <f t="shared" si="272"/>
        <v>0</v>
      </c>
    </row>
    <row r="6187" spans="13:13" x14ac:dyDescent="0.25">
      <c r="M6187" s="34">
        <f t="shared" si="272"/>
        <v>0</v>
      </c>
    </row>
    <row r="6188" spans="13:13" x14ac:dyDescent="0.25">
      <c r="M6188" s="34">
        <f t="shared" si="272"/>
        <v>0</v>
      </c>
    </row>
    <row r="6189" spans="13:13" x14ac:dyDescent="0.25">
      <c r="M6189" s="34">
        <f t="shared" si="272"/>
        <v>0</v>
      </c>
    </row>
    <row r="6190" spans="13:13" x14ac:dyDescent="0.25">
      <c r="M6190" s="34">
        <f t="shared" si="272"/>
        <v>0</v>
      </c>
    </row>
    <row r="6191" spans="13:13" x14ac:dyDescent="0.25">
      <c r="M6191" s="34">
        <f t="shared" si="272"/>
        <v>0</v>
      </c>
    </row>
    <row r="6192" spans="13:13" x14ac:dyDescent="0.25">
      <c r="M6192" s="34">
        <f t="shared" si="272"/>
        <v>0</v>
      </c>
    </row>
    <row r="6193" spans="13:13" x14ac:dyDescent="0.25">
      <c r="M6193" s="34">
        <f t="shared" si="272"/>
        <v>0</v>
      </c>
    </row>
    <row r="6194" spans="13:13" x14ac:dyDescent="0.25">
      <c r="M6194" s="34">
        <f t="shared" si="272"/>
        <v>0</v>
      </c>
    </row>
    <row r="6195" spans="13:13" x14ac:dyDescent="0.25">
      <c r="M6195" s="34">
        <f t="shared" si="272"/>
        <v>0</v>
      </c>
    </row>
    <row r="6196" spans="13:13" x14ac:dyDescent="0.25">
      <c r="M6196" s="34">
        <f t="shared" si="272"/>
        <v>0</v>
      </c>
    </row>
    <row r="6197" spans="13:13" x14ac:dyDescent="0.25">
      <c r="M6197" s="34">
        <f t="shared" si="272"/>
        <v>0</v>
      </c>
    </row>
    <row r="6198" spans="13:13" x14ac:dyDescent="0.25">
      <c r="M6198" s="34">
        <f t="shared" si="272"/>
        <v>0</v>
      </c>
    </row>
    <row r="6199" spans="13:13" x14ac:dyDescent="0.25">
      <c r="M6199" s="34">
        <f t="shared" si="272"/>
        <v>0</v>
      </c>
    </row>
    <row r="6200" spans="13:13" x14ac:dyDescent="0.25">
      <c r="M6200" s="34">
        <f t="shared" si="272"/>
        <v>0</v>
      </c>
    </row>
    <row r="6201" spans="13:13" x14ac:dyDescent="0.25">
      <c r="M6201" s="34">
        <f t="shared" si="272"/>
        <v>0</v>
      </c>
    </row>
    <row r="6202" spans="13:13" x14ac:dyDescent="0.25">
      <c r="M6202" s="34">
        <f t="shared" si="272"/>
        <v>0</v>
      </c>
    </row>
    <row r="6203" spans="13:13" x14ac:dyDescent="0.25">
      <c r="M6203" s="34">
        <f t="shared" si="272"/>
        <v>0</v>
      </c>
    </row>
    <row r="6204" spans="13:13" x14ac:dyDescent="0.25">
      <c r="M6204" s="34">
        <f t="shared" si="272"/>
        <v>0</v>
      </c>
    </row>
    <row r="6205" spans="13:13" x14ac:dyDescent="0.25">
      <c r="M6205" s="34">
        <f t="shared" si="272"/>
        <v>0</v>
      </c>
    </row>
    <row r="6206" spans="13:13" x14ac:dyDescent="0.25">
      <c r="M6206" s="34">
        <f t="shared" si="272"/>
        <v>0</v>
      </c>
    </row>
    <row r="6207" spans="13:13" x14ac:dyDescent="0.25">
      <c r="M6207" s="34">
        <f t="shared" si="272"/>
        <v>0</v>
      </c>
    </row>
    <row r="6208" spans="13:13" x14ac:dyDescent="0.25">
      <c r="M6208" s="34">
        <f t="shared" si="272"/>
        <v>0</v>
      </c>
    </row>
    <row r="6209" spans="13:13" x14ac:dyDescent="0.25">
      <c r="M6209" s="34">
        <f t="shared" si="272"/>
        <v>0</v>
      </c>
    </row>
    <row r="6210" spans="13:13" x14ac:dyDescent="0.25">
      <c r="M6210" s="34">
        <f t="shared" si="272"/>
        <v>0</v>
      </c>
    </row>
    <row r="6211" spans="13:13" x14ac:dyDescent="0.25">
      <c r="M6211" s="34">
        <f t="shared" ref="M6211:M6274" si="273">IF(AND(E6211="Chèque",G6211="RECETTE"),F6211,0)</f>
        <v>0</v>
      </c>
    </row>
    <row r="6212" spans="13:13" x14ac:dyDescent="0.25">
      <c r="M6212" s="34">
        <f t="shared" si="273"/>
        <v>0</v>
      </c>
    </row>
    <row r="6213" spans="13:13" x14ac:dyDescent="0.25">
      <c r="M6213" s="34">
        <f t="shared" si="273"/>
        <v>0</v>
      </c>
    </row>
    <row r="6214" spans="13:13" x14ac:dyDescent="0.25">
      <c r="M6214" s="34">
        <f t="shared" si="273"/>
        <v>0</v>
      </c>
    </row>
    <row r="6215" spans="13:13" x14ac:dyDescent="0.25">
      <c r="M6215" s="34">
        <f t="shared" si="273"/>
        <v>0</v>
      </c>
    </row>
    <row r="6216" spans="13:13" x14ac:dyDescent="0.25">
      <c r="M6216" s="34">
        <f t="shared" si="273"/>
        <v>0</v>
      </c>
    </row>
    <row r="6217" spans="13:13" x14ac:dyDescent="0.25">
      <c r="M6217" s="34">
        <f t="shared" si="273"/>
        <v>0</v>
      </c>
    </row>
    <row r="6218" spans="13:13" x14ac:dyDescent="0.25">
      <c r="M6218" s="34">
        <f t="shared" si="273"/>
        <v>0</v>
      </c>
    </row>
    <row r="6219" spans="13:13" x14ac:dyDescent="0.25">
      <c r="M6219" s="34">
        <f t="shared" si="273"/>
        <v>0</v>
      </c>
    </row>
    <row r="6220" spans="13:13" x14ac:dyDescent="0.25">
      <c r="M6220" s="34">
        <f t="shared" si="273"/>
        <v>0</v>
      </c>
    </row>
    <row r="6221" spans="13:13" x14ac:dyDescent="0.25">
      <c r="M6221" s="34">
        <f t="shared" si="273"/>
        <v>0</v>
      </c>
    </row>
    <row r="6222" spans="13:13" x14ac:dyDescent="0.25">
      <c r="M6222" s="34">
        <f t="shared" si="273"/>
        <v>0</v>
      </c>
    </row>
    <row r="6223" spans="13:13" x14ac:dyDescent="0.25">
      <c r="M6223" s="34">
        <f t="shared" si="273"/>
        <v>0</v>
      </c>
    </row>
    <row r="6224" spans="13:13" x14ac:dyDescent="0.25">
      <c r="M6224" s="34">
        <f t="shared" si="273"/>
        <v>0</v>
      </c>
    </row>
    <row r="6225" spans="13:13" x14ac:dyDescent="0.25">
      <c r="M6225" s="34">
        <f t="shared" si="273"/>
        <v>0</v>
      </c>
    </row>
    <row r="6226" spans="13:13" x14ac:dyDescent="0.25">
      <c r="M6226" s="34">
        <f t="shared" si="273"/>
        <v>0</v>
      </c>
    </row>
    <row r="6227" spans="13:13" x14ac:dyDescent="0.25">
      <c r="M6227" s="34">
        <f t="shared" si="273"/>
        <v>0</v>
      </c>
    </row>
    <row r="6228" spans="13:13" x14ac:dyDescent="0.25">
      <c r="M6228" s="34">
        <f t="shared" si="273"/>
        <v>0</v>
      </c>
    </row>
    <row r="6229" spans="13:13" x14ac:dyDescent="0.25">
      <c r="M6229" s="34">
        <f t="shared" si="273"/>
        <v>0</v>
      </c>
    </row>
    <row r="6230" spans="13:13" x14ac:dyDescent="0.25">
      <c r="M6230" s="34">
        <f t="shared" si="273"/>
        <v>0</v>
      </c>
    </row>
    <row r="6231" spans="13:13" x14ac:dyDescent="0.25">
      <c r="M6231" s="34">
        <f t="shared" si="273"/>
        <v>0</v>
      </c>
    </row>
    <row r="6232" spans="13:13" x14ac:dyDescent="0.25">
      <c r="M6232" s="34">
        <f t="shared" si="273"/>
        <v>0</v>
      </c>
    </row>
    <row r="6233" spans="13:13" x14ac:dyDescent="0.25">
      <c r="M6233" s="34">
        <f t="shared" si="273"/>
        <v>0</v>
      </c>
    </row>
    <row r="6234" spans="13:13" x14ac:dyDescent="0.25">
      <c r="M6234" s="34">
        <f t="shared" si="273"/>
        <v>0</v>
      </c>
    </row>
    <row r="6235" spans="13:13" x14ac:dyDescent="0.25">
      <c r="M6235" s="34">
        <f t="shared" si="273"/>
        <v>0</v>
      </c>
    </row>
    <row r="6236" spans="13:13" x14ac:dyDescent="0.25">
      <c r="M6236" s="34">
        <f t="shared" si="273"/>
        <v>0</v>
      </c>
    </row>
    <row r="6237" spans="13:13" x14ac:dyDescent="0.25">
      <c r="M6237" s="34">
        <f t="shared" si="273"/>
        <v>0</v>
      </c>
    </row>
    <row r="6238" spans="13:13" x14ac:dyDescent="0.25">
      <c r="M6238" s="34">
        <f t="shared" si="273"/>
        <v>0</v>
      </c>
    </row>
    <row r="6239" spans="13:13" x14ac:dyDescent="0.25">
      <c r="M6239" s="34">
        <f t="shared" si="273"/>
        <v>0</v>
      </c>
    </row>
    <row r="6240" spans="13:13" x14ac:dyDescent="0.25">
      <c r="M6240" s="34">
        <f t="shared" si="273"/>
        <v>0</v>
      </c>
    </row>
    <row r="6241" spans="13:13" x14ac:dyDescent="0.25">
      <c r="M6241" s="34">
        <f t="shared" si="273"/>
        <v>0</v>
      </c>
    </row>
    <row r="6242" spans="13:13" x14ac:dyDescent="0.25">
      <c r="M6242" s="34">
        <f t="shared" si="273"/>
        <v>0</v>
      </c>
    </row>
    <row r="6243" spans="13:13" x14ac:dyDescent="0.25">
      <c r="M6243" s="34">
        <f t="shared" si="273"/>
        <v>0</v>
      </c>
    </row>
    <row r="6244" spans="13:13" x14ac:dyDescent="0.25">
      <c r="M6244" s="34">
        <f t="shared" si="273"/>
        <v>0</v>
      </c>
    </row>
    <row r="6245" spans="13:13" x14ac:dyDescent="0.25">
      <c r="M6245" s="34">
        <f t="shared" si="273"/>
        <v>0</v>
      </c>
    </row>
    <row r="6246" spans="13:13" x14ac:dyDescent="0.25">
      <c r="M6246" s="34">
        <f t="shared" si="273"/>
        <v>0</v>
      </c>
    </row>
    <row r="6247" spans="13:13" x14ac:dyDescent="0.25">
      <c r="M6247" s="34">
        <f t="shared" si="273"/>
        <v>0</v>
      </c>
    </row>
    <row r="6248" spans="13:13" x14ac:dyDescent="0.25">
      <c r="M6248" s="34">
        <f t="shared" si="273"/>
        <v>0</v>
      </c>
    </row>
    <row r="6249" spans="13:13" x14ac:dyDescent="0.25">
      <c r="M6249" s="34">
        <f t="shared" si="273"/>
        <v>0</v>
      </c>
    </row>
    <row r="6250" spans="13:13" x14ac:dyDescent="0.25">
      <c r="M6250" s="34">
        <f t="shared" si="273"/>
        <v>0</v>
      </c>
    </row>
    <row r="6251" spans="13:13" x14ac:dyDescent="0.25">
      <c r="M6251" s="34">
        <f t="shared" si="273"/>
        <v>0</v>
      </c>
    </row>
    <row r="6252" spans="13:13" x14ac:dyDescent="0.25">
      <c r="M6252" s="34">
        <f t="shared" si="273"/>
        <v>0</v>
      </c>
    </row>
    <row r="6253" spans="13:13" x14ac:dyDescent="0.25">
      <c r="M6253" s="34">
        <f t="shared" si="273"/>
        <v>0</v>
      </c>
    </row>
    <row r="6254" spans="13:13" x14ac:dyDescent="0.25">
      <c r="M6254" s="34">
        <f t="shared" si="273"/>
        <v>0</v>
      </c>
    </row>
    <row r="6255" spans="13:13" x14ac:dyDescent="0.25">
      <c r="M6255" s="34">
        <f t="shared" si="273"/>
        <v>0</v>
      </c>
    </row>
    <row r="6256" spans="13:13" x14ac:dyDescent="0.25">
      <c r="M6256" s="34">
        <f t="shared" si="273"/>
        <v>0</v>
      </c>
    </row>
    <row r="6257" spans="13:13" x14ac:dyDescent="0.25">
      <c r="M6257" s="34">
        <f t="shared" si="273"/>
        <v>0</v>
      </c>
    </row>
    <row r="6258" spans="13:13" x14ac:dyDescent="0.25">
      <c r="M6258" s="34">
        <f t="shared" si="273"/>
        <v>0</v>
      </c>
    </row>
    <row r="6259" spans="13:13" x14ac:dyDescent="0.25">
      <c r="M6259" s="34">
        <f t="shared" si="273"/>
        <v>0</v>
      </c>
    </row>
    <row r="6260" spans="13:13" x14ac:dyDescent="0.25">
      <c r="M6260" s="34">
        <f t="shared" si="273"/>
        <v>0</v>
      </c>
    </row>
    <row r="6261" spans="13:13" x14ac:dyDescent="0.25">
      <c r="M6261" s="34">
        <f t="shared" si="273"/>
        <v>0</v>
      </c>
    </row>
    <row r="6262" spans="13:13" x14ac:dyDescent="0.25">
      <c r="M6262" s="34">
        <f t="shared" si="273"/>
        <v>0</v>
      </c>
    </row>
    <row r="6263" spans="13:13" x14ac:dyDescent="0.25">
      <c r="M6263" s="34">
        <f t="shared" si="273"/>
        <v>0</v>
      </c>
    </row>
    <row r="6264" spans="13:13" x14ac:dyDescent="0.25">
      <c r="M6264" s="34">
        <f t="shared" si="273"/>
        <v>0</v>
      </c>
    </row>
    <row r="6265" spans="13:13" x14ac:dyDescent="0.25">
      <c r="M6265" s="34">
        <f t="shared" si="273"/>
        <v>0</v>
      </c>
    </row>
    <row r="6266" spans="13:13" x14ac:dyDescent="0.25">
      <c r="M6266" s="34">
        <f t="shared" si="273"/>
        <v>0</v>
      </c>
    </row>
    <row r="6267" spans="13:13" x14ac:dyDescent="0.25">
      <c r="M6267" s="34">
        <f t="shared" si="273"/>
        <v>0</v>
      </c>
    </row>
    <row r="6268" spans="13:13" x14ac:dyDescent="0.25">
      <c r="M6268" s="34">
        <f t="shared" si="273"/>
        <v>0</v>
      </c>
    </row>
    <row r="6269" spans="13:13" x14ac:dyDescent="0.25">
      <c r="M6269" s="34">
        <f t="shared" si="273"/>
        <v>0</v>
      </c>
    </row>
    <row r="6270" spans="13:13" x14ac:dyDescent="0.25">
      <c r="M6270" s="34">
        <f t="shared" si="273"/>
        <v>0</v>
      </c>
    </row>
    <row r="6271" spans="13:13" x14ac:dyDescent="0.25">
      <c r="M6271" s="34">
        <f t="shared" si="273"/>
        <v>0</v>
      </c>
    </row>
    <row r="6272" spans="13:13" x14ac:dyDescent="0.25">
      <c r="M6272" s="34">
        <f t="shared" si="273"/>
        <v>0</v>
      </c>
    </row>
    <row r="6273" spans="13:13" x14ac:dyDescent="0.25">
      <c r="M6273" s="34">
        <f t="shared" si="273"/>
        <v>0</v>
      </c>
    </row>
    <row r="6274" spans="13:13" x14ac:dyDescent="0.25">
      <c r="M6274" s="34">
        <f t="shared" si="273"/>
        <v>0</v>
      </c>
    </row>
    <row r="6275" spans="13:13" x14ac:dyDescent="0.25">
      <c r="M6275" s="34">
        <f t="shared" ref="M6275:M6338" si="274">IF(AND(E6275="Chèque",G6275="RECETTE"),F6275,0)</f>
        <v>0</v>
      </c>
    </row>
    <row r="6276" spans="13:13" x14ac:dyDescent="0.25">
      <c r="M6276" s="34">
        <f t="shared" si="274"/>
        <v>0</v>
      </c>
    </row>
    <row r="6277" spans="13:13" x14ac:dyDescent="0.25">
      <c r="M6277" s="34">
        <f t="shared" si="274"/>
        <v>0</v>
      </c>
    </row>
    <row r="6278" spans="13:13" x14ac:dyDescent="0.25">
      <c r="M6278" s="34">
        <f t="shared" si="274"/>
        <v>0</v>
      </c>
    </row>
    <row r="6279" spans="13:13" x14ac:dyDescent="0.25">
      <c r="M6279" s="34">
        <f t="shared" si="274"/>
        <v>0</v>
      </c>
    </row>
    <row r="6280" spans="13:13" x14ac:dyDescent="0.25">
      <c r="M6280" s="34">
        <f t="shared" si="274"/>
        <v>0</v>
      </c>
    </row>
    <row r="6281" spans="13:13" x14ac:dyDescent="0.25">
      <c r="M6281" s="34">
        <f t="shared" si="274"/>
        <v>0</v>
      </c>
    </row>
    <row r="6282" spans="13:13" x14ac:dyDescent="0.25">
      <c r="M6282" s="34">
        <f t="shared" si="274"/>
        <v>0</v>
      </c>
    </row>
    <row r="6283" spans="13:13" x14ac:dyDescent="0.25">
      <c r="M6283" s="34">
        <f t="shared" si="274"/>
        <v>0</v>
      </c>
    </row>
    <row r="6284" spans="13:13" x14ac:dyDescent="0.25">
      <c r="M6284" s="34">
        <f t="shared" si="274"/>
        <v>0</v>
      </c>
    </row>
    <row r="6285" spans="13:13" x14ac:dyDescent="0.25">
      <c r="M6285" s="34">
        <f t="shared" si="274"/>
        <v>0</v>
      </c>
    </row>
    <row r="6286" spans="13:13" x14ac:dyDescent="0.25">
      <c r="M6286" s="34">
        <f t="shared" si="274"/>
        <v>0</v>
      </c>
    </row>
    <row r="6287" spans="13:13" x14ac:dyDescent="0.25">
      <c r="M6287" s="34">
        <f t="shared" si="274"/>
        <v>0</v>
      </c>
    </row>
    <row r="6288" spans="13:13" x14ac:dyDescent="0.25">
      <c r="M6288" s="34">
        <f t="shared" si="274"/>
        <v>0</v>
      </c>
    </row>
    <row r="6289" spans="13:13" x14ac:dyDescent="0.25">
      <c r="M6289" s="34">
        <f t="shared" si="274"/>
        <v>0</v>
      </c>
    </row>
    <row r="6290" spans="13:13" x14ac:dyDescent="0.25">
      <c r="M6290" s="34">
        <f t="shared" si="274"/>
        <v>0</v>
      </c>
    </row>
    <row r="6291" spans="13:13" x14ac:dyDescent="0.25">
      <c r="M6291" s="34">
        <f t="shared" si="274"/>
        <v>0</v>
      </c>
    </row>
    <row r="6292" spans="13:13" x14ac:dyDescent="0.25">
      <c r="M6292" s="34">
        <f t="shared" si="274"/>
        <v>0</v>
      </c>
    </row>
    <row r="6293" spans="13:13" x14ac:dyDescent="0.25">
      <c r="M6293" s="34">
        <f t="shared" si="274"/>
        <v>0</v>
      </c>
    </row>
    <row r="6294" spans="13:13" x14ac:dyDescent="0.25">
      <c r="M6294" s="34">
        <f t="shared" si="274"/>
        <v>0</v>
      </c>
    </row>
    <row r="6295" spans="13:13" x14ac:dyDescent="0.25">
      <c r="M6295" s="34">
        <f t="shared" si="274"/>
        <v>0</v>
      </c>
    </row>
    <row r="6296" spans="13:13" x14ac:dyDescent="0.25">
      <c r="M6296" s="34">
        <f t="shared" si="274"/>
        <v>0</v>
      </c>
    </row>
    <row r="6297" spans="13:13" x14ac:dyDescent="0.25">
      <c r="M6297" s="34">
        <f t="shared" si="274"/>
        <v>0</v>
      </c>
    </row>
    <row r="6298" spans="13:13" x14ac:dyDescent="0.25">
      <c r="M6298" s="34">
        <f t="shared" si="274"/>
        <v>0</v>
      </c>
    </row>
    <row r="6299" spans="13:13" x14ac:dyDescent="0.25">
      <c r="M6299" s="34">
        <f t="shared" si="274"/>
        <v>0</v>
      </c>
    </row>
    <row r="6300" spans="13:13" x14ac:dyDescent="0.25">
      <c r="M6300" s="34">
        <f t="shared" si="274"/>
        <v>0</v>
      </c>
    </row>
    <row r="6301" spans="13:13" x14ac:dyDescent="0.25">
      <c r="M6301" s="34">
        <f t="shared" si="274"/>
        <v>0</v>
      </c>
    </row>
    <row r="6302" spans="13:13" x14ac:dyDescent="0.25">
      <c r="M6302" s="34">
        <f t="shared" si="274"/>
        <v>0</v>
      </c>
    </row>
    <row r="6303" spans="13:13" x14ac:dyDescent="0.25">
      <c r="M6303" s="34">
        <f t="shared" si="274"/>
        <v>0</v>
      </c>
    </row>
    <row r="6304" spans="13:13" x14ac:dyDescent="0.25">
      <c r="M6304" s="34">
        <f t="shared" si="274"/>
        <v>0</v>
      </c>
    </row>
    <row r="6305" spans="13:13" x14ac:dyDescent="0.25">
      <c r="M6305" s="34">
        <f t="shared" si="274"/>
        <v>0</v>
      </c>
    </row>
    <row r="6306" spans="13:13" x14ac:dyDescent="0.25">
      <c r="M6306" s="34">
        <f t="shared" si="274"/>
        <v>0</v>
      </c>
    </row>
    <row r="6307" spans="13:13" x14ac:dyDescent="0.25">
      <c r="M6307" s="34">
        <f t="shared" si="274"/>
        <v>0</v>
      </c>
    </row>
    <row r="6308" spans="13:13" x14ac:dyDescent="0.25">
      <c r="M6308" s="34">
        <f t="shared" si="274"/>
        <v>0</v>
      </c>
    </row>
    <row r="6309" spans="13:13" x14ac:dyDescent="0.25">
      <c r="M6309" s="34">
        <f t="shared" si="274"/>
        <v>0</v>
      </c>
    </row>
    <row r="6310" spans="13:13" x14ac:dyDescent="0.25">
      <c r="M6310" s="34">
        <f t="shared" si="274"/>
        <v>0</v>
      </c>
    </row>
    <row r="6311" spans="13:13" x14ac:dyDescent="0.25">
      <c r="M6311" s="34">
        <f t="shared" si="274"/>
        <v>0</v>
      </c>
    </row>
    <row r="6312" spans="13:13" x14ac:dyDescent="0.25">
      <c r="M6312" s="34">
        <f t="shared" si="274"/>
        <v>0</v>
      </c>
    </row>
    <row r="6313" spans="13:13" x14ac:dyDescent="0.25">
      <c r="M6313" s="34">
        <f t="shared" si="274"/>
        <v>0</v>
      </c>
    </row>
    <row r="6314" spans="13:13" x14ac:dyDescent="0.25">
      <c r="M6314" s="34">
        <f t="shared" si="274"/>
        <v>0</v>
      </c>
    </row>
    <row r="6315" spans="13:13" x14ac:dyDescent="0.25">
      <c r="M6315" s="34">
        <f t="shared" si="274"/>
        <v>0</v>
      </c>
    </row>
    <row r="6316" spans="13:13" x14ac:dyDescent="0.25">
      <c r="M6316" s="34">
        <f t="shared" si="274"/>
        <v>0</v>
      </c>
    </row>
    <row r="6317" spans="13:13" x14ac:dyDescent="0.25">
      <c r="M6317" s="34">
        <f t="shared" si="274"/>
        <v>0</v>
      </c>
    </row>
    <row r="6318" spans="13:13" x14ac:dyDescent="0.25">
      <c r="M6318" s="34">
        <f t="shared" si="274"/>
        <v>0</v>
      </c>
    </row>
    <row r="6319" spans="13:13" x14ac:dyDescent="0.25">
      <c r="M6319" s="34">
        <f t="shared" si="274"/>
        <v>0</v>
      </c>
    </row>
    <row r="6320" spans="13:13" x14ac:dyDescent="0.25">
      <c r="M6320" s="34">
        <f t="shared" si="274"/>
        <v>0</v>
      </c>
    </row>
    <row r="6321" spans="13:13" x14ac:dyDescent="0.25">
      <c r="M6321" s="34">
        <f t="shared" si="274"/>
        <v>0</v>
      </c>
    </row>
    <row r="6322" spans="13:13" x14ac:dyDescent="0.25">
      <c r="M6322" s="34">
        <f t="shared" si="274"/>
        <v>0</v>
      </c>
    </row>
    <row r="6323" spans="13:13" x14ac:dyDescent="0.25">
      <c r="M6323" s="34">
        <f t="shared" si="274"/>
        <v>0</v>
      </c>
    </row>
    <row r="6324" spans="13:13" x14ac:dyDescent="0.25">
      <c r="M6324" s="34">
        <f t="shared" si="274"/>
        <v>0</v>
      </c>
    </row>
    <row r="6325" spans="13:13" x14ac:dyDescent="0.25">
      <c r="M6325" s="34">
        <f t="shared" si="274"/>
        <v>0</v>
      </c>
    </row>
    <row r="6326" spans="13:13" x14ac:dyDescent="0.25">
      <c r="M6326" s="34">
        <f t="shared" si="274"/>
        <v>0</v>
      </c>
    </row>
    <row r="6327" spans="13:13" x14ac:dyDescent="0.25">
      <c r="M6327" s="34">
        <f t="shared" si="274"/>
        <v>0</v>
      </c>
    </row>
    <row r="6328" spans="13:13" x14ac:dyDescent="0.25">
      <c r="M6328" s="34">
        <f t="shared" si="274"/>
        <v>0</v>
      </c>
    </row>
    <row r="6329" spans="13:13" x14ac:dyDescent="0.25">
      <c r="M6329" s="34">
        <f t="shared" si="274"/>
        <v>0</v>
      </c>
    </row>
    <row r="6330" spans="13:13" x14ac:dyDescent="0.25">
      <c r="M6330" s="34">
        <f t="shared" si="274"/>
        <v>0</v>
      </c>
    </row>
    <row r="6331" spans="13:13" x14ac:dyDescent="0.25">
      <c r="M6331" s="34">
        <f t="shared" si="274"/>
        <v>0</v>
      </c>
    </row>
    <row r="6332" spans="13:13" x14ac:dyDescent="0.25">
      <c r="M6332" s="34">
        <f t="shared" si="274"/>
        <v>0</v>
      </c>
    </row>
    <row r="6333" spans="13:13" x14ac:dyDescent="0.25">
      <c r="M6333" s="34">
        <f t="shared" si="274"/>
        <v>0</v>
      </c>
    </row>
    <row r="6334" spans="13:13" x14ac:dyDescent="0.25">
      <c r="M6334" s="34">
        <f t="shared" si="274"/>
        <v>0</v>
      </c>
    </row>
    <row r="6335" spans="13:13" x14ac:dyDescent="0.25">
      <c r="M6335" s="34">
        <f t="shared" si="274"/>
        <v>0</v>
      </c>
    </row>
    <row r="6336" spans="13:13" x14ac:dyDescent="0.25">
      <c r="M6336" s="34">
        <f t="shared" si="274"/>
        <v>0</v>
      </c>
    </row>
    <row r="6337" spans="13:13" x14ac:dyDescent="0.25">
      <c r="M6337" s="34">
        <f t="shared" si="274"/>
        <v>0</v>
      </c>
    </row>
    <row r="6338" spans="13:13" x14ac:dyDescent="0.25">
      <c r="M6338" s="34">
        <f t="shared" si="274"/>
        <v>0</v>
      </c>
    </row>
    <row r="6339" spans="13:13" x14ac:dyDescent="0.25">
      <c r="M6339" s="34">
        <f t="shared" ref="M6339:M6402" si="275">IF(AND(E6339="Chèque",G6339="RECETTE"),F6339,0)</f>
        <v>0</v>
      </c>
    </row>
    <row r="6340" spans="13:13" x14ac:dyDescent="0.25">
      <c r="M6340" s="34">
        <f t="shared" si="275"/>
        <v>0</v>
      </c>
    </row>
    <row r="6341" spans="13:13" x14ac:dyDescent="0.25">
      <c r="M6341" s="34">
        <f t="shared" si="275"/>
        <v>0</v>
      </c>
    </row>
    <row r="6342" spans="13:13" x14ac:dyDescent="0.25">
      <c r="M6342" s="34">
        <f t="shared" si="275"/>
        <v>0</v>
      </c>
    </row>
    <row r="6343" spans="13:13" x14ac:dyDescent="0.25">
      <c r="M6343" s="34">
        <f t="shared" si="275"/>
        <v>0</v>
      </c>
    </row>
    <row r="6344" spans="13:13" x14ac:dyDescent="0.25">
      <c r="M6344" s="34">
        <f t="shared" si="275"/>
        <v>0</v>
      </c>
    </row>
    <row r="6345" spans="13:13" x14ac:dyDescent="0.25">
      <c r="M6345" s="34">
        <f t="shared" si="275"/>
        <v>0</v>
      </c>
    </row>
    <row r="6346" spans="13:13" x14ac:dyDescent="0.25">
      <c r="M6346" s="34">
        <f t="shared" si="275"/>
        <v>0</v>
      </c>
    </row>
    <row r="6347" spans="13:13" x14ac:dyDescent="0.25">
      <c r="M6347" s="34">
        <f t="shared" si="275"/>
        <v>0</v>
      </c>
    </row>
    <row r="6348" spans="13:13" x14ac:dyDescent="0.25">
      <c r="M6348" s="34">
        <f t="shared" si="275"/>
        <v>0</v>
      </c>
    </row>
    <row r="6349" spans="13:13" x14ac:dyDescent="0.25">
      <c r="M6349" s="34">
        <f t="shared" si="275"/>
        <v>0</v>
      </c>
    </row>
    <row r="6350" spans="13:13" x14ac:dyDescent="0.25">
      <c r="M6350" s="34">
        <f t="shared" si="275"/>
        <v>0</v>
      </c>
    </row>
    <row r="6351" spans="13:13" x14ac:dyDescent="0.25">
      <c r="M6351" s="34">
        <f t="shared" si="275"/>
        <v>0</v>
      </c>
    </row>
    <row r="6352" spans="13:13" x14ac:dyDescent="0.25">
      <c r="M6352" s="34">
        <f t="shared" si="275"/>
        <v>0</v>
      </c>
    </row>
    <row r="6353" spans="13:13" x14ac:dyDescent="0.25">
      <c r="M6353" s="34">
        <f t="shared" si="275"/>
        <v>0</v>
      </c>
    </row>
    <row r="6354" spans="13:13" x14ac:dyDescent="0.25">
      <c r="M6354" s="34">
        <f t="shared" si="275"/>
        <v>0</v>
      </c>
    </row>
    <row r="6355" spans="13:13" x14ac:dyDescent="0.25">
      <c r="M6355" s="34">
        <f t="shared" si="275"/>
        <v>0</v>
      </c>
    </row>
    <row r="6356" spans="13:13" x14ac:dyDescent="0.25">
      <c r="M6356" s="34">
        <f t="shared" si="275"/>
        <v>0</v>
      </c>
    </row>
    <row r="6357" spans="13:13" x14ac:dyDescent="0.25">
      <c r="M6357" s="34">
        <f t="shared" si="275"/>
        <v>0</v>
      </c>
    </row>
    <row r="6358" spans="13:13" x14ac:dyDescent="0.25">
      <c r="M6358" s="34">
        <f t="shared" si="275"/>
        <v>0</v>
      </c>
    </row>
    <row r="6359" spans="13:13" x14ac:dyDescent="0.25">
      <c r="M6359" s="34">
        <f t="shared" si="275"/>
        <v>0</v>
      </c>
    </row>
    <row r="6360" spans="13:13" x14ac:dyDescent="0.25">
      <c r="M6360" s="34">
        <f t="shared" si="275"/>
        <v>0</v>
      </c>
    </row>
    <row r="6361" spans="13:13" x14ac:dyDescent="0.25">
      <c r="M6361" s="34">
        <f t="shared" si="275"/>
        <v>0</v>
      </c>
    </row>
    <row r="6362" spans="13:13" x14ac:dyDescent="0.25">
      <c r="M6362" s="34">
        <f t="shared" si="275"/>
        <v>0</v>
      </c>
    </row>
    <row r="6363" spans="13:13" x14ac:dyDescent="0.25">
      <c r="M6363" s="34">
        <f t="shared" si="275"/>
        <v>0</v>
      </c>
    </row>
    <row r="6364" spans="13:13" x14ac:dyDescent="0.25">
      <c r="M6364" s="34">
        <f t="shared" si="275"/>
        <v>0</v>
      </c>
    </row>
    <row r="6365" spans="13:13" x14ac:dyDescent="0.25">
      <c r="M6365" s="34">
        <f t="shared" si="275"/>
        <v>0</v>
      </c>
    </row>
    <row r="6366" spans="13:13" x14ac:dyDescent="0.25">
      <c r="M6366" s="34">
        <f t="shared" si="275"/>
        <v>0</v>
      </c>
    </row>
    <row r="6367" spans="13:13" x14ac:dyDescent="0.25">
      <c r="M6367" s="34">
        <f t="shared" si="275"/>
        <v>0</v>
      </c>
    </row>
    <row r="6368" spans="13:13" x14ac:dyDescent="0.25">
      <c r="M6368" s="34">
        <f t="shared" si="275"/>
        <v>0</v>
      </c>
    </row>
    <row r="6369" spans="13:13" x14ac:dyDescent="0.25">
      <c r="M6369" s="34">
        <f t="shared" si="275"/>
        <v>0</v>
      </c>
    </row>
    <row r="6370" spans="13:13" x14ac:dyDescent="0.25">
      <c r="M6370" s="34">
        <f t="shared" si="275"/>
        <v>0</v>
      </c>
    </row>
    <row r="6371" spans="13:13" x14ac:dyDescent="0.25">
      <c r="M6371" s="34">
        <f t="shared" si="275"/>
        <v>0</v>
      </c>
    </row>
    <row r="6372" spans="13:13" x14ac:dyDescent="0.25">
      <c r="M6372" s="34">
        <f t="shared" si="275"/>
        <v>0</v>
      </c>
    </row>
    <row r="6373" spans="13:13" x14ac:dyDescent="0.25">
      <c r="M6373" s="34">
        <f t="shared" si="275"/>
        <v>0</v>
      </c>
    </row>
    <row r="6374" spans="13:13" x14ac:dyDescent="0.25">
      <c r="M6374" s="34">
        <f t="shared" si="275"/>
        <v>0</v>
      </c>
    </row>
    <row r="6375" spans="13:13" x14ac:dyDescent="0.25">
      <c r="M6375" s="34">
        <f t="shared" si="275"/>
        <v>0</v>
      </c>
    </row>
    <row r="6376" spans="13:13" x14ac:dyDescent="0.25">
      <c r="M6376" s="34">
        <f t="shared" si="275"/>
        <v>0</v>
      </c>
    </row>
    <row r="6377" spans="13:13" x14ac:dyDescent="0.25">
      <c r="M6377" s="34">
        <f t="shared" si="275"/>
        <v>0</v>
      </c>
    </row>
    <row r="6378" spans="13:13" x14ac:dyDescent="0.25">
      <c r="M6378" s="34">
        <f t="shared" si="275"/>
        <v>0</v>
      </c>
    </row>
    <row r="6379" spans="13:13" x14ac:dyDescent="0.25">
      <c r="M6379" s="34">
        <f t="shared" si="275"/>
        <v>0</v>
      </c>
    </row>
    <row r="6380" spans="13:13" x14ac:dyDescent="0.25">
      <c r="M6380" s="34">
        <f t="shared" si="275"/>
        <v>0</v>
      </c>
    </row>
    <row r="6381" spans="13:13" x14ac:dyDescent="0.25">
      <c r="M6381" s="34">
        <f t="shared" si="275"/>
        <v>0</v>
      </c>
    </row>
    <row r="6382" spans="13:13" x14ac:dyDescent="0.25">
      <c r="M6382" s="34">
        <f t="shared" si="275"/>
        <v>0</v>
      </c>
    </row>
    <row r="6383" spans="13:13" x14ac:dyDescent="0.25">
      <c r="M6383" s="34">
        <f t="shared" si="275"/>
        <v>0</v>
      </c>
    </row>
    <row r="6384" spans="13:13" x14ac:dyDescent="0.25">
      <c r="M6384" s="34">
        <f t="shared" si="275"/>
        <v>0</v>
      </c>
    </row>
    <row r="6385" spans="13:13" x14ac:dyDescent="0.25">
      <c r="M6385" s="34">
        <f t="shared" si="275"/>
        <v>0</v>
      </c>
    </row>
    <row r="6386" spans="13:13" x14ac:dyDescent="0.25">
      <c r="M6386" s="34">
        <f t="shared" si="275"/>
        <v>0</v>
      </c>
    </row>
    <row r="6387" spans="13:13" x14ac:dyDescent="0.25">
      <c r="M6387" s="34">
        <f t="shared" si="275"/>
        <v>0</v>
      </c>
    </row>
    <row r="6388" spans="13:13" x14ac:dyDescent="0.25">
      <c r="M6388" s="34">
        <f t="shared" si="275"/>
        <v>0</v>
      </c>
    </row>
    <row r="6389" spans="13:13" x14ac:dyDescent="0.25">
      <c r="M6389" s="34">
        <f t="shared" si="275"/>
        <v>0</v>
      </c>
    </row>
    <row r="6390" spans="13:13" x14ac:dyDescent="0.25">
      <c r="M6390" s="34">
        <f t="shared" si="275"/>
        <v>0</v>
      </c>
    </row>
    <row r="6391" spans="13:13" x14ac:dyDescent="0.25">
      <c r="M6391" s="34">
        <f t="shared" si="275"/>
        <v>0</v>
      </c>
    </row>
    <row r="6392" spans="13:13" x14ac:dyDescent="0.25">
      <c r="M6392" s="34">
        <f t="shared" si="275"/>
        <v>0</v>
      </c>
    </row>
    <row r="6393" spans="13:13" x14ac:dyDescent="0.25">
      <c r="M6393" s="34">
        <f t="shared" si="275"/>
        <v>0</v>
      </c>
    </row>
    <row r="6394" spans="13:13" x14ac:dyDescent="0.25">
      <c r="M6394" s="34">
        <f t="shared" si="275"/>
        <v>0</v>
      </c>
    </row>
    <row r="6395" spans="13:13" x14ac:dyDescent="0.25">
      <c r="M6395" s="34">
        <f t="shared" si="275"/>
        <v>0</v>
      </c>
    </row>
    <row r="6396" spans="13:13" x14ac:dyDescent="0.25">
      <c r="M6396" s="34">
        <f t="shared" si="275"/>
        <v>0</v>
      </c>
    </row>
    <row r="6397" spans="13:13" x14ac:dyDescent="0.25">
      <c r="M6397" s="34">
        <f t="shared" si="275"/>
        <v>0</v>
      </c>
    </row>
    <row r="6398" spans="13:13" x14ac:dyDescent="0.25">
      <c r="M6398" s="34">
        <f t="shared" si="275"/>
        <v>0</v>
      </c>
    </row>
    <row r="6399" spans="13:13" x14ac:dyDescent="0.25">
      <c r="M6399" s="34">
        <f t="shared" si="275"/>
        <v>0</v>
      </c>
    </row>
    <row r="6400" spans="13:13" x14ac:dyDescent="0.25">
      <c r="M6400" s="34">
        <f t="shared" si="275"/>
        <v>0</v>
      </c>
    </row>
    <row r="6401" spans="13:13" x14ac:dyDescent="0.25">
      <c r="M6401" s="34">
        <f t="shared" si="275"/>
        <v>0</v>
      </c>
    </row>
    <row r="6402" spans="13:13" x14ac:dyDescent="0.25">
      <c r="M6402" s="34">
        <f t="shared" si="275"/>
        <v>0</v>
      </c>
    </row>
    <row r="6403" spans="13:13" x14ac:dyDescent="0.25">
      <c r="M6403" s="34">
        <f t="shared" ref="M6403:M6466" si="276">IF(AND(E6403="Chèque",G6403="RECETTE"),F6403,0)</f>
        <v>0</v>
      </c>
    </row>
    <row r="6404" spans="13:13" x14ac:dyDescent="0.25">
      <c r="M6404" s="34">
        <f t="shared" si="276"/>
        <v>0</v>
      </c>
    </row>
    <row r="6405" spans="13:13" x14ac:dyDescent="0.25">
      <c r="M6405" s="34">
        <f t="shared" si="276"/>
        <v>0</v>
      </c>
    </row>
    <row r="6406" spans="13:13" x14ac:dyDescent="0.25">
      <c r="M6406" s="34">
        <f t="shared" si="276"/>
        <v>0</v>
      </c>
    </row>
    <row r="6407" spans="13:13" x14ac:dyDescent="0.25">
      <c r="M6407" s="34">
        <f t="shared" si="276"/>
        <v>0</v>
      </c>
    </row>
    <row r="6408" spans="13:13" x14ac:dyDescent="0.25">
      <c r="M6408" s="34">
        <f t="shared" si="276"/>
        <v>0</v>
      </c>
    </row>
    <row r="6409" spans="13:13" x14ac:dyDescent="0.25">
      <c r="M6409" s="34">
        <f t="shared" si="276"/>
        <v>0</v>
      </c>
    </row>
    <row r="6410" spans="13:13" x14ac:dyDescent="0.25">
      <c r="M6410" s="34">
        <f t="shared" si="276"/>
        <v>0</v>
      </c>
    </row>
    <row r="6411" spans="13:13" x14ac:dyDescent="0.25">
      <c r="M6411" s="34">
        <f t="shared" si="276"/>
        <v>0</v>
      </c>
    </row>
    <row r="6412" spans="13:13" x14ac:dyDescent="0.25">
      <c r="M6412" s="34">
        <f t="shared" si="276"/>
        <v>0</v>
      </c>
    </row>
    <row r="6413" spans="13:13" x14ac:dyDescent="0.25">
      <c r="M6413" s="34">
        <f t="shared" si="276"/>
        <v>0</v>
      </c>
    </row>
    <row r="6414" spans="13:13" x14ac:dyDescent="0.25">
      <c r="M6414" s="34">
        <f t="shared" si="276"/>
        <v>0</v>
      </c>
    </row>
    <row r="6415" spans="13:13" x14ac:dyDescent="0.25">
      <c r="M6415" s="34">
        <f t="shared" si="276"/>
        <v>0</v>
      </c>
    </row>
    <row r="6416" spans="13:13" x14ac:dyDescent="0.25">
      <c r="M6416" s="34">
        <f t="shared" si="276"/>
        <v>0</v>
      </c>
    </row>
    <row r="6417" spans="13:13" x14ac:dyDescent="0.25">
      <c r="M6417" s="34">
        <f t="shared" si="276"/>
        <v>0</v>
      </c>
    </row>
    <row r="6418" spans="13:13" x14ac:dyDescent="0.25">
      <c r="M6418" s="34">
        <f t="shared" si="276"/>
        <v>0</v>
      </c>
    </row>
    <row r="6419" spans="13:13" x14ac:dyDescent="0.25">
      <c r="M6419" s="34">
        <f t="shared" si="276"/>
        <v>0</v>
      </c>
    </row>
    <row r="6420" spans="13:13" x14ac:dyDescent="0.25">
      <c r="M6420" s="34">
        <f t="shared" si="276"/>
        <v>0</v>
      </c>
    </row>
    <row r="6421" spans="13:13" x14ac:dyDescent="0.25">
      <c r="M6421" s="34">
        <f t="shared" si="276"/>
        <v>0</v>
      </c>
    </row>
    <row r="6422" spans="13:13" x14ac:dyDescent="0.25">
      <c r="M6422" s="34">
        <f t="shared" si="276"/>
        <v>0</v>
      </c>
    </row>
    <row r="6423" spans="13:13" x14ac:dyDescent="0.25">
      <c r="M6423" s="34">
        <f t="shared" si="276"/>
        <v>0</v>
      </c>
    </row>
    <row r="6424" spans="13:13" x14ac:dyDescent="0.25">
      <c r="M6424" s="34">
        <f t="shared" si="276"/>
        <v>0</v>
      </c>
    </row>
    <row r="6425" spans="13:13" x14ac:dyDescent="0.25">
      <c r="M6425" s="34">
        <f t="shared" si="276"/>
        <v>0</v>
      </c>
    </row>
    <row r="6426" spans="13:13" x14ac:dyDescent="0.25">
      <c r="M6426" s="34">
        <f t="shared" si="276"/>
        <v>0</v>
      </c>
    </row>
    <row r="6427" spans="13:13" x14ac:dyDescent="0.25">
      <c r="M6427" s="34">
        <f t="shared" si="276"/>
        <v>0</v>
      </c>
    </row>
    <row r="6428" spans="13:13" x14ac:dyDescent="0.25">
      <c r="M6428" s="34">
        <f t="shared" si="276"/>
        <v>0</v>
      </c>
    </row>
    <row r="6429" spans="13:13" x14ac:dyDescent="0.25">
      <c r="M6429" s="34">
        <f t="shared" si="276"/>
        <v>0</v>
      </c>
    </row>
    <row r="6430" spans="13:13" x14ac:dyDescent="0.25">
      <c r="M6430" s="34">
        <f t="shared" si="276"/>
        <v>0</v>
      </c>
    </row>
    <row r="6431" spans="13:13" x14ac:dyDescent="0.25">
      <c r="M6431" s="34">
        <f t="shared" si="276"/>
        <v>0</v>
      </c>
    </row>
    <row r="6432" spans="13:13" x14ac:dyDescent="0.25">
      <c r="M6432" s="34">
        <f t="shared" si="276"/>
        <v>0</v>
      </c>
    </row>
    <row r="6433" spans="13:13" x14ac:dyDescent="0.25">
      <c r="M6433" s="34">
        <f t="shared" si="276"/>
        <v>0</v>
      </c>
    </row>
    <row r="6434" spans="13:13" x14ac:dyDescent="0.25">
      <c r="M6434" s="34">
        <f t="shared" si="276"/>
        <v>0</v>
      </c>
    </row>
    <row r="6435" spans="13:13" x14ac:dyDescent="0.25">
      <c r="M6435" s="34">
        <f t="shared" si="276"/>
        <v>0</v>
      </c>
    </row>
    <row r="6436" spans="13:13" x14ac:dyDescent="0.25">
      <c r="M6436" s="34">
        <f t="shared" si="276"/>
        <v>0</v>
      </c>
    </row>
    <row r="6437" spans="13:13" x14ac:dyDescent="0.25">
      <c r="M6437" s="34">
        <f t="shared" si="276"/>
        <v>0</v>
      </c>
    </row>
    <row r="6438" spans="13:13" x14ac:dyDescent="0.25">
      <c r="M6438" s="34">
        <f t="shared" si="276"/>
        <v>0</v>
      </c>
    </row>
    <row r="6439" spans="13:13" x14ac:dyDescent="0.25">
      <c r="M6439" s="34">
        <f t="shared" si="276"/>
        <v>0</v>
      </c>
    </row>
    <row r="6440" spans="13:13" x14ac:dyDescent="0.25">
      <c r="M6440" s="34">
        <f t="shared" si="276"/>
        <v>0</v>
      </c>
    </row>
    <row r="6441" spans="13:13" x14ac:dyDescent="0.25">
      <c r="M6441" s="34">
        <f t="shared" si="276"/>
        <v>0</v>
      </c>
    </row>
    <row r="6442" spans="13:13" x14ac:dyDescent="0.25">
      <c r="M6442" s="34">
        <f t="shared" si="276"/>
        <v>0</v>
      </c>
    </row>
    <row r="6443" spans="13:13" x14ac:dyDescent="0.25">
      <c r="M6443" s="34">
        <f t="shared" si="276"/>
        <v>0</v>
      </c>
    </row>
    <row r="6444" spans="13:13" x14ac:dyDescent="0.25">
      <c r="M6444" s="34">
        <f t="shared" si="276"/>
        <v>0</v>
      </c>
    </row>
    <row r="6445" spans="13:13" x14ac:dyDescent="0.25">
      <c r="M6445" s="34">
        <f t="shared" si="276"/>
        <v>0</v>
      </c>
    </row>
    <row r="6446" spans="13:13" x14ac:dyDescent="0.25">
      <c r="M6446" s="34">
        <f t="shared" si="276"/>
        <v>0</v>
      </c>
    </row>
    <row r="6447" spans="13:13" x14ac:dyDescent="0.25">
      <c r="M6447" s="34">
        <f t="shared" si="276"/>
        <v>0</v>
      </c>
    </row>
    <row r="6448" spans="13:13" x14ac:dyDescent="0.25">
      <c r="M6448" s="34">
        <f t="shared" si="276"/>
        <v>0</v>
      </c>
    </row>
    <row r="6449" spans="13:13" x14ac:dyDescent="0.25">
      <c r="M6449" s="34">
        <f t="shared" si="276"/>
        <v>0</v>
      </c>
    </row>
    <row r="6450" spans="13:13" x14ac:dyDescent="0.25">
      <c r="M6450" s="34">
        <f t="shared" si="276"/>
        <v>0</v>
      </c>
    </row>
    <row r="6451" spans="13:13" x14ac:dyDescent="0.25">
      <c r="M6451" s="34">
        <f t="shared" si="276"/>
        <v>0</v>
      </c>
    </row>
    <row r="6452" spans="13:13" x14ac:dyDescent="0.25">
      <c r="M6452" s="34">
        <f t="shared" si="276"/>
        <v>0</v>
      </c>
    </row>
    <row r="6453" spans="13:13" x14ac:dyDescent="0.25">
      <c r="M6453" s="34">
        <f t="shared" si="276"/>
        <v>0</v>
      </c>
    </row>
    <row r="6454" spans="13:13" x14ac:dyDescent="0.25">
      <c r="M6454" s="34">
        <f t="shared" si="276"/>
        <v>0</v>
      </c>
    </row>
    <row r="6455" spans="13:13" x14ac:dyDescent="0.25">
      <c r="M6455" s="34">
        <f t="shared" si="276"/>
        <v>0</v>
      </c>
    </row>
    <row r="6456" spans="13:13" x14ac:dyDescent="0.25">
      <c r="M6456" s="34">
        <f t="shared" si="276"/>
        <v>0</v>
      </c>
    </row>
    <row r="6457" spans="13:13" x14ac:dyDescent="0.25">
      <c r="M6457" s="34">
        <f t="shared" si="276"/>
        <v>0</v>
      </c>
    </row>
    <row r="6458" spans="13:13" x14ac:dyDescent="0.25">
      <c r="M6458" s="34">
        <f t="shared" si="276"/>
        <v>0</v>
      </c>
    </row>
    <row r="6459" spans="13:13" x14ac:dyDescent="0.25">
      <c r="M6459" s="34">
        <f t="shared" si="276"/>
        <v>0</v>
      </c>
    </row>
    <row r="6460" spans="13:13" x14ac:dyDescent="0.25">
      <c r="M6460" s="34">
        <f t="shared" si="276"/>
        <v>0</v>
      </c>
    </row>
    <row r="6461" spans="13:13" x14ac:dyDescent="0.25">
      <c r="M6461" s="34">
        <f t="shared" si="276"/>
        <v>0</v>
      </c>
    </row>
    <row r="6462" spans="13:13" x14ac:dyDescent="0.25">
      <c r="M6462" s="34">
        <f t="shared" si="276"/>
        <v>0</v>
      </c>
    </row>
    <row r="6463" spans="13:13" x14ac:dyDescent="0.25">
      <c r="M6463" s="34">
        <f t="shared" si="276"/>
        <v>0</v>
      </c>
    </row>
    <row r="6464" spans="13:13" x14ac:dyDescent="0.25">
      <c r="M6464" s="34">
        <f t="shared" si="276"/>
        <v>0</v>
      </c>
    </row>
    <row r="6465" spans="13:13" x14ac:dyDescent="0.25">
      <c r="M6465" s="34">
        <f t="shared" si="276"/>
        <v>0</v>
      </c>
    </row>
    <row r="6466" spans="13:13" x14ac:dyDescent="0.25">
      <c r="M6466" s="34">
        <f t="shared" si="276"/>
        <v>0</v>
      </c>
    </row>
    <row r="6467" spans="13:13" x14ac:dyDescent="0.25">
      <c r="M6467" s="34">
        <f t="shared" ref="M6467:M6530" si="277">IF(AND(E6467="Chèque",G6467="RECETTE"),F6467,0)</f>
        <v>0</v>
      </c>
    </row>
    <row r="6468" spans="13:13" x14ac:dyDescent="0.25">
      <c r="M6468" s="34">
        <f t="shared" si="277"/>
        <v>0</v>
      </c>
    </row>
    <row r="6469" spans="13:13" x14ac:dyDescent="0.25">
      <c r="M6469" s="34">
        <f t="shared" si="277"/>
        <v>0</v>
      </c>
    </row>
    <row r="6470" spans="13:13" x14ac:dyDescent="0.25">
      <c r="M6470" s="34">
        <f t="shared" si="277"/>
        <v>0</v>
      </c>
    </row>
    <row r="6471" spans="13:13" x14ac:dyDescent="0.25">
      <c r="M6471" s="34">
        <f t="shared" si="277"/>
        <v>0</v>
      </c>
    </row>
    <row r="6472" spans="13:13" x14ac:dyDescent="0.25">
      <c r="M6472" s="34">
        <f t="shared" si="277"/>
        <v>0</v>
      </c>
    </row>
    <row r="6473" spans="13:13" x14ac:dyDescent="0.25">
      <c r="M6473" s="34">
        <f t="shared" si="277"/>
        <v>0</v>
      </c>
    </row>
    <row r="6474" spans="13:13" x14ac:dyDescent="0.25">
      <c r="M6474" s="34">
        <f t="shared" si="277"/>
        <v>0</v>
      </c>
    </row>
    <row r="6475" spans="13:13" x14ac:dyDescent="0.25">
      <c r="M6475" s="34">
        <f t="shared" si="277"/>
        <v>0</v>
      </c>
    </row>
    <row r="6476" spans="13:13" x14ac:dyDescent="0.25">
      <c r="M6476" s="34">
        <f t="shared" si="277"/>
        <v>0</v>
      </c>
    </row>
    <row r="6477" spans="13:13" x14ac:dyDescent="0.25">
      <c r="M6477" s="34">
        <f t="shared" si="277"/>
        <v>0</v>
      </c>
    </row>
    <row r="6478" spans="13:13" x14ac:dyDescent="0.25">
      <c r="M6478" s="34">
        <f t="shared" si="277"/>
        <v>0</v>
      </c>
    </row>
    <row r="6479" spans="13:13" x14ac:dyDescent="0.25">
      <c r="M6479" s="34">
        <f t="shared" si="277"/>
        <v>0</v>
      </c>
    </row>
    <row r="6480" spans="13:13" x14ac:dyDescent="0.25">
      <c r="M6480" s="34">
        <f t="shared" si="277"/>
        <v>0</v>
      </c>
    </row>
    <row r="6481" spans="13:13" x14ac:dyDescent="0.25">
      <c r="M6481" s="34">
        <f t="shared" si="277"/>
        <v>0</v>
      </c>
    </row>
    <row r="6482" spans="13:13" x14ac:dyDescent="0.25">
      <c r="M6482" s="34">
        <f t="shared" si="277"/>
        <v>0</v>
      </c>
    </row>
    <row r="6483" spans="13:13" x14ac:dyDescent="0.25">
      <c r="M6483" s="34">
        <f t="shared" si="277"/>
        <v>0</v>
      </c>
    </row>
    <row r="6484" spans="13:13" x14ac:dyDescent="0.25">
      <c r="M6484" s="34">
        <f t="shared" si="277"/>
        <v>0</v>
      </c>
    </row>
    <row r="6485" spans="13:13" x14ac:dyDescent="0.25">
      <c r="M6485" s="34">
        <f t="shared" si="277"/>
        <v>0</v>
      </c>
    </row>
    <row r="6486" spans="13:13" x14ac:dyDescent="0.25">
      <c r="M6486" s="34">
        <f t="shared" si="277"/>
        <v>0</v>
      </c>
    </row>
    <row r="6487" spans="13:13" x14ac:dyDescent="0.25">
      <c r="M6487" s="34">
        <f t="shared" si="277"/>
        <v>0</v>
      </c>
    </row>
    <row r="6488" spans="13:13" x14ac:dyDescent="0.25">
      <c r="M6488" s="34">
        <f t="shared" si="277"/>
        <v>0</v>
      </c>
    </row>
    <row r="6489" spans="13:13" x14ac:dyDescent="0.25">
      <c r="M6489" s="34">
        <f t="shared" si="277"/>
        <v>0</v>
      </c>
    </row>
    <row r="6490" spans="13:13" x14ac:dyDescent="0.25">
      <c r="M6490" s="34">
        <f t="shared" si="277"/>
        <v>0</v>
      </c>
    </row>
    <row r="6491" spans="13:13" x14ac:dyDescent="0.25">
      <c r="M6491" s="34">
        <f t="shared" si="277"/>
        <v>0</v>
      </c>
    </row>
    <row r="6492" spans="13:13" x14ac:dyDescent="0.25">
      <c r="M6492" s="34">
        <f t="shared" si="277"/>
        <v>0</v>
      </c>
    </row>
    <row r="6493" spans="13:13" x14ac:dyDescent="0.25">
      <c r="M6493" s="34">
        <f t="shared" si="277"/>
        <v>0</v>
      </c>
    </row>
    <row r="6494" spans="13:13" x14ac:dyDescent="0.25">
      <c r="M6494" s="34">
        <f t="shared" si="277"/>
        <v>0</v>
      </c>
    </row>
    <row r="6495" spans="13:13" x14ac:dyDescent="0.25">
      <c r="M6495" s="34">
        <f t="shared" si="277"/>
        <v>0</v>
      </c>
    </row>
    <row r="6496" spans="13:13" x14ac:dyDescent="0.25">
      <c r="M6496" s="34">
        <f t="shared" si="277"/>
        <v>0</v>
      </c>
    </row>
    <row r="6497" spans="13:13" x14ac:dyDescent="0.25">
      <c r="M6497" s="34">
        <f t="shared" si="277"/>
        <v>0</v>
      </c>
    </row>
    <row r="6498" spans="13:13" x14ac:dyDescent="0.25">
      <c r="M6498" s="34">
        <f t="shared" si="277"/>
        <v>0</v>
      </c>
    </row>
    <row r="6499" spans="13:13" x14ac:dyDescent="0.25">
      <c r="M6499" s="34">
        <f t="shared" si="277"/>
        <v>0</v>
      </c>
    </row>
    <row r="6500" spans="13:13" x14ac:dyDescent="0.25">
      <c r="M6500" s="34">
        <f t="shared" si="277"/>
        <v>0</v>
      </c>
    </row>
    <row r="6501" spans="13:13" x14ac:dyDescent="0.25">
      <c r="M6501" s="34">
        <f t="shared" si="277"/>
        <v>0</v>
      </c>
    </row>
    <row r="6502" spans="13:13" x14ac:dyDescent="0.25">
      <c r="M6502" s="34">
        <f t="shared" si="277"/>
        <v>0</v>
      </c>
    </row>
    <row r="6503" spans="13:13" x14ac:dyDescent="0.25">
      <c r="M6503" s="34">
        <f t="shared" si="277"/>
        <v>0</v>
      </c>
    </row>
    <row r="6504" spans="13:13" x14ac:dyDescent="0.25">
      <c r="M6504" s="34">
        <f t="shared" si="277"/>
        <v>0</v>
      </c>
    </row>
    <row r="6505" spans="13:13" x14ac:dyDescent="0.25">
      <c r="M6505" s="34">
        <f t="shared" si="277"/>
        <v>0</v>
      </c>
    </row>
    <row r="6506" spans="13:13" x14ac:dyDescent="0.25">
      <c r="M6506" s="34">
        <f t="shared" si="277"/>
        <v>0</v>
      </c>
    </row>
    <row r="6507" spans="13:13" x14ac:dyDescent="0.25">
      <c r="M6507" s="34">
        <f t="shared" si="277"/>
        <v>0</v>
      </c>
    </row>
    <row r="6508" spans="13:13" x14ac:dyDescent="0.25">
      <c r="M6508" s="34">
        <f t="shared" si="277"/>
        <v>0</v>
      </c>
    </row>
    <row r="6509" spans="13:13" x14ac:dyDescent="0.25">
      <c r="M6509" s="34">
        <f t="shared" si="277"/>
        <v>0</v>
      </c>
    </row>
    <row r="6510" spans="13:13" x14ac:dyDescent="0.25">
      <c r="M6510" s="34">
        <f t="shared" si="277"/>
        <v>0</v>
      </c>
    </row>
    <row r="6511" spans="13:13" x14ac:dyDescent="0.25">
      <c r="M6511" s="34">
        <f t="shared" si="277"/>
        <v>0</v>
      </c>
    </row>
    <row r="6512" spans="13:13" x14ac:dyDescent="0.25">
      <c r="M6512" s="34">
        <f t="shared" si="277"/>
        <v>0</v>
      </c>
    </row>
    <row r="6513" spans="13:13" x14ac:dyDescent="0.25">
      <c r="M6513" s="34">
        <f t="shared" si="277"/>
        <v>0</v>
      </c>
    </row>
    <row r="6514" spans="13:13" x14ac:dyDescent="0.25">
      <c r="M6514" s="34">
        <f t="shared" si="277"/>
        <v>0</v>
      </c>
    </row>
    <row r="6515" spans="13:13" x14ac:dyDescent="0.25">
      <c r="M6515" s="34">
        <f t="shared" si="277"/>
        <v>0</v>
      </c>
    </row>
    <row r="6516" spans="13:13" x14ac:dyDescent="0.25">
      <c r="M6516" s="34">
        <f t="shared" si="277"/>
        <v>0</v>
      </c>
    </row>
    <row r="6517" spans="13:13" x14ac:dyDescent="0.25">
      <c r="M6517" s="34">
        <f t="shared" si="277"/>
        <v>0</v>
      </c>
    </row>
    <row r="6518" spans="13:13" x14ac:dyDescent="0.25">
      <c r="M6518" s="34">
        <f t="shared" si="277"/>
        <v>0</v>
      </c>
    </row>
    <row r="6519" spans="13:13" x14ac:dyDescent="0.25">
      <c r="M6519" s="34">
        <f t="shared" si="277"/>
        <v>0</v>
      </c>
    </row>
    <row r="6520" spans="13:13" x14ac:dyDescent="0.25">
      <c r="M6520" s="34">
        <f t="shared" si="277"/>
        <v>0</v>
      </c>
    </row>
    <row r="6521" spans="13:13" x14ac:dyDescent="0.25">
      <c r="M6521" s="34">
        <f t="shared" si="277"/>
        <v>0</v>
      </c>
    </row>
    <row r="6522" spans="13:13" x14ac:dyDescent="0.25">
      <c r="M6522" s="34">
        <f t="shared" si="277"/>
        <v>0</v>
      </c>
    </row>
    <row r="6523" spans="13:13" x14ac:dyDescent="0.25">
      <c r="M6523" s="34">
        <f t="shared" si="277"/>
        <v>0</v>
      </c>
    </row>
    <row r="6524" spans="13:13" x14ac:dyDescent="0.25">
      <c r="M6524" s="34">
        <f t="shared" si="277"/>
        <v>0</v>
      </c>
    </row>
    <row r="6525" spans="13:13" x14ac:dyDescent="0.25">
      <c r="M6525" s="34">
        <f t="shared" si="277"/>
        <v>0</v>
      </c>
    </row>
    <row r="6526" spans="13:13" x14ac:dyDescent="0.25">
      <c r="M6526" s="34">
        <f t="shared" si="277"/>
        <v>0</v>
      </c>
    </row>
    <row r="6527" spans="13:13" x14ac:dyDescent="0.25">
      <c r="M6527" s="34">
        <f t="shared" si="277"/>
        <v>0</v>
      </c>
    </row>
    <row r="6528" spans="13:13" x14ac:dyDescent="0.25">
      <c r="M6528" s="34">
        <f t="shared" si="277"/>
        <v>0</v>
      </c>
    </row>
    <row r="6529" spans="13:13" x14ac:dyDescent="0.25">
      <c r="M6529" s="34">
        <f t="shared" si="277"/>
        <v>0</v>
      </c>
    </row>
    <row r="6530" spans="13:13" x14ac:dyDescent="0.25">
      <c r="M6530" s="34">
        <f t="shared" si="277"/>
        <v>0</v>
      </c>
    </row>
    <row r="6531" spans="13:13" x14ac:dyDescent="0.25">
      <c r="M6531" s="34">
        <f t="shared" ref="M6531:M6594" si="278">IF(AND(E6531="Chèque",G6531="RECETTE"),F6531,0)</f>
        <v>0</v>
      </c>
    </row>
    <row r="6532" spans="13:13" x14ac:dyDescent="0.25">
      <c r="M6532" s="34">
        <f t="shared" si="278"/>
        <v>0</v>
      </c>
    </row>
    <row r="6533" spans="13:13" x14ac:dyDescent="0.25">
      <c r="M6533" s="34">
        <f t="shared" si="278"/>
        <v>0</v>
      </c>
    </row>
    <row r="6534" spans="13:13" x14ac:dyDescent="0.25">
      <c r="M6534" s="34">
        <f t="shared" si="278"/>
        <v>0</v>
      </c>
    </row>
    <row r="6535" spans="13:13" x14ac:dyDescent="0.25">
      <c r="M6535" s="34">
        <f t="shared" si="278"/>
        <v>0</v>
      </c>
    </row>
    <row r="6536" spans="13:13" x14ac:dyDescent="0.25">
      <c r="M6536" s="34">
        <f t="shared" si="278"/>
        <v>0</v>
      </c>
    </row>
    <row r="6537" spans="13:13" x14ac:dyDescent="0.25">
      <c r="M6537" s="34">
        <f t="shared" si="278"/>
        <v>0</v>
      </c>
    </row>
    <row r="6538" spans="13:13" x14ac:dyDescent="0.25">
      <c r="M6538" s="34">
        <f t="shared" si="278"/>
        <v>0</v>
      </c>
    </row>
    <row r="6539" spans="13:13" x14ac:dyDescent="0.25">
      <c r="M6539" s="34">
        <f t="shared" si="278"/>
        <v>0</v>
      </c>
    </row>
    <row r="6540" spans="13:13" x14ac:dyDescent="0.25">
      <c r="M6540" s="34">
        <f t="shared" si="278"/>
        <v>0</v>
      </c>
    </row>
    <row r="6541" spans="13:13" x14ac:dyDescent="0.25">
      <c r="M6541" s="34">
        <f t="shared" si="278"/>
        <v>0</v>
      </c>
    </row>
    <row r="6542" spans="13:13" x14ac:dyDescent="0.25">
      <c r="M6542" s="34">
        <f t="shared" si="278"/>
        <v>0</v>
      </c>
    </row>
    <row r="6543" spans="13:13" x14ac:dyDescent="0.25">
      <c r="M6543" s="34">
        <f t="shared" si="278"/>
        <v>0</v>
      </c>
    </row>
    <row r="6544" spans="13:13" x14ac:dyDescent="0.25">
      <c r="M6544" s="34">
        <f t="shared" si="278"/>
        <v>0</v>
      </c>
    </row>
    <row r="6545" spans="13:13" x14ac:dyDescent="0.25">
      <c r="M6545" s="34">
        <f t="shared" si="278"/>
        <v>0</v>
      </c>
    </row>
    <row r="6546" spans="13:13" x14ac:dyDescent="0.25">
      <c r="M6546" s="34">
        <f t="shared" si="278"/>
        <v>0</v>
      </c>
    </row>
    <row r="6547" spans="13:13" x14ac:dyDescent="0.25">
      <c r="M6547" s="34">
        <f t="shared" si="278"/>
        <v>0</v>
      </c>
    </row>
    <row r="6548" spans="13:13" x14ac:dyDescent="0.25">
      <c r="M6548" s="34">
        <f t="shared" si="278"/>
        <v>0</v>
      </c>
    </row>
    <row r="6549" spans="13:13" x14ac:dyDescent="0.25">
      <c r="M6549" s="34">
        <f t="shared" si="278"/>
        <v>0</v>
      </c>
    </row>
    <row r="6550" spans="13:13" x14ac:dyDescent="0.25">
      <c r="M6550" s="34">
        <f t="shared" si="278"/>
        <v>0</v>
      </c>
    </row>
    <row r="6551" spans="13:13" x14ac:dyDescent="0.25">
      <c r="M6551" s="34">
        <f t="shared" si="278"/>
        <v>0</v>
      </c>
    </row>
    <row r="6552" spans="13:13" x14ac:dyDescent="0.25">
      <c r="M6552" s="34">
        <f t="shared" si="278"/>
        <v>0</v>
      </c>
    </row>
    <row r="6553" spans="13:13" x14ac:dyDescent="0.25">
      <c r="M6553" s="34">
        <f t="shared" si="278"/>
        <v>0</v>
      </c>
    </row>
    <row r="6554" spans="13:13" x14ac:dyDescent="0.25">
      <c r="M6554" s="34">
        <f t="shared" si="278"/>
        <v>0</v>
      </c>
    </row>
    <row r="6555" spans="13:13" x14ac:dyDescent="0.25">
      <c r="M6555" s="34">
        <f t="shared" si="278"/>
        <v>0</v>
      </c>
    </row>
    <row r="6556" spans="13:13" x14ac:dyDescent="0.25">
      <c r="M6556" s="34">
        <f t="shared" si="278"/>
        <v>0</v>
      </c>
    </row>
    <row r="6557" spans="13:13" x14ac:dyDescent="0.25">
      <c r="M6557" s="34">
        <f t="shared" si="278"/>
        <v>0</v>
      </c>
    </row>
    <row r="6558" spans="13:13" x14ac:dyDescent="0.25">
      <c r="M6558" s="34">
        <f t="shared" si="278"/>
        <v>0</v>
      </c>
    </row>
    <row r="6559" spans="13:13" x14ac:dyDescent="0.25">
      <c r="M6559" s="34">
        <f t="shared" si="278"/>
        <v>0</v>
      </c>
    </row>
    <row r="6560" spans="13:13" x14ac:dyDescent="0.25">
      <c r="M6560" s="34">
        <f t="shared" si="278"/>
        <v>0</v>
      </c>
    </row>
    <row r="6561" spans="13:13" x14ac:dyDescent="0.25">
      <c r="M6561" s="34">
        <f t="shared" si="278"/>
        <v>0</v>
      </c>
    </row>
    <row r="6562" spans="13:13" x14ac:dyDescent="0.25">
      <c r="M6562" s="34">
        <f t="shared" si="278"/>
        <v>0</v>
      </c>
    </row>
    <row r="6563" spans="13:13" x14ac:dyDescent="0.25">
      <c r="M6563" s="34">
        <f t="shared" si="278"/>
        <v>0</v>
      </c>
    </row>
    <row r="6564" spans="13:13" x14ac:dyDescent="0.25">
      <c r="M6564" s="34">
        <f t="shared" si="278"/>
        <v>0</v>
      </c>
    </row>
    <row r="6565" spans="13:13" x14ac:dyDescent="0.25">
      <c r="M6565" s="34">
        <f t="shared" si="278"/>
        <v>0</v>
      </c>
    </row>
    <row r="6566" spans="13:13" x14ac:dyDescent="0.25">
      <c r="M6566" s="34">
        <f t="shared" si="278"/>
        <v>0</v>
      </c>
    </row>
    <row r="6567" spans="13:13" x14ac:dyDescent="0.25">
      <c r="M6567" s="34">
        <f t="shared" si="278"/>
        <v>0</v>
      </c>
    </row>
    <row r="6568" spans="13:13" x14ac:dyDescent="0.25">
      <c r="M6568" s="34">
        <f t="shared" si="278"/>
        <v>0</v>
      </c>
    </row>
    <row r="6569" spans="13:13" x14ac:dyDescent="0.25">
      <c r="M6569" s="34">
        <f t="shared" si="278"/>
        <v>0</v>
      </c>
    </row>
    <row r="6570" spans="13:13" x14ac:dyDescent="0.25">
      <c r="M6570" s="34">
        <f t="shared" si="278"/>
        <v>0</v>
      </c>
    </row>
    <row r="6571" spans="13:13" x14ac:dyDescent="0.25">
      <c r="M6571" s="34">
        <f t="shared" si="278"/>
        <v>0</v>
      </c>
    </row>
    <row r="6572" spans="13:13" x14ac:dyDescent="0.25">
      <c r="M6572" s="34">
        <f t="shared" si="278"/>
        <v>0</v>
      </c>
    </row>
    <row r="6573" spans="13:13" x14ac:dyDescent="0.25">
      <c r="M6573" s="34">
        <f t="shared" si="278"/>
        <v>0</v>
      </c>
    </row>
    <row r="6574" spans="13:13" x14ac:dyDescent="0.25">
      <c r="M6574" s="34">
        <f t="shared" si="278"/>
        <v>0</v>
      </c>
    </row>
    <row r="6575" spans="13:13" x14ac:dyDescent="0.25">
      <c r="M6575" s="34">
        <f t="shared" si="278"/>
        <v>0</v>
      </c>
    </row>
    <row r="6576" spans="13:13" x14ac:dyDescent="0.25">
      <c r="M6576" s="34">
        <f t="shared" si="278"/>
        <v>0</v>
      </c>
    </row>
    <row r="6577" spans="13:13" x14ac:dyDescent="0.25">
      <c r="M6577" s="34">
        <f t="shared" si="278"/>
        <v>0</v>
      </c>
    </row>
    <row r="6578" spans="13:13" x14ac:dyDescent="0.25">
      <c r="M6578" s="34">
        <f t="shared" si="278"/>
        <v>0</v>
      </c>
    </row>
    <row r="6579" spans="13:13" x14ac:dyDescent="0.25">
      <c r="M6579" s="34">
        <f t="shared" si="278"/>
        <v>0</v>
      </c>
    </row>
    <row r="6580" spans="13:13" x14ac:dyDescent="0.25">
      <c r="M6580" s="34">
        <f t="shared" si="278"/>
        <v>0</v>
      </c>
    </row>
    <row r="6581" spans="13:13" x14ac:dyDescent="0.25">
      <c r="M6581" s="34">
        <f t="shared" si="278"/>
        <v>0</v>
      </c>
    </row>
    <row r="6582" spans="13:13" x14ac:dyDescent="0.25">
      <c r="M6582" s="34">
        <f t="shared" si="278"/>
        <v>0</v>
      </c>
    </row>
    <row r="6583" spans="13:13" x14ac:dyDescent="0.25">
      <c r="M6583" s="34">
        <f t="shared" si="278"/>
        <v>0</v>
      </c>
    </row>
    <row r="6584" spans="13:13" x14ac:dyDescent="0.25">
      <c r="M6584" s="34">
        <f t="shared" si="278"/>
        <v>0</v>
      </c>
    </row>
    <row r="6585" spans="13:13" x14ac:dyDescent="0.25">
      <c r="M6585" s="34">
        <f t="shared" si="278"/>
        <v>0</v>
      </c>
    </row>
    <row r="6586" spans="13:13" x14ac:dyDescent="0.25">
      <c r="M6586" s="34">
        <f t="shared" si="278"/>
        <v>0</v>
      </c>
    </row>
    <row r="6587" spans="13:13" x14ac:dyDescent="0.25">
      <c r="M6587" s="34">
        <f t="shared" si="278"/>
        <v>0</v>
      </c>
    </row>
    <row r="6588" spans="13:13" x14ac:dyDescent="0.25">
      <c r="M6588" s="34">
        <f t="shared" si="278"/>
        <v>0</v>
      </c>
    </row>
    <row r="6589" spans="13:13" x14ac:dyDescent="0.25">
      <c r="M6589" s="34">
        <f t="shared" si="278"/>
        <v>0</v>
      </c>
    </row>
    <row r="6590" spans="13:13" x14ac:dyDescent="0.25">
      <c r="M6590" s="34">
        <f t="shared" si="278"/>
        <v>0</v>
      </c>
    </row>
    <row r="6591" spans="13:13" x14ac:dyDescent="0.25">
      <c r="M6591" s="34">
        <f t="shared" si="278"/>
        <v>0</v>
      </c>
    </row>
    <row r="6592" spans="13:13" x14ac:dyDescent="0.25">
      <c r="M6592" s="34">
        <f t="shared" si="278"/>
        <v>0</v>
      </c>
    </row>
    <row r="6593" spans="13:13" x14ac:dyDescent="0.25">
      <c r="M6593" s="34">
        <f t="shared" si="278"/>
        <v>0</v>
      </c>
    </row>
    <row r="6594" spans="13:13" x14ac:dyDescent="0.25">
      <c r="M6594" s="34">
        <f t="shared" si="278"/>
        <v>0</v>
      </c>
    </row>
    <row r="6595" spans="13:13" x14ac:dyDescent="0.25">
      <c r="M6595" s="34">
        <f t="shared" ref="M6595:M6658" si="279">IF(AND(E6595="Chèque",G6595="RECETTE"),F6595,0)</f>
        <v>0</v>
      </c>
    </row>
    <row r="6596" spans="13:13" x14ac:dyDescent="0.25">
      <c r="M6596" s="34">
        <f t="shared" si="279"/>
        <v>0</v>
      </c>
    </row>
    <row r="6597" spans="13:13" x14ac:dyDescent="0.25">
      <c r="M6597" s="34">
        <f t="shared" si="279"/>
        <v>0</v>
      </c>
    </row>
    <row r="6598" spans="13:13" x14ac:dyDescent="0.25">
      <c r="M6598" s="34">
        <f t="shared" si="279"/>
        <v>0</v>
      </c>
    </row>
    <row r="6599" spans="13:13" x14ac:dyDescent="0.25">
      <c r="M6599" s="34">
        <f t="shared" si="279"/>
        <v>0</v>
      </c>
    </row>
    <row r="6600" spans="13:13" x14ac:dyDescent="0.25">
      <c r="M6600" s="34">
        <f t="shared" si="279"/>
        <v>0</v>
      </c>
    </row>
    <row r="6601" spans="13:13" x14ac:dyDescent="0.25">
      <c r="M6601" s="34">
        <f t="shared" si="279"/>
        <v>0</v>
      </c>
    </row>
    <row r="6602" spans="13:13" x14ac:dyDescent="0.25">
      <c r="M6602" s="34">
        <f t="shared" si="279"/>
        <v>0</v>
      </c>
    </row>
    <row r="6603" spans="13:13" x14ac:dyDescent="0.25">
      <c r="M6603" s="34">
        <f t="shared" si="279"/>
        <v>0</v>
      </c>
    </row>
    <row r="6604" spans="13:13" x14ac:dyDescent="0.25">
      <c r="M6604" s="34">
        <f t="shared" si="279"/>
        <v>0</v>
      </c>
    </row>
    <row r="6605" spans="13:13" x14ac:dyDescent="0.25">
      <c r="M6605" s="34">
        <f t="shared" si="279"/>
        <v>0</v>
      </c>
    </row>
    <row r="6606" spans="13:13" x14ac:dyDescent="0.25">
      <c r="M6606" s="34">
        <f t="shared" si="279"/>
        <v>0</v>
      </c>
    </row>
    <row r="6607" spans="13:13" x14ac:dyDescent="0.25">
      <c r="M6607" s="34">
        <f t="shared" si="279"/>
        <v>0</v>
      </c>
    </row>
    <row r="6608" spans="13:13" x14ac:dyDescent="0.25">
      <c r="M6608" s="34">
        <f t="shared" si="279"/>
        <v>0</v>
      </c>
    </row>
    <row r="6609" spans="13:13" x14ac:dyDescent="0.25">
      <c r="M6609" s="34">
        <f t="shared" si="279"/>
        <v>0</v>
      </c>
    </row>
    <row r="6610" spans="13:13" x14ac:dyDescent="0.25">
      <c r="M6610" s="34">
        <f t="shared" si="279"/>
        <v>0</v>
      </c>
    </row>
    <row r="6611" spans="13:13" x14ac:dyDescent="0.25">
      <c r="M6611" s="34">
        <f t="shared" si="279"/>
        <v>0</v>
      </c>
    </row>
    <row r="6612" spans="13:13" x14ac:dyDescent="0.25">
      <c r="M6612" s="34">
        <f t="shared" si="279"/>
        <v>0</v>
      </c>
    </row>
    <row r="6613" spans="13:13" x14ac:dyDescent="0.25">
      <c r="M6613" s="34">
        <f t="shared" si="279"/>
        <v>0</v>
      </c>
    </row>
    <row r="6614" spans="13:13" x14ac:dyDescent="0.25">
      <c r="M6614" s="34">
        <f t="shared" si="279"/>
        <v>0</v>
      </c>
    </row>
    <row r="6615" spans="13:13" x14ac:dyDescent="0.25">
      <c r="M6615" s="34">
        <f t="shared" si="279"/>
        <v>0</v>
      </c>
    </row>
    <row r="6616" spans="13:13" x14ac:dyDescent="0.25">
      <c r="M6616" s="34">
        <f t="shared" si="279"/>
        <v>0</v>
      </c>
    </row>
    <row r="6617" spans="13:13" x14ac:dyDescent="0.25">
      <c r="M6617" s="34">
        <f t="shared" si="279"/>
        <v>0</v>
      </c>
    </row>
    <row r="6618" spans="13:13" x14ac:dyDescent="0.25">
      <c r="M6618" s="34">
        <f t="shared" si="279"/>
        <v>0</v>
      </c>
    </row>
    <row r="6619" spans="13:13" x14ac:dyDescent="0.25">
      <c r="M6619" s="34">
        <f t="shared" si="279"/>
        <v>0</v>
      </c>
    </row>
    <row r="6620" spans="13:13" x14ac:dyDescent="0.25">
      <c r="M6620" s="34">
        <f t="shared" si="279"/>
        <v>0</v>
      </c>
    </row>
    <row r="6621" spans="13:13" x14ac:dyDescent="0.25">
      <c r="M6621" s="34">
        <f t="shared" si="279"/>
        <v>0</v>
      </c>
    </row>
    <row r="6622" spans="13:13" x14ac:dyDescent="0.25">
      <c r="M6622" s="34">
        <f t="shared" si="279"/>
        <v>0</v>
      </c>
    </row>
    <row r="6623" spans="13:13" x14ac:dyDescent="0.25">
      <c r="M6623" s="34">
        <f t="shared" si="279"/>
        <v>0</v>
      </c>
    </row>
    <row r="6624" spans="13:13" x14ac:dyDescent="0.25">
      <c r="M6624" s="34">
        <f t="shared" si="279"/>
        <v>0</v>
      </c>
    </row>
    <row r="6625" spans="13:13" x14ac:dyDescent="0.25">
      <c r="M6625" s="34">
        <f t="shared" si="279"/>
        <v>0</v>
      </c>
    </row>
    <row r="6626" spans="13:13" x14ac:dyDescent="0.25">
      <c r="M6626" s="34">
        <f t="shared" si="279"/>
        <v>0</v>
      </c>
    </row>
    <row r="6627" spans="13:13" x14ac:dyDescent="0.25">
      <c r="M6627" s="34">
        <f t="shared" si="279"/>
        <v>0</v>
      </c>
    </row>
    <row r="6628" spans="13:13" x14ac:dyDescent="0.25">
      <c r="M6628" s="34">
        <f t="shared" si="279"/>
        <v>0</v>
      </c>
    </row>
    <row r="6629" spans="13:13" x14ac:dyDescent="0.25">
      <c r="M6629" s="34">
        <f t="shared" si="279"/>
        <v>0</v>
      </c>
    </row>
    <row r="6630" spans="13:13" x14ac:dyDescent="0.25">
      <c r="M6630" s="34">
        <f t="shared" si="279"/>
        <v>0</v>
      </c>
    </row>
    <row r="6631" spans="13:13" x14ac:dyDescent="0.25">
      <c r="M6631" s="34">
        <f t="shared" si="279"/>
        <v>0</v>
      </c>
    </row>
    <row r="6632" spans="13:13" x14ac:dyDescent="0.25">
      <c r="M6632" s="34">
        <f t="shared" si="279"/>
        <v>0</v>
      </c>
    </row>
    <row r="6633" spans="13:13" x14ac:dyDescent="0.25">
      <c r="M6633" s="34">
        <f t="shared" si="279"/>
        <v>0</v>
      </c>
    </row>
    <row r="6634" spans="13:13" x14ac:dyDescent="0.25">
      <c r="M6634" s="34">
        <f t="shared" si="279"/>
        <v>0</v>
      </c>
    </row>
    <row r="6635" spans="13:13" x14ac:dyDescent="0.25">
      <c r="M6635" s="34">
        <f t="shared" si="279"/>
        <v>0</v>
      </c>
    </row>
    <row r="6636" spans="13:13" x14ac:dyDescent="0.25">
      <c r="M6636" s="34">
        <f t="shared" si="279"/>
        <v>0</v>
      </c>
    </row>
    <row r="6637" spans="13:13" x14ac:dyDescent="0.25">
      <c r="M6637" s="34">
        <f t="shared" si="279"/>
        <v>0</v>
      </c>
    </row>
    <row r="6638" spans="13:13" x14ac:dyDescent="0.25">
      <c r="M6638" s="34">
        <f t="shared" si="279"/>
        <v>0</v>
      </c>
    </row>
    <row r="6639" spans="13:13" x14ac:dyDescent="0.25">
      <c r="M6639" s="34">
        <f t="shared" si="279"/>
        <v>0</v>
      </c>
    </row>
    <row r="6640" spans="13:13" x14ac:dyDescent="0.25">
      <c r="M6640" s="34">
        <f t="shared" si="279"/>
        <v>0</v>
      </c>
    </row>
    <row r="6641" spans="13:13" x14ac:dyDescent="0.25">
      <c r="M6641" s="34">
        <f t="shared" si="279"/>
        <v>0</v>
      </c>
    </row>
    <row r="6642" spans="13:13" x14ac:dyDescent="0.25">
      <c r="M6642" s="34">
        <f t="shared" si="279"/>
        <v>0</v>
      </c>
    </row>
    <row r="6643" spans="13:13" x14ac:dyDescent="0.25">
      <c r="M6643" s="34">
        <f t="shared" si="279"/>
        <v>0</v>
      </c>
    </row>
    <row r="6644" spans="13:13" x14ac:dyDescent="0.25">
      <c r="M6644" s="34">
        <f t="shared" si="279"/>
        <v>0</v>
      </c>
    </row>
    <row r="6645" spans="13:13" x14ac:dyDescent="0.25">
      <c r="M6645" s="34">
        <f t="shared" si="279"/>
        <v>0</v>
      </c>
    </row>
    <row r="6646" spans="13:13" x14ac:dyDescent="0.25">
      <c r="M6646" s="34">
        <f t="shared" si="279"/>
        <v>0</v>
      </c>
    </row>
    <row r="6647" spans="13:13" x14ac:dyDescent="0.25">
      <c r="M6647" s="34">
        <f t="shared" si="279"/>
        <v>0</v>
      </c>
    </row>
    <row r="6648" spans="13:13" x14ac:dyDescent="0.25">
      <c r="M6648" s="34">
        <f t="shared" si="279"/>
        <v>0</v>
      </c>
    </row>
    <row r="6649" spans="13:13" x14ac:dyDescent="0.25">
      <c r="M6649" s="34">
        <f t="shared" si="279"/>
        <v>0</v>
      </c>
    </row>
    <row r="6650" spans="13:13" x14ac:dyDescent="0.25">
      <c r="M6650" s="34">
        <f t="shared" si="279"/>
        <v>0</v>
      </c>
    </row>
    <row r="6651" spans="13:13" x14ac:dyDescent="0.25">
      <c r="M6651" s="34">
        <f t="shared" si="279"/>
        <v>0</v>
      </c>
    </row>
    <row r="6652" spans="13:13" x14ac:dyDescent="0.25">
      <c r="M6652" s="34">
        <f t="shared" si="279"/>
        <v>0</v>
      </c>
    </row>
    <row r="6653" spans="13:13" x14ac:dyDescent="0.25">
      <c r="M6653" s="34">
        <f t="shared" si="279"/>
        <v>0</v>
      </c>
    </row>
    <row r="6654" spans="13:13" x14ac:dyDescent="0.25">
      <c r="M6654" s="34">
        <f t="shared" si="279"/>
        <v>0</v>
      </c>
    </row>
    <row r="6655" spans="13:13" x14ac:dyDescent="0.25">
      <c r="M6655" s="34">
        <f t="shared" si="279"/>
        <v>0</v>
      </c>
    </row>
    <row r="6656" spans="13:13" x14ac:dyDescent="0.25">
      <c r="M6656" s="34">
        <f t="shared" si="279"/>
        <v>0</v>
      </c>
    </row>
    <row r="6657" spans="13:13" x14ac:dyDescent="0.25">
      <c r="M6657" s="34">
        <f t="shared" si="279"/>
        <v>0</v>
      </c>
    </row>
    <row r="6658" spans="13:13" x14ac:dyDescent="0.25">
      <c r="M6658" s="34">
        <f t="shared" si="279"/>
        <v>0</v>
      </c>
    </row>
    <row r="6659" spans="13:13" x14ac:dyDescent="0.25">
      <c r="M6659" s="34">
        <f t="shared" ref="M6659:M6722" si="280">IF(AND(E6659="Chèque",G6659="RECETTE"),F6659,0)</f>
        <v>0</v>
      </c>
    </row>
    <row r="6660" spans="13:13" x14ac:dyDescent="0.25">
      <c r="M6660" s="34">
        <f t="shared" si="280"/>
        <v>0</v>
      </c>
    </row>
    <row r="6661" spans="13:13" x14ac:dyDescent="0.25">
      <c r="M6661" s="34">
        <f t="shared" si="280"/>
        <v>0</v>
      </c>
    </row>
    <row r="6662" spans="13:13" x14ac:dyDescent="0.25">
      <c r="M6662" s="34">
        <f t="shared" si="280"/>
        <v>0</v>
      </c>
    </row>
    <row r="6663" spans="13:13" x14ac:dyDescent="0.25">
      <c r="M6663" s="34">
        <f t="shared" si="280"/>
        <v>0</v>
      </c>
    </row>
    <row r="6664" spans="13:13" x14ac:dyDescent="0.25">
      <c r="M6664" s="34">
        <f t="shared" si="280"/>
        <v>0</v>
      </c>
    </row>
    <row r="6665" spans="13:13" x14ac:dyDescent="0.25">
      <c r="M6665" s="34">
        <f t="shared" si="280"/>
        <v>0</v>
      </c>
    </row>
    <row r="6666" spans="13:13" x14ac:dyDescent="0.25">
      <c r="M6666" s="34">
        <f t="shared" si="280"/>
        <v>0</v>
      </c>
    </row>
    <row r="6667" spans="13:13" x14ac:dyDescent="0.25">
      <c r="M6667" s="34">
        <f t="shared" si="280"/>
        <v>0</v>
      </c>
    </row>
    <row r="6668" spans="13:13" x14ac:dyDescent="0.25">
      <c r="M6668" s="34">
        <f t="shared" si="280"/>
        <v>0</v>
      </c>
    </row>
    <row r="6669" spans="13:13" x14ac:dyDescent="0.25">
      <c r="M6669" s="34">
        <f t="shared" si="280"/>
        <v>0</v>
      </c>
    </row>
    <row r="6670" spans="13:13" x14ac:dyDescent="0.25">
      <c r="M6670" s="34">
        <f t="shared" si="280"/>
        <v>0</v>
      </c>
    </row>
    <row r="6671" spans="13:13" x14ac:dyDescent="0.25">
      <c r="M6671" s="34">
        <f t="shared" si="280"/>
        <v>0</v>
      </c>
    </row>
    <row r="6672" spans="13:13" x14ac:dyDescent="0.25">
      <c r="M6672" s="34">
        <f t="shared" si="280"/>
        <v>0</v>
      </c>
    </row>
    <row r="6673" spans="13:13" x14ac:dyDescent="0.25">
      <c r="M6673" s="34">
        <f t="shared" si="280"/>
        <v>0</v>
      </c>
    </row>
    <row r="6674" spans="13:13" x14ac:dyDescent="0.25">
      <c r="M6674" s="34">
        <f t="shared" si="280"/>
        <v>0</v>
      </c>
    </row>
    <row r="6675" spans="13:13" x14ac:dyDescent="0.25">
      <c r="M6675" s="34">
        <f t="shared" si="280"/>
        <v>0</v>
      </c>
    </row>
    <row r="6676" spans="13:13" x14ac:dyDescent="0.25">
      <c r="M6676" s="34">
        <f t="shared" si="280"/>
        <v>0</v>
      </c>
    </row>
    <row r="6677" spans="13:13" x14ac:dyDescent="0.25">
      <c r="M6677" s="34">
        <f t="shared" si="280"/>
        <v>0</v>
      </c>
    </row>
    <row r="6678" spans="13:13" x14ac:dyDescent="0.25">
      <c r="M6678" s="34">
        <f t="shared" si="280"/>
        <v>0</v>
      </c>
    </row>
    <row r="6679" spans="13:13" x14ac:dyDescent="0.25">
      <c r="M6679" s="34">
        <f t="shared" si="280"/>
        <v>0</v>
      </c>
    </row>
    <row r="6680" spans="13:13" x14ac:dyDescent="0.25">
      <c r="M6680" s="34">
        <f t="shared" si="280"/>
        <v>0</v>
      </c>
    </row>
    <row r="6681" spans="13:13" x14ac:dyDescent="0.25">
      <c r="M6681" s="34">
        <f t="shared" si="280"/>
        <v>0</v>
      </c>
    </row>
    <row r="6682" spans="13:13" x14ac:dyDescent="0.25">
      <c r="M6682" s="34">
        <f t="shared" si="280"/>
        <v>0</v>
      </c>
    </row>
    <row r="6683" spans="13:13" x14ac:dyDescent="0.25">
      <c r="M6683" s="34">
        <f t="shared" si="280"/>
        <v>0</v>
      </c>
    </row>
    <row r="6684" spans="13:13" x14ac:dyDescent="0.25">
      <c r="M6684" s="34">
        <f t="shared" si="280"/>
        <v>0</v>
      </c>
    </row>
    <row r="6685" spans="13:13" x14ac:dyDescent="0.25">
      <c r="M6685" s="34">
        <f t="shared" si="280"/>
        <v>0</v>
      </c>
    </row>
    <row r="6686" spans="13:13" x14ac:dyDescent="0.25">
      <c r="M6686" s="34">
        <f t="shared" si="280"/>
        <v>0</v>
      </c>
    </row>
    <row r="6687" spans="13:13" x14ac:dyDescent="0.25">
      <c r="M6687" s="34">
        <f t="shared" si="280"/>
        <v>0</v>
      </c>
    </row>
    <row r="6688" spans="13:13" x14ac:dyDescent="0.25">
      <c r="M6688" s="34">
        <f t="shared" si="280"/>
        <v>0</v>
      </c>
    </row>
    <row r="6689" spans="13:13" x14ac:dyDescent="0.25">
      <c r="M6689" s="34">
        <f t="shared" si="280"/>
        <v>0</v>
      </c>
    </row>
    <row r="6690" spans="13:13" x14ac:dyDescent="0.25">
      <c r="M6690" s="34">
        <f t="shared" si="280"/>
        <v>0</v>
      </c>
    </row>
    <row r="6691" spans="13:13" x14ac:dyDescent="0.25">
      <c r="M6691" s="34">
        <f t="shared" si="280"/>
        <v>0</v>
      </c>
    </row>
    <row r="6692" spans="13:13" x14ac:dyDescent="0.25">
      <c r="M6692" s="34">
        <f t="shared" si="280"/>
        <v>0</v>
      </c>
    </row>
    <row r="6693" spans="13:13" x14ac:dyDescent="0.25">
      <c r="M6693" s="34">
        <f t="shared" si="280"/>
        <v>0</v>
      </c>
    </row>
    <row r="6694" spans="13:13" x14ac:dyDescent="0.25">
      <c r="M6694" s="34">
        <f t="shared" si="280"/>
        <v>0</v>
      </c>
    </row>
    <row r="6695" spans="13:13" x14ac:dyDescent="0.25">
      <c r="M6695" s="34">
        <f t="shared" si="280"/>
        <v>0</v>
      </c>
    </row>
    <row r="6696" spans="13:13" x14ac:dyDescent="0.25">
      <c r="M6696" s="34">
        <f t="shared" si="280"/>
        <v>0</v>
      </c>
    </row>
    <row r="6697" spans="13:13" x14ac:dyDescent="0.25">
      <c r="M6697" s="34">
        <f t="shared" si="280"/>
        <v>0</v>
      </c>
    </row>
    <row r="6698" spans="13:13" x14ac:dyDescent="0.25">
      <c r="M6698" s="34">
        <f t="shared" si="280"/>
        <v>0</v>
      </c>
    </row>
    <row r="6699" spans="13:13" x14ac:dyDescent="0.25">
      <c r="M6699" s="34">
        <f t="shared" si="280"/>
        <v>0</v>
      </c>
    </row>
    <row r="6700" spans="13:13" x14ac:dyDescent="0.25">
      <c r="M6700" s="34">
        <f t="shared" si="280"/>
        <v>0</v>
      </c>
    </row>
    <row r="6701" spans="13:13" x14ac:dyDescent="0.25">
      <c r="M6701" s="34">
        <f t="shared" si="280"/>
        <v>0</v>
      </c>
    </row>
    <row r="6702" spans="13:13" x14ac:dyDescent="0.25">
      <c r="M6702" s="34">
        <f t="shared" si="280"/>
        <v>0</v>
      </c>
    </row>
    <row r="6703" spans="13:13" x14ac:dyDescent="0.25">
      <c r="M6703" s="34">
        <f t="shared" si="280"/>
        <v>0</v>
      </c>
    </row>
    <row r="6704" spans="13:13" x14ac:dyDescent="0.25">
      <c r="M6704" s="34">
        <f t="shared" si="280"/>
        <v>0</v>
      </c>
    </row>
    <row r="6705" spans="13:13" x14ac:dyDescent="0.25">
      <c r="M6705" s="34">
        <f t="shared" si="280"/>
        <v>0</v>
      </c>
    </row>
    <row r="6706" spans="13:13" x14ac:dyDescent="0.25">
      <c r="M6706" s="34">
        <f t="shared" si="280"/>
        <v>0</v>
      </c>
    </row>
    <row r="6707" spans="13:13" x14ac:dyDescent="0.25">
      <c r="M6707" s="34">
        <f t="shared" si="280"/>
        <v>0</v>
      </c>
    </row>
    <row r="6708" spans="13:13" x14ac:dyDescent="0.25">
      <c r="M6708" s="34">
        <f t="shared" si="280"/>
        <v>0</v>
      </c>
    </row>
    <row r="6709" spans="13:13" x14ac:dyDescent="0.25">
      <c r="M6709" s="34">
        <f t="shared" si="280"/>
        <v>0</v>
      </c>
    </row>
    <row r="6710" spans="13:13" x14ac:dyDescent="0.25">
      <c r="M6710" s="34">
        <f t="shared" si="280"/>
        <v>0</v>
      </c>
    </row>
    <row r="6711" spans="13:13" x14ac:dyDescent="0.25">
      <c r="M6711" s="34">
        <f t="shared" si="280"/>
        <v>0</v>
      </c>
    </row>
    <row r="6712" spans="13:13" x14ac:dyDescent="0.25">
      <c r="M6712" s="34">
        <f t="shared" si="280"/>
        <v>0</v>
      </c>
    </row>
    <row r="6713" spans="13:13" x14ac:dyDescent="0.25">
      <c r="M6713" s="34">
        <f t="shared" si="280"/>
        <v>0</v>
      </c>
    </row>
    <row r="6714" spans="13:13" x14ac:dyDescent="0.25">
      <c r="M6714" s="34">
        <f t="shared" si="280"/>
        <v>0</v>
      </c>
    </row>
    <row r="6715" spans="13:13" x14ac:dyDescent="0.25">
      <c r="M6715" s="34">
        <f t="shared" si="280"/>
        <v>0</v>
      </c>
    </row>
    <row r="6716" spans="13:13" x14ac:dyDescent="0.25">
      <c r="M6716" s="34">
        <f t="shared" si="280"/>
        <v>0</v>
      </c>
    </row>
    <row r="6717" spans="13:13" x14ac:dyDescent="0.25">
      <c r="M6717" s="34">
        <f t="shared" si="280"/>
        <v>0</v>
      </c>
    </row>
    <row r="6718" spans="13:13" x14ac:dyDescent="0.25">
      <c r="M6718" s="34">
        <f t="shared" si="280"/>
        <v>0</v>
      </c>
    </row>
    <row r="6719" spans="13:13" x14ac:dyDescent="0.25">
      <c r="M6719" s="34">
        <f t="shared" si="280"/>
        <v>0</v>
      </c>
    </row>
    <row r="6720" spans="13:13" x14ac:dyDescent="0.25">
      <c r="M6720" s="34">
        <f t="shared" si="280"/>
        <v>0</v>
      </c>
    </row>
    <row r="6721" spans="13:13" x14ac:dyDescent="0.25">
      <c r="M6721" s="34">
        <f t="shared" si="280"/>
        <v>0</v>
      </c>
    </row>
    <row r="6722" spans="13:13" x14ac:dyDescent="0.25">
      <c r="M6722" s="34">
        <f t="shared" si="280"/>
        <v>0</v>
      </c>
    </row>
    <row r="6723" spans="13:13" x14ac:dyDescent="0.25">
      <c r="M6723" s="34">
        <f t="shared" ref="M6723:M6786" si="281">IF(AND(E6723="Chèque",G6723="RECETTE"),F6723,0)</f>
        <v>0</v>
      </c>
    </row>
    <row r="6724" spans="13:13" x14ac:dyDescent="0.25">
      <c r="M6724" s="34">
        <f t="shared" si="281"/>
        <v>0</v>
      </c>
    </row>
    <row r="6725" spans="13:13" x14ac:dyDescent="0.25">
      <c r="M6725" s="34">
        <f t="shared" si="281"/>
        <v>0</v>
      </c>
    </row>
    <row r="6726" spans="13:13" x14ac:dyDescent="0.25">
      <c r="M6726" s="34">
        <f t="shared" si="281"/>
        <v>0</v>
      </c>
    </row>
    <row r="6727" spans="13:13" x14ac:dyDescent="0.25">
      <c r="M6727" s="34">
        <f t="shared" si="281"/>
        <v>0</v>
      </c>
    </row>
    <row r="6728" spans="13:13" x14ac:dyDescent="0.25">
      <c r="M6728" s="34">
        <f t="shared" si="281"/>
        <v>0</v>
      </c>
    </row>
    <row r="6729" spans="13:13" x14ac:dyDescent="0.25">
      <c r="M6729" s="34">
        <f t="shared" si="281"/>
        <v>0</v>
      </c>
    </row>
    <row r="6730" spans="13:13" x14ac:dyDescent="0.25">
      <c r="M6730" s="34">
        <f t="shared" si="281"/>
        <v>0</v>
      </c>
    </row>
    <row r="6731" spans="13:13" x14ac:dyDescent="0.25">
      <c r="M6731" s="34">
        <f t="shared" si="281"/>
        <v>0</v>
      </c>
    </row>
    <row r="6732" spans="13:13" x14ac:dyDescent="0.25">
      <c r="M6732" s="34">
        <f t="shared" si="281"/>
        <v>0</v>
      </c>
    </row>
    <row r="6733" spans="13:13" x14ac:dyDescent="0.25">
      <c r="M6733" s="34">
        <f t="shared" si="281"/>
        <v>0</v>
      </c>
    </row>
    <row r="6734" spans="13:13" x14ac:dyDescent="0.25">
      <c r="M6734" s="34">
        <f t="shared" si="281"/>
        <v>0</v>
      </c>
    </row>
    <row r="6735" spans="13:13" x14ac:dyDescent="0.25">
      <c r="M6735" s="34">
        <f t="shared" si="281"/>
        <v>0</v>
      </c>
    </row>
    <row r="6736" spans="13:13" x14ac:dyDescent="0.25">
      <c r="M6736" s="34">
        <f t="shared" si="281"/>
        <v>0</v>
      </c>
    </row>
    <row r="6737" spans="13:13" x14ac:dyDescent="0.25">
      <c r="M6737" s="34">
        <f t="shared" si="281"/>
        <v>0</v>
      </c>
    </row>
    <row r="6738" spans="13:13" x14ac:dyDescent="0.25">
      <c r="M6738" s="34">
        <f t="shared" si="281"/>
        <v>0</v>
      </c>
    </row>
    <row r="6739" spans="13:13" x14ac:dyDescent="0.25">
      <c r="M6739" s="34">
        <f t="shared" si="281"/>
        <v>0</v>
      </c>
    </row>
    <row r="6740" spans="13:13" x14ac:dyDescent="0.25">
      <c r="M6740" s="34">
        <f t="shared" si="281"/>
        <v>0</v>
      </c>
    </row>
    <row r="6741" spans="13:13" x14ac:dyDescent="0.25">
      <c r="M6741" s="34">
        <f t="shared" si="281"/>
        <v>0</v>
      </c>
    </row>
    <row r="6742" spans="13:13" x14ac:dyDescent="0.25">
      <c r="M6742" s="34">
        <f t="shared" si="281"/>
        <v>0</v>
      </c>
    </row>
    <row r="6743" spans="13:13" x14ac:dyDescent="0.25">
      <c r="M6743" s="34">
        <f t="shared" si="281"/>
        <v>0</v>
      </c>
    </row>
    <row r="6744" spans="13:13" x14ac:dyDescent="0.25">
      <c r="M6744" s="34">
        <f t="shared" si="281"/>
        <v>0</v>
      </c>
    </row>
    <row r="6745" spans="13:13" x14ac:dyDescent="0.25">
      <c r="M6745" s="34">
        <f t="shared" si="281"/>
        <v>0</v>
      </c>
    </row>
    <row r="6746" spans="13:13" x14ac:dyDescent="0.25">
      <c r="M6746" s="34">
        <f t="shared" si="281"/>
        <v>0</v>
      </c>
    </row>
    <row r="6747" spans="13:13" x14ac:dyDescent="0.25">
      <c r="M6747" s="34">
        <f t="shared" si="281"/>
        <v>0</v>
      </c>
    </row>
    <row r="6748" spans="13:13" x14ac:dyDescent="0.25">
      <c r="M6748" s="34">
        <f t="shared" si="281"/>
        <v>0</v>
      </c>
    </row>
    <row r="6749" spans="13:13" x14ac:dyDescent="0.25">
      <c r="M6749" s="34">
        <f t="shared" si="281"/>
        <v>0</v>
      </c>
    </row>
    <row r="6750" spans="13:13" x14ac:dyDescent="0.25">
      <c r="M6750" s="34">
        <f t="shared" si="281"/>
        <v>0</v>
      </c>
    </row>
    <row r="6751" spans="13:13" x14ac:dyDescent="0.25">
      <c r="M6751" s="34">
        <f t="shared" si="281"/>
        <v>0</v>
      </c>
    </row>
    <row r="6752" spans="13:13" x14ac:dyDescent="0.25">
      <c r="M6752" s="34">
        <f t="shared" si="281"/>
        <v>0</v>
      </c>
    </row>
    <row r="6753" spans="13:13" x14ac:dyDescent="0.25">
      <c r="M6753" s="34">
        <f t="shared" si="281"/>
        <v>0</v>
      </c>
    </row>
    <row r="6754" spans="13:13" x14ac:dyDescent="0.25">
      <c r="M6754" s="34">
        <f t="shared" si="281"/>
        <v>0</v>
      </c>
    </row>
    <row r="6755" spans="13:13" x14ac:dyDescent="0.25">
      <c r="M6755" s="34">
        <f t="shared" si="281"/>
        <v>0</v>
      </c>
    </row>
    <row r="6756" spans="13:13" x14ac:dyDescent="0.25">
      <c r="M6756" s="34">
        <f t="shared" si="281"/>
        <v>0</v>
      </c>
    </row>
    <row r="6757" spans="13:13" x14ac:dyDescent="0.25">
      <c r="M6757" s="34">
        <f t="shared" si="281"/>
        <v>0</v>
      </c>
    </row>
    <row r="6758" spans="13:13" x14ac:dyDescent="0.25">
      <c r="M6758" s="34">
        <f t="shared" si="281"/>
        <v>0</v>
      </c>
    </row>
    <row r="6759" spans="13:13" x14ac:dyDescent="0.25">
      <c r="M6759" s="34">
        <f t="shared" si="281"/>
        <v>0</v>
      </c>
    </row>
    <row r="6760" spans="13:13" x14ac:dyDescent="0.25">
      <c r="M6760" s="34">
        <f t="shared" si="281"/>
        <v>0</v>
      </c>
    </row>
    <row r="6761" spans="13:13" x14ac:dyDescent="0.25">
      <c r="M6761" s="34">
        <f t="shared" si="281"/>
        <v>0</v>
      </c>
    </row>
    <row r="6762" spans="13:13" x14ac:dyDescent="0.25">
      <c r="M6762" s="34">
        <f t="shared" si="281"/>
        <v>0</v>
      </c>
    </row>
    <row r="6763" spans="13:13" x14ac:dyDescent="0.25">
      <c r="M6763" s="34">
        <f t="shared" si="281"/>
        <v>0</v>
      </c>
    </row>
    <row r="6764" spans="13:13" x14ac:dyDescent="0.25">
      <c r="M6764" s="34">
        <f t="shared" si="281"/>
        <v>0</v>
      </c>
    </row>
    <row r="6765" spans="13:13" x14ac:dyDescent="0.25">
      <c r="M6765" s="34">
        <f t="shared" si="281"/>
        <v>0</v>
      </c>
    </row>
    <row r="6766" spans="13:13" x14ac:dyDescent="0.25">
      <c r="M6766" s="34">
        <f t="shared" si="281"/>
        <v>0</v>
      </c>
    </row>
    <row r="6767" spans="13:13" x14ac:dyDescent="0.25">
      <c r="M6767" s="34">
        <f t="shared" si="281"/>
        <v>0</v>
      </c>
    </row>
    <row r="6768" spans="13:13" x14ac:dyDescent="0.25">
      <c r="M6768" s="34">
        <f t="shared" si="281"/>
        <v>0</v>
      </c>
    </row>
    <row r="6769" spans="13:13" x14ac:dyDescent="0.25">
      <c r="M6769" s="34">
        <f t="shared" si="281"/>
        <v>0</v>
      </c>
    </row>
    <row r="6770" spans="13:13" x14ac:dyDescent="0.25">
      <c r="M6770" s="34">
        <f t="shared" si="281"/>
        <v>0</v>
      </c>
    </row>
    <row r="6771" spans="13:13" x14ac:dyDescent="0.25">
      <c r="M6771" s="34">
        <f t="shared" si="281"/>
        <v>0</v>
      </c>
    </row>
    <row r="6772" spans="13:13" x14ac:dyDescent="0.25">
      <c r="M6772" s="34">
        <f t="shared" si="281"/>
        <v>0</v>
      </c>
    </row>
    <row r="6773" spans="13:13" x14ac:dyDescent="0.25">
      <c r="M6773" s="34">
        <f t="shared" si="281"/>
        <v>0</v>
      </c>
    </row>
    <row r="6774" spans="13:13" x14ac:dyDescent="0.25">
      <c r="M6774" s="34">
        <f t="shared" si="281"/>
        <v>0</v>
      </c>
    </row>
    <row r="6775" spans="13:13" x14ac:dyDescent="0.25">
      <c r="M6775" s="34">
        <f t="shared" si="281"/>
        <v>0</v>
      </c>
    </row>
    <row r="6776" spans="13:13" x14ac:dyDescent="0.25">
      <c r="M6776" s="34">
        <f t="shared" si="281"/>
        <v>0</v>
      </c>
    </row>
    <row r="6777" spans="13:13" x14ac:dyDescent="0.25">
      <c r="M6777" s="34">
        <f t="shared" si="281"/>
        <v>0</v>
      </c>
    </row>
    <row r="6778" spans="13:13" x14ac:dyDescent="0.25">
      <c r="M6778" s="34">
        <f t="shared" si="281"/>
        <v>0</v>
      </c>
    </row>
    <row r="6779" spans="13:13" x14ac:dyDescent="0.25">
      <c r="M6779" s="34">
        <f t="shared" si="281"/>
        <v>0</v>
      </c>
    </row>
    <row r="6780" spans="13:13" x14ac:dyDescent="0.25">
      <c r="M6780" s="34">
        <f t="shared" si="281"/>
        <v>0</v>
      </c>
    </row>
    <row r="6781" spans="13:13" x14ac:dyDescent="0.25">
      <c r="M6781" s="34">
        <f t="shared" si="281"/>
        <v>0</v>
      </c>
    </row>
    <row r="6782" spans="13:13" x14ac:dyDescent="0.25">
      <c r="M6782" s="34">
        <f t="shared" si="281"/>
        <v>0</v>
      </c>
    </row>
    <row r="6783" spans="13:13" x14ac:dyDescent="0.25">
      <c r="M6783" s="34">
        <f t="shared" si="281"/>
        <v>0</v>
      </c>
    </row>
    <row r="6784" spans="13:13" x14ac:dyDescent="0.25">
      <c r="M6784" s="34">
        <f t="shared" si="281"/>
        <v>0</v>
      </c>
    </row>
    <row r="6785" spans="13:13" x14ac:dyDescent="0.25">
      <c r="M6785" s="34">
        <f t="shared" si="281"/>
        <v>0</v>
      </c>
    </row>
    <row r="6786" spans="13:13" x14ac:dyDescent="0.25">
      <c r="M6786" s="34">
        <f t="shared" si="281"/>
        <v>0</v>
      </c>
    </row>
    <row r="6787" spans="13:13" x14ac:dyDescent="0.25">
      <c r="M6787" s="34">
        <f t="shared" ref="M6787:M6850" si="282">IF(AND(E6787="Chèque",G6787="RECETTE"),F6787,0)</f>
        <v>0</v>
      </c>
    </row>
    <row r="6788" spans="13:13" x14ac:dyDescent="0.25">
      <c r="M6788" s="34">
        <f t="shared" si="282"/>
        <v>0</v>
      </c>
    </row>
    <row r="6789" spans="13:13" x14ac:dyDescent="0.25">
      <c r="M6789" s="34">
        <f t="shared" si="282"/>
        <v>0</v>
      </c>
    </row>
    <row r="6790" spans="13:13" x14ac:dyDescent="0.25">
      <c r="M6790" s="34">
        <f t="shared" si="282"/>
        <v>0</v>
      </c>
    </row>
    <row r="6791" spans="13:13" x14ac:dyDescent="0.25">
      <c r="M6791" s="34">
        <f t="shared" si="282"/>
        <v>0</v>
      </c>
    </row>
    <row r="6792" spans="13:13" x14ac:dyDescent="0.25">
      <c r="M6792" s="34">
        <f t="shared" si="282"/>
        <v>0</v>
      </c>
    </row>
    <row r="6793" spans="13:13" x14ac:dyDescent="0.25">
      <c r="M6793" s="34">
        <f t="shared" si="282"/>
        <v>0</v>
      </c>
    </row>
    <row r="6794" spans="13:13" x14ac:dyDescent="0.25">
      <c r="M6794" s="34">
        <f t="shared" si="282"/>
        <v>0</v>
      </c>
    </row>
    <row r="6795" spans="13:13" x14ac:dyDescent="0.25">
      <c r="M6795" s="34">
        <f t="shared" si="282"/>
        <v>0</v>
      </c>
    </row>
    <row r="6796" spans="13:13" x14ac:dyDescent="0.25">
      <c r="M6796" s="34">
        <f t="shared" si="282"/>
        <v>0</v>
      </c>
    </row>
    <row r="6797" spans="13:13" x14ac:dyDescent="0.25">
      <c r="M6797" s="34">
        <f t="shared" si="282"/>
        <v>0</v>
      </c>
    </row>
    <row r="6798" spans="13:13" x14ac:dyDescent="0.25">
      <c r="M6798" s="34">
        <f t="shared" si="282"/>
        <v>0</v>
      </c>
    </row>
    <row r="6799" spans="13:13" x14ac:dyDescent="0.25">
      <c r="M6799" s="34">
        <f t="shared" si="282"/>
        <v>0</v>
      </c>
    </row>
    <row r="6800" spans="13:13" x14ac:dyDescent="0.25">
      <c r="M6800" s="34">
        <f t="shared" si="282"/>
        <v>0</v>
      </c>
    </row>
    <row r="6801" spans="13:13" x14ac:dyDescent="0.25">
      <c r="M6801" s="34">
        <f t="shared" si="282"/>
        <v>0</v>
      </c>
    </row>
    <row r="6802" spans="13:13" x14ac:dyDescent="0.25">
      <c r="M6802" s="34">
        <f t="shared" si="282"/>
        <v>0</v>
      </c>
    </row>
    <row r="6803" spans="13:13" x14ac:dyDescent="0.25">
      <c r="M6803" s="34">
        <f t="shared" si="282"/>
        <v>0</v>
      </c>
    </row>
    <row r="6804" spans="13:13" x14ac:dyDescent="0.25">
      <c r="M6804" s="34">
        <f t="shared" si="282"/>
        <v>0</v>
      </c>
    </row>
    <row r="6805" spans="13:13" x14ac:dyDescent="0.25">
      <c r="M6805" s="34">
        <f t="shared" si="282"/>
        <v>0</v>
      </c>
    </row>
    <row r="6806" spans="13:13" x14ac:dyDescent="0.25">
      <c r="M6806" s="34">
        <f t="shared" si="282"/>
        <v>0</v>
      </c>
    </row>
    <row r="6807" spans="13:13" x14ac:dyDescent="0.25">
      <c r="M6807" s="34">
        <f t="shared" si="282"/>
        <v>0</v>
      </c>
    </row>
    <row r="6808" spans="13:13" x14ac:dyDescent="0.25">
      <c r="M6808" s="34">
        <f t="shared" si="282"/>
        <v>0</v>
      </c>
    </row>
    <row r="6809" spans="13:13" x14ac:dyDescent="0.25">
      <c r="M6809" s="34">
        <f t="shared" si="282"/>
        <v>0</v>
      </c>
    </row>
    <row r="6810" spans="13:13" x14ac:dyDescent="0.25">
      <c r="M6810" s="34">
        <f t="shared" si="282"/>
        <v>0</v>
      </c>
    </row>
    <row r="6811" spans="13:13" x14ac:dyDescent="0.25">
      <c r="M6811" s="34">
        <f t="shared" si="282"/>
        <v>0</v>
      </c>
    </row>
    <row r="6812" spans="13:13" x14ac:dyDescent="0.25">
      <c r="M6812" s="34">
        <f t="shared" si="282"/>
        <v>0</v>
      </c>
    </row>
    <row r="6813" spans="13:13" x14ac:dyDescent="0.25">
      <c r="M6813" s="34">
        <f t="shared" si="282"/>
        <v>0</v>
      </c>
    </row>
    <row r="6814" spans="13:13" x14ac:dyDescent="0.25">
      <c r="M6814" s="34">
        <f t="shared" si="282"/>
        <v>0</v>
      </c>
    </row>
    <row r="6815" spans="13:13" x14ac:dyDescent="0.25">
      <c r="M6815" s="34">
        <f t="shared" si="282"/>
        <v>0</v>
      </c>
    </row>
    <row r="6816" spans="13:13" x14ac:dyDescent="0.25">
      <c r="M6816" s="34">
        <f t="shared" si="282"/>
        <v>0</v>
      </c>
    </row>
    <row r="6817" spans="13:13" x14ac:dyDescent="0.25">
      <c r="M6817" s="34">
        <f t="shared" si="282"/>
        <v>0</v>
      </c>
    </row>
    <row r="6818" spans="13:13" x14ac:dyDescent="0.25">
      <c r="M6818" s="34">
        <f t="shared" si="282"/>
        <v>0</v>
      </c>
    </row>
    <row r="6819" spans="13:13" x14ac:dyDescent="0.25">
      <c r="M6819" s="34">
        <f t="shared" si="282"/>
        <v>0</v>
      </c>
    </row>
    <row r="6820" spans="13:13" x14ac:dyDescent="0.25">
      <c r="M6820" s="34">
        <f t="shared" si="282"/>
        <v>0</v>
      </c>
    </row>
    <row r="6821" spans="13:13" x14ac:dyDescent="0.25">
      <c r="M6821" s="34">
        <f t="shared" si="282"/>
        <v>0</v>
      </c>
    </row>
    <row r="6822" spans="13:13" x14ac:dyDescent="0.25">
      <c r="M6822" s="34">
        <f t="shared" si="282"/>
        <v>0</v>
      </c>
    </row>
    <row r="6823" spans="13:13" x14ac:dyDescent="0.25">
      <c r="M6823" s="34">
        <f t="shared" si="282"/>
        <v>0</v>
      </c>
    </row>
    <row r="6824" spans="13:13" x14ac:dyDescent="0.25">
      <c r="M6824" s="34">
        <f t="shared" si="282"/>
        <v>0</v>
      </c>
    </row>
    <row r="6825" spans="13:13" x14ac:dyDescent="0.25">
      <c r="M6825" s="34">
        <f t="shared" si="282"/>
        <v>0</v>
      </c>
    </row>
    <row r="6826" spans="13:13" x14ac:dyDescent="0.25">
      <c r="M6826" s="34">
        <f t="shared" si="282"/>
        <v>0</v>
      </c>
    </row>
    <row r="6827" spans="13:13" x14ac:dyDescent="0.25">
      <c r="M6827" s="34">
        <f t="shared" si="282"/>
        <v>0</v>
      </c>
    </row>
    <row r="6828" spans="13:13" x14ac:dyDescent="0.25">
      <c r="M6828" s="34">
        <f t="shared" si="282"/>
        <v>0</v>
      </c>
    </row>
    <row r="6829" spans="13:13" x14ac:dyDescent="0.25">
      <c r="M6829" s="34">
        <f t="shared" si="282"/>
        <v>0</v>
      </c>
    </row>
    <row r="6830" spans="13:13" x14ac:dyDescent="0.25">
      <c r="M6830" s="34">
        <f t="shared" si="282"/>
        <v>0</v>
      </c>
    </row>
    <row r="6831" spans="13:13" x14ac:dyDescent="0.25">
      <c r="M6831" s="34">
        <f t="shared" si="282"/>
        <v>0</v>
      </c>
    </row>
    <row r="6832" spans="13:13" x14ac:dyDescent="0.25">
      <c r="M6832" s="34">
        <f t="shared" si="282"/>
        <v>0</v>
      </c>
    </row>
    <row r="6833" spans="13:13" x14ac:dyDescent="0.25">
      <c r="M6833" s="34">
        <f t="shared" si="282"/>
        <v>0</v>
      </c>
    </row>
    <row r="6834" spans="13:13" x14ac:dyDescent="0.25">
      <c r="M6834" s="34">
        <f t="shared" si="282"/>
        <v>0</v>
      </c>
    </row>
    <row r="6835" spans="13:13" x14ac:dyDescent="0.25">
      <c r="M6835" s="34">
        <f t="shared" si="282"/>
        <v>0</v>
      </c>
    </row>
    <row r="6836" spans="13:13" x14ac:dyDescent="0.25">
      <c r="M6836" s="34">
        <f t="shared" si="282"/>
        <v>0</v>
      </c>
    </row>
    <row r="6837" spans="13:13" x14ac:dyDescent="0.25">
      <c r="M6837" s="34">
        <f t="shared" si="282"/>
        <v>0</v>
      </c>
    </row>
    <row r="6838" spans="13:13" x14ac:dyDescent="0.25">
      <c r="M6838" s="34">
        <f t="shared" si="282"/>
        <v>0</v>
      </c>
    </row>
    <row r="6839" spans="13:13" x14ac:dyDescent="0.25">
      <c r="M6839" s="34">
        <f t="shared" si="282"/>
        <v>0</v>
      </c>
    </row>
    <row r="6840" spans="13:13" x14ac:dyDescent="0.25">
      <c r="M6840" s="34">
        <f t="shared" si="282"/>
        <v>0</v>
      </c>
    </row>
    <row r="6841" spans="13:13" x14ac:dyDescent="0.25">
      <c r="M6841" s="34">
        <f t="shared" si="282"/>
        <v>0</v>
      </c>
    </row>
    <row r="6842" spans="13:13" x14ac:dyDescent="0.25">
      <c r="M6842" s="34">
        <f t="shared" si="282"/>
        <v>0</v>
      </c>
    </row>
    <row r="6843" spans="13:13" x14ac:dyDescent="0.25">
      <c r="M6843" s="34">
        <f t="shared" si="282"/>
        <v>0</v>
      </c>
    </row>
    <row r="6844" spans="13:13" x14ac:dyDescent="0.25">
      <c r="M6844" s="34">
        <f t="shared" si="282"/>
        <v>0</v>
      </c>
    </row>
    <row r="6845" spans="13:13" x14ac:dyDescent="0.25">
      <c r="M6845" s="34">
        <f t="shared" si="282"/>
        <v>0</v>
      </c>
    </row>
    <row r="6846" spans="13:13" x14ac:dyDescent="0.25">
      <c r="M6846" s="34">
        <f t="shared" si="282"/>
        <v>0</v>
      </c>
    </row>
    <row r="6847" spans="13:13" x14ac:dyDescent="0.25">
      <c r="M6847" s="34">
        <f t="shared" si="282"/>
        <v>0</v>
      </c>
    </row>
    <row r="6848" spans="13:13" x14ac:dyDescent="0.25">
      <c r="M6848" s="34">
        <f t="shared" si="282"/>
        <v>0</v>
      </c>
    </row>
    <row r="6849" spans="13:13" x14ac:dyDescent="0.25">
      <c r="M6849" s="34">
        <f t="shared" si="282"/>
        <v>0</v>
      </c>
    </row>
    <row r="6850" spans="13:13" x14ac:dyDescent="0.25">
      <c r="M6850" s="34">
        <f t="shared" si="282"/>
        <v>0</v>
      </c>
    </row>
    <row r="6851" spans="13:13" x14ac:dyDescent="0.25">
      <c r="M6851" s="34">
        <f t="shared" ref="M6851:M6914" si="283">IF(AND(E6851="Chèque",G6851="RECETTE"),F6851,0)</f>
        <v>0</v>
      </c>
    </row>
    <row r="6852" spans="13:13" x14ac:dyDescent="0.25">
      <c r="M6852" s="34">
        <f t="shared" si="283"/>
        <v>0</v>
      </c>
    </row>
    <row r="6853" spans="13:13" x14ac:dyDescent="0.25">
      <c r="M6853" s="34">
        <f t="shared" si="283"/>
        <v>0</v>
      </c>
    </row>
    <row r="6854" spans="13:13" x14ac:dyDescent="0.25">
      <c r="M6854" s="34">
        <f t="shared" si="283"/>
        <v>0</v>
      </c>
    </row>
    <row r="6855" spans="13:13" x14ac:dyDescent="0.25">
      <c r="M6855" s="34">
        <f t="shared" si="283"/>
        <v>0</v>
      </c>
    </row>
    <row r="6856" spans="13:13" x14ac:dyDescent="0.25">
      <c r="M6856" s="34">
        <f t="shared" si="283"/>
        <v>0</v>
      </c>
    </row>
    <row r="6857" spans="13:13" x14ac:dyDescent="0.25">
      <c r="M6857" s="34">
        <f t="shared" si="283"/>
        <v>0</v>
      </c>
    </row>
    <row r="6858" spans="13:13" x14ac:dyDescent="0.25">
      <c r="M6858" s="34">
        <f t="shared" si="283"/>
        <v>0</v>
      </c>
    </row>
    <row r="6859" spans="13:13" x14ac:dyDescent="0.25">
      <c r="M6859" s="34">
        <f t="shared" si="283"/>
        <v>0</v>
      </c>
    </row>
    <row r="6860" spans="13:13" x14ac:dyDescent="0.25">
      <c r="M6860" s="34">
        <f t="shared" si="283"/>
        <v>0</v>
      </c>
    </row>
    <row r="6861" spans="13:13" x14ac:dyDescent="0.25">
      <c r="M6861" s="34">
        <f t="shared" si="283"/>
        <v>0</v>
      </c>
    </row>
    <row r="6862" spans="13:13" x14ac:dyDescent="0.25">
      <c r="M6862" s="34">
        <f t="shared" si="283"/>
        <v>0</v>
      </c>
    </row>
    <row r="6863" spans="13:13" x14ac:dyDescent="0.25">
      <c r="M6863" s="34">
        <f t="shared" si="283"/>
        <v>0</v>
      </c>
    </row>
    <row r="6864" spans="13:13" x14ac:dyDescent="0.25">
      <c r="M6864" s="34">
        <f t="shared" si="283"/>
        <v>0</v>
      </c>
    </row>
    <row r="6865" spans="13:13" x14ac:dyDescent="0.25">
      <c r="M6865" s="34">
        <f t="shared" si="283"/>
        <v>0</v>
      </c>
    </row>
    <row r="6866" spans="13:13" x14ac:dyDescent="0.25">
      <c r="M6866" s="34">
        <f t="shared" si="283"/>
        <v>0</v>
      </c>
    </row>
    <row r="6867" spans="13:13" x14ac:dyDescent="0.25">
      <c r="M6867" s="34">
        <f t="shared" si="283"/>
        <v>0</v>
      </c>
    </row>
    <row r="6868" spans="13:13" x14ac:dyDescent="0.25">
      <c r="M6868" s="34">
        <f t="shared" si="283"/>
        <v>0</v>
      </c>
    </row>
    <row r="6869" spans="13:13" x14ac:dyDescent="0.25">
      <c r="M6869" s="34">
        <f t="shared" si="283"/>
        <v>0</v>
      </c>
    </row>
    <row r="6870" spans="13:13" x14ac:dyDescent="0.25">
      <c r="M6870" s="34">
        <f t="shared" si="283"/>
        <v>0</v>
      </c>
    </row>
    <row r="6871" spans="13:13" x14ac:dyDescent="0.25">
      <c r="M6871" s="34">
        <f t="shared" si="283"/>
        <v>0</v>
      </c>
    </row>
    <row r="6872" spans="13:13" x14ac:dyDescent="0.25">
      <c r="M6872" s="34">
        <f t="shared" si="283"/>
        <v>0</v>
      </c>
    </row>
    <row r="6873" spans="13:13" x14ac:dyDescent="0.25">
      <c r="M6873" s="34">
        <f t="shared" si="283"/>
        <v>0</v>
      </c>
    </row>
    <row r="6874" spans="13:13" x14ac:dyDescent="0.25">
      <c r="M6874" s="34">
        <f t="shared" si="283"/>
        <v>0</v>
      </c>
    </row>
    <row r="6875" spans="13:13" x14ac:dyDescent="0.25">
      <c r="M6875" s="34">
        <f t="shared" si="283"/>
        <v>0</v>
      </c>
    </row>
    <row r="6876" spans="13:13" x14ac:dyDescent="0.25">
      <c r="M6876" s="34">
        <f t="shared" si="283"/>
        <v>0</v>
      </c>
    </row>
    <row r="6877" spans="13:13" x14ac:dyDescent="0.25">
      <c r="M6877" s="34">
        <f t="shared" si="283"/>
        <v>0</v>
      </c>
    </row>
    <row r="6878" spans="13:13" x14ac:dyDescent="0.25">
      <c r="M6878" s="34">
        <f t="shared" si="283"/>
        <v>0</v>
      </c>
    </row>
    <row r="6879" spans="13:13" x14ac:dyDescent="0.25">
      <c r="M6879" s="34">
        <f t="shared" si="283"/>
        <v>0</v>
      </c>
    </row>
    <row r="6880" spans="13:13" x14ac:dyDescent="0.25">
      <c r="M6880" s="34">
        <f t="shared" si="283"/>
        <v>0</v>
      </c>
    </row>
    <row r="6881" spans="13:13" x14ac:dyDescent="0.25">
      <c r="M6881" s="34">
        <f t="shared" si="283"/>
        <v>0</v>
      </c>
    </row>
    <row r="6882" spans="13:13" x14ac:dyDescent="0.25">
      <c r="M6882" s="34">
        <f t="shared" si="283"/>
        <v>0</v>
      </c>
    </row>
    <row r="6883" spans="13:13" x14ac:dyDescent="0.25">
      <c r="M6883" s="34">
        <f t="shared" si="283"/>
        <v>0</v>
      </c>
    </row>
    <row r="6884" spans="13:13" x14ac:dyDescent="0.25">
      <c r="M6884" s="34">
        <f t="shared" si="283"/>
        <v>0</v>
      </c>
    </row>
    <row r="6885" spans="13:13" x14ac:dyDescent="0.25">
      <c r="M6885" s="34">
        <f t="shared" si="283"/>
        <v>0</v>
      </c>
    </row>
    <row r="6886" spans="13:13" x14ac:dyDescent="0.25">
      <c r="M6886" s="34">
        <f t="shared" si="283"/>
        <v>0</v>
      </c>
    </row>
    <row r="6887" spans="13:13" x14ac:dyDescent="0.25">
      <c r="M6887" s="34">
        <f t="shared" si="283"/>
        <v>0</v>
      </c>
    </row>
    <row r="6888" spans="13:13" x14ac:dyDescent="0.25">
      <c r="M6888" s="34">
        <f t="shared" si="283"/>
        <v>0</v>
      </c>
    </row>
    <row r="6889" spans="13:13" x14ac:dyDescent="0.25">
      <c r="M6889" s="34">
        <f t="shared" si="283"/>
        <v>0</v>
      </c>
    </row>
    <row r="6890" spans="13:13" x14ac:dyDescent="0.25">
      <c r="M6890" s="34">
        <f t="shared" si="283"/>
        <v>0</v>
      </c>
    </row>
    <row r="6891" spans="13:13" x14ac:dyDescent="0.25">
      <c r="M6891" s="34">
        <f t="shared" si="283"/>
        <v>0</v>
      </c>
    </row>
    <row r="6892" spans="13:13" x14ac:dyDescent="0.25">
      <c r="M6892" s="34">
        <f t="shared" si="283"/>
        <v>0</v>
      </c>
    </row>
    <row r="6893" spans="13:13" x14ac:dyDescent="0.25">
      <c r="M6893" s="34">
        <f t="shared" si="283"/>
        <v>0</v>
      </c>
    </row>
    <row r="6894" spans="13:13" x14ac:dyDescent="0.25">
      <c r="M6894" s="34">
        <f t="shared" si="283"/>
        <v>0</v>
      </c>
    </row>
    <row r="6895" spans="13:13" x14ac:dyDescent="0.25">
      <c r="M6895" s="34">
        <f t="shared" si="283"/>
        <v>0</v>
      </c>
    </row>
    <row r="6896" spans="13:13" x14ac:dyDescent="0.25">
      <c r="M6896" s="34">
        <f t="shared" si="283"/>
        <v>0</v>
      </c>
    </row>
    <row r="6897" spans="13:13" x14ac:dyDescent="0.25">
      <c r="M6897" s="34">
        <f t="shared" si="283"/>
        <v>0</v>
      </c>
    </row>
    <row r="6898" spans="13:13" x14ac:dyDescent="0.25">
      <c r="M6898" s="34">
        <f t="shared" si="283"/>
        <v>0</v>
      </c>
    </row>
    <row r="6899" spans="13:13" x14ac:dyDescent="0.25">
      <c r="M6899" s="34">
        <f t="shared" si="283"/>
        <v>0</v>
      </c>
    </row>
    <row r="6900" spans="13:13" x14ac:dyDescent="0.25">
      <c r="M6900" s="34">
        <f t="shared" si="283"/>
        <v>0</v>
      </c>
    </row>
    <row r="6901" spans="13:13" x14ac:dyDescent="0.25">
      <c r="M6901" s="34">
        <f t="shared" si="283"/>
        <v>0</v>
      </c>
    </row>
    <row r="6902" spans="13:13" x14ac:dyDescent="0.25">
      <c r="M6902" s="34">
        <f t="shared" si="283"/>
        <v>0</v>
      </c>
    </row>
    <row r="6903" spans="13:13" x14ac:dyDescent="0.25">
      <c r="M6903" s="34">
        <f t="shared" si="283"/>
        <v>0</v>
      </c>
    </row>
    <row r="6904" spans="13:13" x14ac:dyDescent="0.25">
      <c r="M6904" s="34">
        <f t="shared" si="283"/>
        <v>0</v>
      </c>
    </row>
    <row r="6905" spans="13:13" x14ac:dyDescent="0.25">
      <c r="M6905" s="34">
        <f t="shared" si="283"/>
        <v>0</v>
      </c>
    </row>
    <row r="6906" spans="13:13" x14ac:dyDescent="0.25">
      <c r="M6906" s="34">
        <f t="shared" si="283"/>
        <v>0</v>
      </c>
    </row>
    <row r="6907" spans="13:13" x14ac:dyDescent="0.25">
      <c r="M6907" s="34">
        <f t="shared" si="283"/>
        <v>0</v>
      </c>
    </row>
    <row r="6908" spans="13:13" x14ac:dyDescent="0.25">
      <c r="M6908" s="34">
        <f t="shared" si="283"/>
        <v>0</v>
      </c>
    </row>
    <row r="6909" spans="13:13" x14ac:dyDescent="0.25">
      <c r="M6909" s="34">
        <f t="shared" si="283"/>
        <v>0</v>
      </c>
    </row>
    <row r="6910" spans="13:13" x14ac:dyDescent="0.25">
      <c r="M6910" s="34">
        <f t="shared" si="283"/>
        <v>0</v>
      </c>
    </row>
    <row r="6911" spans="13:13" x14ac:dyDescent="0.25">
      <c r="M6911" s="34">
        <f t="shared" si="283"/>
        <v>0</v>
      </c>
    </row>
    <row r="6912" spans="13:13" x14ac:dyDescent="0.25">
      <c r="M6912" s="34">
        <f t="shared" si="283"/>
        <v>0</v>
      </c>
    </row>
    <row r="6913" spans="13:13" x14ac:dyDescent="0.25">
      <c r="M6913" s="34">
        <f t="shared" si="283"/>
        <v>0</v>
      </c>
    </row>
    <row r="6914" spans="13:13" x14ac:dyDescent="0.25">
      <c r="M6914" s="34">
        <f t="shared" si="283"/>
        <v>0</v>
      </c>
    </row>
    <row r="6915" spans="13:13" x14ac:dyDescent="0.25">
      <c r="M6915" s="34">
        <f t="shared" ref="M6915:M6978" si="284">IF(AND(E6915="Chèque",G6915="RECETTE"),F6915,0)</f>
        <v>0</v>
      </c>
    </row>
    <row r="6916" spans="13:13" x14ac:dyDescent="0.25">
      <c r="M6916" s="34">
        <f t="shared" si="284"/>
        <v>0</v>
      </c>
    </row>
    <row r="6917" spans="13:13" x14ac:dyDescent="0.25">
      <c r="M6917" s="34">
        <f t="shared" si="284"/>
        <v>0</v>
      </c>
    </row>
    <row r="6918" spans="13:13" x14ac:dyDescent="0.25">
      <c r="M6918" s="34">
        <f t="shared" si="284"/>
        <v>0</v>
      </c>
    </row>
    <row r="6919" spans="13:13" x14ac:dyDescent="0.25">
      <c r="M6919" s="34">
        <f t="shared" si="284"/>
        <v>0</v>
      </c>
    </row>
    <row r="6920" spans="13:13" x14ac:dyDescent="0.25">
      <c r="M6920" s="34">
        <f t="shared" si="284"/>
        <v>0</v>
      </c>
    </row>
    <row r="6921" spans="13:13" x14ac:dyDescent="0.25">
      <c r="M6921" s="34">
        <f t="shared" si="284"/>
        <v>0</v>
      </c>
    </row>
    <row r="6922" spans="13:13" x14ac:dyDescent="0.25">
      <c r="M6922" s="34">
        <f t="shared" si="284"/>
        <v>0</v>
      </c>
    </row>
    <row r="6923" spans="13:13" x14ac:dyDescent="0.25">
      <c r="M6923" s="34">
        <f t="shared" si="284"/>
        <v>0</v>
      </c>
    </row>
    <row r="6924" spans="13:13" x14ac:dyDescent="0.25">
      <c r="M6924" s="34">
        <f t="shared" si="284"/>
        <v>0</v>
      </c>
    </row>
    <row r="6925" spans="13:13" x14ac:dyDescent="0.25">
      <c r="M6925" s="34">
        <f t="shared" si="284"/>
        <v>0</v>
      </c>
    </row>
    <row r="6926" spans="13:13" x14ac:dyDescent="0.25">
      <c r="M6926" s="34">
        <f t="shared" si="284"/>
        <v>0</v>
      </c>
    </row>
    <row r="6927" spans="13:13" x14ac:dyDescent="0.25">
      <c r="M6927" s="34">
        <f t="shared" si="284"/>
        <v>0</v>
      </c>
    </row>
    <row r="6928" spans="13:13" x14ac:dyDescent="0.25">
      <c r="M6928" s="34">
        <f t="shared" si="284"/>
        <v>0</v>
      </c>
    </row>
    <row r="6929" spans="13:13" x14ac:dyDescent="0.25">
      <c r="M6929" s="34">
        <f t="shared" si="284"/>
        <v>0</v>
      </c>
    </row>
    <row r="6930" spans="13:13" x14ac:dyDescent="0.25">
      <c r="M6930" s="34">
        <f t="shared" si="284"/>
        <v>0</v>
      </c>
    </row>
    <row r="6931" spans="13:13" x14ac:dyDescent="0.25">
      <c r="M6931" s="34">
        <f t="shared" si="284"/>
        <v>0</v>
      </c>
    </row>
    <row r="6932" spans="13:13" x14ac:dyDescent="0.25">
      <c r="M6932" s="34">
        <f t="shared" si="284"/>
        <v>0</v>
      </c>
    </row>
    <row r="6933" spans="13:13" x14ac:dyDescent="0.25">
      <c r="M6933" s="34">
        <f t="shared" si="284"/>
        <v>0</v>
      </c>
    </row>
    <row r="6934" spans="13:13" x14ac:dyDescent="0.25">
      <c r="M6934" s="34">
        <f t="shared" si="284"/>
        <v>0</v>
      </c>
    </row>
    <row r="6935" spans="13:13" x14ac:dyDescent="0.25">
      <c r="M6935" s="34">
        <f t="shared" si="284"/>
        <v>0</v>
      </c>
    </row>
    <row r="6936" spans="13:13" x14ac:dyDescent="0.25">
      <c r="M6936" s="34">
        <f t="shared" si="284"/>
        <v>0</v>
      </c>
    </row>
    <row r="6937" spans="13:13" x14ac:dyDescent="0.25">
      <c r="M6937" s="34">
        <f t="shared" si="284"/>
        <v>0</v>
      </c>
    </row>
    <row r="6938" spans="13:13" x14ac:dyDescent="0.25">
      <c r="M6938" s="34">
        <f t="shared" si="284"/>
        <v>0</v>
      </c>
    </row>
    <row r="6939" spans="13:13" x14ac:dyDescent="0.25">
      <c r="M6939" s="34">
        <f t="shared" si="284"/>
        <v>0</v>
      </c>
    </row>
    <row r="6940" spans="13:13" x14ac:dyDescent="0.25">
      <c r="M6940" s="34">
        <f t="shared" si="284"/>
        <v>0</v>
      </c>
    </row>
    <row r="6941" spans="13:13" x14ac:dyDescent="0.25">
      <c r="M6941" s="34">
        <f t="shared" si="284"/>
        <v>0</v>
      </c>
    </row>
    <row r="6942" spans="13:13" x14ac:dyDescent="0.25">
      <c r="M6942" s="34">
        <f t="shared" si="284"/>
        <v>0</v>
      </c>
    </row>
    <row r="6943" spans="13:13" x14ac:dyDescent="0.25">
      <c r="M6943" s="34">
        <f t="shared" si="284"/>
        <v>0</v>
      </c>
    </row>
    <row r="6944" spans="13:13" x14ac:dyDescent="0.25">
      <c r="M6944" s="34">
        <f t="shared" si="284"/>
        <v>0</v>
      </c>
    </row>
    <row r="6945" spans="13:13" x14ac:dyDescent="0.25">
      <c r="M6945" s="34">
        <f t="shared" si="284"/>
        <v>0</v>
      </c>
    </row>
    <row r="6946" spans="13:13" x14ac:dyDescent="0.25">
      <c r="M6946" s="34">
        <f t="shared" si="284"/>
        <v>0</v>
      </c>
    </row>
    <row r="6947" spans="13:13" x14ac:dyDescent="0.25">
      <c r="M6947" s="34">
        <f t="shared" si="284"/>
        <v>0</v>
      </c>
    </row>
    <row r="6948" spans="13:13" x14ac:dyDescent="0.25">
      <c r="M6948" s="34">
        <f t="shared" si="284"/>
        <v>0</v>
      </c>
    </row>
    <row r="6949" spans="13:13" x14ac:dyDescent="0.25">
      <c r="M6949" s="34">
        <f t="shared" si="284"/>
        <v>0</v>
      </c>
    </row>
    <row r="6950" spans="13:13" x14ac:dyDescent="0.25">
      <c r="M6950" s="34">
        <f t="shared" si="284"/>
        <v>0</v>
      </c>
    </row>
    <row r="6951" spans="13:13" x14ac:dyDescent="0.25">
      <c r="M6951" s="34">
        <f t="shared" si="284"/>
        <v>0</v>
      </c>
    </row>
    <row r="6952" spans="13:13" x14ac:dyDescent="0.25">
      <c r="M6952" s="34">
        <f t="shared" si="284"/>
        <v>0</v>
      </c>
    </row>
    <row r="6953" spans="13:13" x14ac:dyDescent="0.25">
      <c r="M6953" s="34">
        <f t="shared" si="284"/>
        <v>0</v>
      </c>
    </row>
    <row r="6954" spans="13:13" x14ac:dyDescent="0.25">
      <c r="M6954" s="34">
        <f t="shared" si="284"/>
        <v>0</v>
      </c>
    </row>
    <row r="6955" spans="13:13" x14ac:dyDescent="0.25">
      <c r="M6955" s="34">
        <f t="shared" si="284"/>
        <v>0</v>
      </c>
    </row>
    <row r="6956" spans="13:13" x14ac:dyDescent="0.25">
      <c r="M6956" s="34">
        <f t="shared" si="284"/>
        <v>0</v>
      </c>
    </row>
    <row r="6957" spans="13:13" x14ac:dyDescent="0.25">
      <c r="M6957" s="34">
        <f t="shared" si="284"/>
        <v>0</v>
      </c>
    </row>
    <row r="6958" spans="13:13" x14ac:dyDescent="0.25">
      <c r="M6958" s="34">
        <f t="shared" si="284"/>
        <v>0</v>
      </c>
    </row>
    <row r="6959" spans="13:13" x14ac:dyDescent="0.25">
      <c r="M6959" s="34">
        <f t="shared" si="284"/>
        <v>0</v>
      </c>
    </row>
    <row r="6960" spans="13:13" x14ac:dyDescent="0.25">
      <c r="M6960" s="34">
        <f t="shared" si="284"/>
        <v>0</v>
      </c>
    </row>
    <row r="6961" spans="13:13" x14ac:dyDescent="0.25">
      <c r="M6961" s="34">
        <f t="shared" si="284"/>
        <v>0</v>
      </c>
    </row>
    <row r="6962" spans="13:13" x14ac:dyDescent="0.25">
      <c r="M6962" s="34">
        <f t="shared" si="284"/>
        <v>0</v>
      </c>
    </row>
    <row r="6963" spans="13:13" x14ac:dyDescent="0.25">
      <c r="M6963" s="34">
        <f t="shared" si="284"/>
        <v>0</v>
      </c>
    </row>
    <row r="6964" spans="13:13" x14ac:dyDescent="0.25">
      <c r="M6964" s="34">
        <f t="shared" si="284"/>
        <v>0</v>
      </c>
    </row>
    <row r="6965" spans="13:13" x14ac:dyDescent="0.25">
      <c r="M6965" s="34">
        <f t="shared" si="284"/>
        <v>0</v>
      </c>
    </row>
    <row r="6966" spans="13:13" x14ac:dyDescent="0.25">
      <c r="M6966" s="34">
        <f t="shared" si="284"/>
        <v>0</v>
      </c>
    </row>
    <row r="6967" spans="13:13" x14ac:dyDescent="0.25">
      <c r="M6967" s="34">
        <f t="shared" si="284"/>
        <v>0</v>
      </c>
    </row>
    <row r="6968" spans="13:13" x14ac:dyDescent="0.25">
      <c r="M6968" s="34">
        <f t="shared" si="284"/>
        <v>0</v>
      </c>
    </row>
    <row r="6969" spans="13:13" x14ac:dyDescent="0.25">
      <c r="M6969" s="34">
        <f t="shared" si="284"/>
        <v>0</v>
      </c>
    </row>
    <row r="6970" spans="13:13" x14ac:dyDescent="0.25">
      <c r="M6970" s="34">
        <f t="shared" si="284"/>
        <v>0</v>
      </c>
    </row>
    <row r="6971" spans="13:13" x14ac:dyDescent="0.25">
      <c r="M6971" s="34">
        <f t="shared" si="284"/>
        <v>0</v>
      </c>
    </row>
    <row r="6972" spans="13:13" x14ac:dyDescent="0.25">
      <c r="M6972" s="34">
        <f t="shared" si="284"/>
        <v>0</v>
      </c>
    </row>
    <row r="6973" spans="13:13" x14ac:dyDescent="0.25">
      <c r="M6973" s="34">
        <f t="shared" si="284"/>
        <v>0</v>
      </c>
    </row>
    <row r="6974" spans="13:13" x14ac:dyDescent="0.25">
      <c r="M6974" s="34">
        <f t="shared" si="284"/>
        <v>0</v>
      </c>
    </row>
    <row r="6975" spans="13:13" x14ac:dyDescent="0.25">
      <c r="M6975" s="34">
        <f t="shared" si="284"/>
        <v>0</v>
      </c>
    </row>
    <row r="6976" spans="13:13" x14ac:dyDescent="0.25">
      <c r="M6976" s="34">
        <f t="shared" si="284"/>
        <v>0</v>
      </c>
    </row>
    <row r="6977" spans="13:13" x14ac:dyDescent="0.25">
      <c r="M6977" s="34">
        <f t="shared" si="284"/>
        <v>0</v>
      </c>
    </row>
    <row r="6978" spans="13:13" x14ac:dyDescent="0.25">
      <c r="M6978" s="34">
        <f t="shared" si="284"/>
        <v>0</v>
      </c>
    </row>
    <row r="6979" spans="13:13" x14ac:dyDescent="0.25">
      <c r="M6979" s="34">
        <f t="shared" ref="M6979:M7042" si="285">IF(AND(E6979="Chèque",G6979="RECETTE"),F6979,0)</f>
        <v>0</v>
      </c>
    </row>
    <row r="6980" spans="13:13" x14ac:dyDescent="0.25">
      <c r="M6980" s="34">
        <f t="shared" si="285"/>
        <v>0</v>
      </c>
    </row>
    <row r="6981" spans="13:13" x14ac:dyDescent="0.25">
      <c r="M6981" s="34">
        <f t="shared" si="285"/>
        <v>0</v>
      </c>
    </row>
    <row r="6982" spans="13:13" x14ac:dyDescent="0.25">
      <c r="M6982" s="34">
        <f t="shared" si="285"/>
        <v>0</v>
      </c>
    </row>
    <row r="6983" spans="13:13" x14ac:dyDescent="0.25">
      <c r="M6983" s="34">
        <f t="shared" si="285"/>
        <v>0</v>
      </c>
    </row>
    <row r="6984" spans="13:13" x14ac:dyDescent="0.25">
      <c r="M6984" s="34">
        <f t="shared" si="285"/>
        <v>0</v>
      </c>
    </row>
    <row r="6985" spans="13:13" x14ac:dyDescent="0.25">
      <c r="M6985" s="34">
        <f t="shared" si="285"/>
        <v>0</v>
      </c>
    </row>
    <row r="6986" spans="13:13" x14ac:dyDescent="0.25">
      <c r="M6986" s="34">
        <f t="shared" si="285"/>
        <v>0</v>
      </c>
    </row>
    <row r="6987" spans="13:13" x14ac:dyDescent="0.25">
      <c r="M6987" s="34">
        <f t="shared" si="285"/>
        <v>0</v>
      </c>
    </row>
    <row r="6988" spans="13:13" x14ac:dyDescent="0.25">
      <c r="M6988" s="34">
        <f t="shared" si="285"/>
        <v>0</v>
      </c>
    </row>
    <row r="6989" spans="13:13" x14ac:dyDescent="0.25">
      <c r="M6989" s="34">
        <f t="shared" si="285"/>
        <v>0</v>
      </c>
    </row>
    <row r="6990" spans="13:13" x14ac:dyDescent="0.25">
      <c r="M6990" s="34">
        <f t="shared" si="285"/>
        <v>0</v>
      </c>
    </row>
    <row r="6991" spans="13:13" x14ac:dyDescent="0.25">
      <c r="M6991" s="34">
        <f t="shared" si="285"/>
        <v>0</v>
      </c>
    </row>
    <row r="6992" spans="13:13" x14ac:dyDescent="0.25">
      <c r="M6992" s="34">
        <f t="shared" si="285"/>
        <v>0</v>
      </c>
    </row>
    <row r="6993" spans="13:13" x14ac:dyDescent="0.25">
      <c r="M6993" s="34">
        <f t="shared" si="285"/>
        <v>0</v>
      </c>
    </row>
    <row r="6994" spans="13:13" x14ac:dyDescent="0.25">
      <c r="M6994" s="34">
        <f t="shared" si="285"/>
        <v>0</v>
      </c>
    </row>
    <row r="6995" spans="13:13" x14ac:dyDescent="0.25">
      <c r="M6995" s="34">
        <f t="shared" si="285"/>
        <v>0</v>
      </c>
    </row>
    <row r="6996" spans="13:13" x14ac:dyDescent="0.25">
      <c r="M6996" s="34">
        <f t="shared" si="285"/>
        <v>0</v>
      </c>
    </row>
    <row r="6997" spans="13:13" x14ac:dyDescent="0.25">
      <c r="M6997" s="34">
        <f t="shared" si="285"/>
        <v>0</v>
      </c>
    </row>
    <row r="6998" spans="13:13" x14ac:dyDescent="0.25">
      <c r="M6998" s="34">
        <f t="shared" si="285"/>
        <v>0</v>
      </c>
    </row>
    <row r="6999" spans="13:13" x14ac:dyDescent="0.25">
      <c r="M6999" s="34">
        <f t="shared" si="285"/>
        <v>0</v>
      </c>
    </row>
    <row r="7000" spans="13:13" x14ac:dyDescent="0.25">
      <c r="M7000" s="34">
        <f t="shared" si="285"/>
        <v>0</v>
      </c>
    </row>
    <row r="7001" spans="13:13" x14ac:dyDescent="0.25">
      <c r="M7001" s="34">
        <f t="shared" si="285"/>
        <v>0</v>
      </c>
    </row>
    <row r="7002" spans="13:13" x14ac:dyDescent="0.25">
      <c r="M7002" s="34">
        <f t="shared" si="285"/>
        <v>0</v>
      </c>
    </row>
    <row r="7003" spans="13:13" x14ac:dyDescent="0.25">
      <c r="M7003" s="34">
        <f t="shared" si="285"/>
        <v>0</v>
      </c>
    </row>
    <row r="7004" spans="13:13" x14ac:dyDescent="0.25">
      <c r="M7004" s="34">
        <f t="shared" si="285"/>
        <v>0</v>
      </c>
    </row>
    <row r="7005" spans="13:13" x14ac:dyDescent="0.25">
      <c r="M7005" s="34">
        <f t="shared" si="285"/>
        <v>0</v>
      </c>
    </row>
    <row r="7006" spans="13:13" x14ac:dyDescent="0.25">
      <c r="M7006" s="34">
        <f t="shared" si="285"/>
        <v>0</v>
      </c>
    </row>
    <row r="7007" spans="13:13" x14ac:dyDescent="0.25">
      <c r="M7007" s="34">
        <f t="shared" si="285"/>
        <v>0</v>
      </c>
    </row>
    <row r="7008" spans="13:13" x14ac:dyDescent="0.25">
      <c r="M7008" s="34">
        <f t="shared" si="285"/>
        <v>0</v>
      </c>
    </row>
    <row r="7009" spans="13:13" x14ac:dyDescent="0.25">
      <c r="M7009" s="34">
        <f t="shared" si="285"/>
        <v>0</v>
      </c>
    </row>
    <row r="7010" spans="13:13" x14ac:dyDescent="0.25">
      <c r="M7010" s="34">
        <f t="shared" si="285"/>
        <v>0</v>
      </c>
    </row>
    <row r="7011" spans="13:13" x14ac:dyDescent="0.25">
      <c r="M7011" s="34">
        <f t="shared" si="285"/>
        <v>0</v>
      </c>
    </row>
    <row r="7012" spans="13:13" x14ac:dyDescent="0.25">
      <c r="M7012" s="34">
        <f t="shared" si="285"/>
        <v>0</v>
      </c>
    </row>
    <row r="7013" spans="13:13" x14ac:dyDescent="0.25">
      <c r="M7013" s="34">
        <f t="shared" si="285"/>
        <v>0</v>
      </c>
    </row>
    <row r="7014" spans="13:13" x14ac:dyDescent="0.25">
      <c r="M7014" s="34">
        <f t="shared" si="285"/>
        <v>0</v>
      </c>
    </row>
    <row r="7015" spans="13:13" x14ac:dyDescent="0.25">
      <c r="M7015" s="34">
        <f t="shared" si="285"/>
        <v>0</v>
      </c>
    </row>
    <row r="7016" spans="13:13" x14ac:dyDescent="0.25">
      <c r="M7016" s="34">
        <f t="shared" si="285"/>
        <v>0</v>
      </c>
    </row>
    <row r="7017" spans="13:13" x14ac:dyDescent="0.25">
      <c r="M7017" s="34">
        <f t="shared" si="285"/>
        <v>0</v>
      </c>
    </row>
    <row r="7018" spans="13:13" x14ac:dyDescent="0.25">
      <c r="M7018" s="34">
        <f t="shared" si="285"/>
        <v>0</v>
      </c>
    </row>
    <row r="7019" spans="13:13" x14ac:dyDescent="0.25">
      <c r="M7019" s="34">
        <f t="shared" si="285"/>
        <v>0</v>
      </c>
    </row>
    <row r="7020" spans="13:13" x14ac:dyDescent="0.25">
      <c r="M7020" s="34">
        <f t="shared" si="285"/>
        <v>0</v>
      </c>
    </row>
    <row r="7021" spans="13:13" x14ac:dyDescent="0.25">
      <c r="M7021" s="34">
        <f t="shared" si="285"/>
        <v>0</v>
      </c>
    </row>
    <row r="7022" spans="13:13" x14ac:dyDescent="0.25">
      <c r="M7022" s="34">
        <f t="shared" si="285"/>
        <v>0</v>
      </c>
    </row>
    <row r="7023" spans="13:13" x14ac:dyDescent="0.25">
      <c r="M7023" s="34">
        <f t="shared" si="285"/>
        <v>0</v>
      </c>
    </row>
    <row r="7024" spans="13:13" x14ac:dyDescent="0.25">
      <c r="M7024" s="34">
        <f t="shared" si="285"/>
        <v>0</v>
      </c>
    </row>
    <row r="7025" spans="13:13" x14ac:dyDescent="0.25">
      <c r="M7025" s="34">
        <f t="shared" si="285"/>
        <v>0</v>
      </c>
    </row>
    <row r="7026" spans="13:13" x14ac:dyDescent="0.25">
      <c r="M7026" s="34">
        <f t="shared" si="285"/>
        <v>0</v>
      </c>
    </row>
    <row r="7027" spans="13:13" x14ac:dyDescent="0.25">
      <c r="M7027" s="34">
        <f t="shared" si="285"/>
        <v>0</v>
      </c>
    </row>
    <row r="7028" spans="13:13" x14ac:dyDescent="0.25">
      <c r="M7028" s="34">
        <f t="shared" si="285"/>
        <v>0</v>
      </c>
    </row>
    <row r="7029" spans="13:13" x14ac:dyDescent="0.25">
      <c r="M7029" s="34">
        <f t="shared" si="285"/>
        <v>0</v>
      </c>
    </row>
    <row r="7030" spans="13:13" x14ac:dyDescent="0.25">
      <c r="M7030" s="34">
        <f t="shared" si="285"/>
        <v>0</v>
      </c>
    </row>
    <row r="7031" spans="13:13" x14ac:dyDescent="0.25">
      <c r="M7031" s="34">
        <f t="shared" si="285"/>
        <v>0</v>
      </c>
    </row>
    <row r="7032" spans="13:13" x14ac:dyDescent="0.25">
      <c r="M7032" s="34">
        <f t="shared" si="285"/>
        <v>0</v>
      </c>
    </row>
    <row r="7033" spans="13:13" x14ac:dyDescent="0.25">
      <c r="M7033" s="34">
        <f t="shared" si="285"/>
        <v>0</v>
      </c>
    </row>
    <row r="7034" spans="13:13" x14ac:dyDescent="0.25">
      <c r="M7034" s="34">
        <f t="shared" si="285"/>
        <v>0</v>
      </c>
    </row>
    <row r="7035" spans="13:13" x14ac:dyDescent="0.25">
      <c r="M7035" s="34">
        <f t="shared" si="285"/>
        <v>0</v>
      </c>
    </row>
    <row r="7036" spans="13:13" x14ac:dyDescent="0.25">
      <c r="M7036" s="34">
        <f t="shared" si="285"/>
        <v>0</v>
      </c>
    </row>
    <row r="7037" spans="13:13" x14ac:dyDescent="0.25">
      <c r="M7037" s="34">
        <f t="shared" si="285"/>
        <v>0</v>
      </c>
    </row>
    <row r="7038" spans="13:13" x14ac:dyDescent="0.25">
      <c r="M7038" s="34">
        <f t="shared" si="285"/>
        <v>0</v>
      </c>
    </row>
    <row r="7039" spans="13:13" x14ac:dyDescent="0.25">
      <c r="M7039" s="34">
        <f t="shared" si="285"/>
        <v>0</v>
      </c>
    </row>
    <row r="7040" spans="13:13" x14ac:dyDescent="0.25">
      <c r="M7040" s="34">
        <f t="shared" si="285"/>
        <v>0</v>
      </c>
    </row>
    <row r="7041" spans="13:13" x14ac:dyDescent="0.25">
      <c r="M7041" s="34">
        <f t="shared" si="285"/>
        <v>0</v>
      </c>
    </row>
    <row r="7042" spans="13:13" x14ac:dyDescent="0.25">
      <c r="M7042" s="34">
        <f t="shared" si="285"/>
        <v>0</v>
      </c>
    </row>
    <row r="7043" spans="13:13" x14ac:dyDescent="0.25">
      <c r="M7043" s="34">
        <f t="shared" ref="M7043:M7106" si="286">IF(AND(E7043="Chèque",G7043="RECETTE"),F7043,0)</f>
        <v>0</v>
      </c>
    </row>
    <row r="7044" spans="13:13" x14ac:dyDescent="0.25">
      <c r="M7044" s="34">
        <f t="shared" si="286"/>
        <v>0</v>
      </c>
    </row>
    <row r="7045" spans="13:13" x14ac:dyDescent="0.25">
      <c r="M7045" s="34">
        <f t="shared" si="286"/>
        <v>0</v>
      </c>
    </row>
    <row r="7046" spans="13:13" x14ac:dyDescent="0.25">
      <c r="M7046" s="34">
        <f t="shared" si="286"/>
        <v>0</v>
      </c>
    </row>
    <row r="7047" spans="13:13" x14ac:dyDescent="0.25">
      <c r="M7047" s="34">
        <f t="shared" si="286"/>
        <v>0</v>
      </c>
    </row>
    <row r="7048" spans="13:13" x14ac:dyDescent="0.25">
      <c r="M7048" s="34">
        <f t="shared" si="286"/>
        <v>0</v>
      </c>
    </row>
    <row r="7049" spans="13:13" x14ac:dyDescent="0.25">
      <c r="M7049" s="34">
        <f t="shared" si="286"/>
        <v>0</v>
      </c>
    </row>
    <row r="7050" spans="13:13" x14ac:dyDescent="0.25">
      <c r="M7050" s="34">
        <f t="shared" si="286"/>
        <v>0</v>
      </c>
    </row>
    <row r="7051" spans="13:13" x14ac:dyDescent="0.25">
      <c r="M7051" s="34">
        <f t="shared" si="286"/>
        <v>0</v>
      </c>
    </row>
    <row r="7052" spans="13:13" x14ac:dyDescent="0.25">
      <c r="M7052" s="34">
        <f t="shared" si="286"/>
        <v>0</v>
      </c>
    </row>
    <row r="7053" spans="13:13" x14ac:dyDescent="0.25">
      <c r="M7053" s="34">
        <f t="shared" si="286"/>
        <v>0</v>
      </c>
    </row>
    <row r="7054" spans="13:13" x14ac:dyDescent="0.25">
      <c r="M7054" s="34">
        <f t="shared" si="286"/>
        <v>0</v>
      </c>
    </row>
    <row r="7055" spans="13:13" x14ac:dyDescent="0.25">
      <c r="M7055" s="34">
        <f t="shared" si="286"/>
        <v>0</v>
      </c>
    </row>
    <row r="7056" spans="13:13" x14ac:dyDescent="0.25">
      <c r="M7056" s="34">
        <f t="shared" si="286"/>
        <v>0</v>
      </c>
    </row>
    <row r="7057" spans="13:13" x14ac:dyDescent="0.25">
      <c r="M7057" s="34">
        <f t="shared" si="286"/>
        <v>0</v>
      </c>
    </row>
    <row r="7058" spans="13:13" x14ac:dyDescent="0.25">
      <c r="M7058" s="34">
        <f t="shared" si="286"/>
        <v>0</v>
      </c>
    </row>
    <row r="7059" spans="13:13" x14ac:dyDescent="0.25">
      <c r="M7059" s="34">
        <f t="shared" si="286"/>
        <v>0</v>
      </c>
    </row>
    <row r="7060" spans="13:13" x14ac:dyDescent="0.25">
      <c r="M7060" s="34">
        <f t="shared" si="286"/>
        <v>0</v>
      </c>
    </row>
    <row r="7061" spans="13:13" x14ac:dyDescent="0.25">
      <c r="M7061" s="34">
        <f t="shared" si="286"/>
        <v>0</v>
      </c>
    </row>
    <row r="7062" spans="13:13" x14ac:dyDescent="0.25">
      <c r="M7062" s="34">
        <f t="shared" si="286"/>
        <v>0</v>
      </c>
    </row>
    <row r="7063" spans="13:13" x14ac:dyDescent="0.25">
      <c r="M7063" s="34">
        <f t="shared" si="286"/>
        <v>0</v>
      </c>
    </row>
    <row r="7064" spans="13:13" x14ac:dyDescent="0.25">
      <c r="M7064" s="34">
        <f t="shared" si="286"/>
        <v>0</v>
      </c>
    </row>
    <row r="7065" spans="13:13" x14ac:dyDescent="0.25">
      <c r="M7065" s="34">
        <f t="shared" si="286"/>
        <v>0</v>
      </c>
    </row>
    <row r="7066" spans="13:13" x14ac:dyDescent="0.25">
      <c r="M7066" s="34">
        <f t="shared" si="286"/>
        <v>0</v>
      </c>
    </row>
    <row r="7067" spans="13:13" x14ac:dyDescent="0.25">
      <c r="M7067" s="34">
        <f t="shared" si="286"/>
        <v>0</v>
      </c>
    </row>
    <row r="7068" spans="13:13" x14ac:dyDescent="0.25">
      <c r="M7068" s="34">
        <f t="shared" si="286"/>
        <v>0</v>
      </c>
    </row>
    <row r="7069" spans="13:13" x14ac:dyDescent="0.25">
      <c r="M7069" s="34">
        <f t="shared" si="286"/>
        <v>0</v>
      </c>
    </row>
    <row r="7070" spans="13:13" x14ac:dyDescent="0.25">
      <c r="M7070" s="34">
        <f t="shared" si="286"/>
        <v>0</v>
      </c>
    </row>
    <row r="7071" spans="13:13" x14ac:dyDescent="0.25">
      <c r="M7071" s="34">
        <f t="shared" si="286"/>
        <v>0</v>
      </c>
    </row>
    <row r="7072" spans="13:13" x14ac:dyDescent="0.25">
      <c r="M7072" s="34">
        <f t="shared" si="286"/>
        <v>0</v>
      </c>
    </row>
    <row r="7073" spans="13:13" x14ac:dyDescent="0.25">
      <c r="M7073" s="34">
        <f t="shared" si="286"/>
        <v>0</v>
      </c>
    </row>
    <row r="7074" spans="13:13" x14ac:dyDescent="0.25">
      <c r="M7074" s="34">
        <f t="shared" si="286"/>
        <v>0</v>
      </c>
    </row>
    <row r="7075" spans="13:13" x14ac:dyDescent="0.25">
      <c r="M7075" s="34">
        <f t="shared" si="286"/>
        <v>0</v>
      </c>
    </row>
    <row r="7076" spans="13:13" x14ac:dyDescent="0.25">
      <c r="M7076" s="34">
        <f t="shared" si="286"/>
        <v>0</v>
      </c>
    </row>
    <row r="7077" spans="13:13" x14ac:dyDescent="0.25">
      <c r="M7077" s="34">
        <f t="shared" si="286"/>
        <v>0</v>
      </c>
    </row>
    <row r="7078" spans="13:13" x14ac:dyDescent="0.25">
      <c r="M7078" s="34">
        <f t="shared" si="286"/>
        <v>0</v>
      </c>
    </row>
    <row r="7079" spans="13:13" x14ac:dyDescent="0.25">
      <c r="M7079" s="34">
        <f t="shared" si="286"/>
        <v>0</v>
      </c>
    </row>
    <row r="7080" spans="13:13" x14ac:dyDescent="0.25">
      <c r="M7080" s="34">
        <f t="shared" si="286"/>
        <v>0</v>
      </c>
    </row>
    <row r="7081" spans="13:13" x14ac:dyDescent="0.25">
      <c r="M7081" s="34">
        <f t="shared" si="286"/>
        <v>0</v>
      </c>
    </row>
    <row r="7082" spans="13:13" x14ac:dyDescent="0.25">
      <c r="M7082" s="34">
        <f t="shared" si="286"/>
        <v>0</v>
      </c>
    </row>
    <row r="7083" spans="13:13" x14ac:dyDescent="0.25">
      <c r="M7083" s="34">
        <f t="shared" si="286"/>
        <v>0</v>
      </c>
    </row>
    <row r="7084" spans="13:13" x14ac:dyDescent="0.25">
      <c r="M7084" s="34">
        <f t="shared" si="286"/>
        <v>0</v>
      </c>
    </row>
    <row r="7085" spans="13:13" x14ac:dyDescent="0.25">
      <c r="M7085" s="34">
        <f t="shared" si="286"/>
        <v>0</v>
      </c>
    </row>
    <row r="7086" spans="13:13" x14ac:dyDescent="0.25">
      <c r="M7086" s="34">
        <f t="shared" si="286"/>
        <v>0</v>
      </c>
    </row>
    <row r="7087" spans="13:13" x14ac:dyDescent="0.25">
      <c r="M7087" s="34">
        <f t="shared" si="286"/>
        <v>0</v>
      </c>
    </row>
    <row r="7088" spans="13:13" x14ac:dyDescent="0.25">
      <c r="M7088" s="34">
        <f t="shared" si="286"/>
        <v>0</v>
      </c>
    </row>
    <row r="7089" spans="13:13" x14ac:dyDescent="0.25">
      <c r="M7089" s="34">
        <f t="shared" si="286"/>
        <v>0</v>
      </c>
    </row>
    <row r="7090" spans="13:13" x14ac:dyDescent="0.25">
      <c r="M7090" s="34">
        <f t="shared" si="286"/>
        <v>0</v>
      </c>
    </row>
    <row r="7091" spans="13:13" x14ac:dyDescent="0.25">
      <c r="M7091" s="34">
        <f t="shared" si="286"/>
        <v>0</v>
      </c>
    </row>
    <row r="7092" spans="13:13" x14ac:dyDescent="0.25">
      <c r="M7092" s="34">
        <f t="shared" si="286"/>
        <v>0</v>
      </c>
    </row>
    <row r="7093" spans="13:13" x14ac:dyDescent="0.25">
      <c r="M7093" s="34">
        <f t="shared" si="286"/>
        <v>0</v>
      </c>
    </row>
    <row r="7094" spans="13:13" x14ac:dyDescent="0.25">
      <c r="M7094" s="34">
        <f t="shared" si="286"/>
        <v>0</v>
      </c>
    </row>
    <row r="7095" spans="13:13" x14ac:dyDescent="0.25">
      <c r="M7095" s="34">
        <f t="shared" si="286"/>
        <v>0</v>
      </c>
    </row>
    <row r="7096" spans="13:13" x14ac:dyDescent="0.25">
      <c r="M7096" s="34">
        <f t="shared" si="286"/>
        <v>0</v>
      </c>
    </row>
    <row r="7097" spans="13:13" x14ac:dyDescent="0.25">
      <c r="M7097" s="34">
        <f t="shared" si="286"/>
        <v>0</v>
      </c>
    </row>
    <row r="7098" spans="13:13" x14ac:dyDescent="0.25">
      <c r="M7098" s="34">
        <f t="shared" si="286"/>
        <v>0</v>
      </c>
    </row>
    <row r="7099" spans="13:13" x14ac:dyDescent="0.25">
      <c r="M7099" s="34">
        <f t="shared" si="286"/>
        <v>0</v>
      </c>
    </row>
    <row r="7100" spans="13:13" x14ac:dyDescent="0.25">
      <c r="M7100" s="34">
        <f t="shared" si="286"/>
        <v>0</v>
      </c>
    </row>
    <row r="7101" spans="13:13" x14ac:dyDescent="0.25">
      <c r="M7101" s="34">
        <f t="shared" si="286"/>
        <v>0</v>
      </c>
    </row>
    <row r="7102" spans="13:13" x14ac:dyDescent="0.25">
      <c r="M7102" s="34">
        <f t="shared" si="286"/>
        <v>0</v>
      </c>
    </row>
    <row r="7103" spans="13:13" x14ac:dyDescent="0.25">
      <c r="M7103" s="34">
        <f t="shared" si="286"/>
        <v>0</v>
      </c>
    </row>
    <row r="7104" spans="13:13" x14ac:dyDescent="0.25">
      <c r="M7104" s="34">
        <f t="shared" si="286"/>
        <v>0</v>
      </c>
    </row>
    <row r="7105" spans="13:13" x14ac:dyDescent="0.25">
      <c r="M7105" s="34">
        <f t="shared" si="286"/>
        <v>0</v>
      </c>
    </row>
    <row r="7106" spans="13:13" x14ac:dyDescent="0.25">
      <c r="M7106" s="34">
        <f t="shared" si="286"/>
        <v>0</v>
      </c>
    </row>
    <row r="7107" spans="13:13" x14ac:dyDescent="0.25">
      <c r="M7107" s="34">
        <f t="shared" ref="M7107:M7170" si="287">IF(AND(E7107="Chèque",G7107="RECETTE"),F7107,0)</f>
        <v>0</v>
      </c>
    </row>
    <row r="7108" spans="13:13" x14ac:dyDescent="0.25">
      <c r="M7108" s="34">
        <f t="shared" si="287"/>
        <v>0</v>
      </c>
    </row>
    <row r="7109" spans="13:13" x14ac:dyDescent="0.25">
      <c r="M7109" s="34">
        <f t="shared" si="287"/>
        <v>0</v>
      </c>
    </row>
    <row r="7110" spans="13:13" x14ac:dyDescent="0.25">
      <c r="M7110" s="34">
        <f t="shared" si="287"/>
        <v>0</v>
      </c>
    </row>
    <row r="7111" spans="13:13" x14ac:dyDescent="0.25">
      <c r="M7111" s="34">
        <f t="shared" si="287"/>
        <v>0</v>
      </c>
    </row>
    <row r="7112" spans="13:13" x14ac:dyDescent="0.25">
      <c r="M7112" s="34">
        <f t="shared" si="287"/>
        <v>0</v>
      </c>
    </row>
    <row r="7113" spans="13:13" x14ac:dyDescent="0.25">
      <c r="M7113" s="34">
        <f t="shared" si="287"/>
        <v>0</v>
      </c>
    </row>
    <row r="7114" spans="13:13" x14ac:dyDescent="0.25">
      <c r="M7114" s="34">
        <f t="shared" si="287"/>
        <v>0</v>
      </c>
    </row>
    <row r="7115" spans="13:13" x14ac:dyDescent="0.25">
      <c r="M7115" s="34">
        <f t="shared" si="287"/>
        <v>0</v>
      </c>
    </row>
    <row r="7116" spans="13:13" x14ac:dyDescent="0.25">
      <c r="M7116" s="34">
        <f t="shared" si="287"/>
        <v>0</v>
      </c>
    </row>
    <row r="7117" spans="13:13" x14ac:dyDescent="0.25">
      <c r="M7117" s="34">
        <f t="shared" si="287"/>
        <v>0</v>
      </c>
    </row>
    <row r="7118" spans="13:13" x14ac:dyDescent="0.25">
      <c r="M7118" s="34">
        <f t="shared" si="287"/>
        <v>0</v>
      </c>
    </row>
    <row r="7119" spans="13:13" x14ac:dyDescent="0.25">
      <c r="M7119" s="34">
        <f t="shared" si="287"/>
        <v>0</v>
      </c>
    </row>
    <row r="7120" spans="13:13" x14ac:dyDescent="0.25">
      <c r="M7120" s="34">
        <f t="shared" si="287"/>
        <v>0</v>
      </c>
    </row>
    <row r="7121" spans="13:13" x14ac:dyDescent="0.25">
      <c r="M7121" s="34">
        <f t="shared" si="287"/>
        <v>0</v>
      </c>
    </row>
    <row r="7122" spans="13:13" x14ac:dyDescent="0.25">
      <c r="M7122" s="34">
        <f t="shared" si="287"/>
        <v>0</v>
      </c>
    </row>
    <row r="7123" spans="13:13" x14ac:dyDescent="0.25">
      <c r="M7123" s="34">
        <f t="shared" si="287"/>
        <v>0</v>
      </c>
    </row>
    <row r="7124" spans="13:13" x14ac:dyDescent="0.25">
      <c r="M7124" s="34">
        <f t="shared" si="287"/>
        <v>0</v>
      </c>
    </row>
    <row r="7125" spans="13:13" x14ac:dyDescent="0.25">
      <c r="M7125" s="34">
        <f t="shared" si="287"/>
        <v>0</v>
      </c>
    </row>
    <row r="7126" spans="13:13" x14ac:dyDescent="0.25">
      <c r="M7126" s="34">
        <f t="shared" si="287"/>
        <v>0</v>
      </c>
    </row>
    <row r="7127" spans="13:13" x14ac:dyDescent="0.25">
      <c r="M7127" s="34">
        <f t="shared" si="287"/>
        <v>0</v>
      </c>
    </row>
    <row r="7128" spans="13:13" x14ac:dyDescent="0.25">
      <c r="M7128" s="34">
        <f t="shared" si="287"/>
        <v>0</v>
      </c>
    </row>
    <row r="7129" spans="13:13" x14ac:dyDescent="0.25">
      <c r="M7129" s="34">
        <f t="shared" si="287"/>
        <v>0</v>
      </c>
    </row>
    <row r="7130" spans="13:13" x14ac:dyDescent="0.25">
      <c r="M7130" s="34">
        <f t="shared" si="287"/>
        <v>0</v>
      </c>
    </row>
    <row r="7131" spans="13:13" x14ac:dyDescent="0.25">
      <c r="M7131" s="34">
        <f t="shared" si="287"/>
        <v>0</v>
      </c>
    </row>
    <row r="7132" spans="13:13" x14ac:dyDescent="0.25">
      <c r="M7132" s="34">
        <f t="shared" si="287"/>
        <v>0</v>
      </c>
    </row>
    <row r="7133" spans="13:13" x14ac:dyDescent="0.25">
      <c r="M7133" s="34">
        <f t="shared" si="287"/>
        <v>0</v>
      </c>
    </row>
    <row r="7134" spans="13:13" x14ac:dyDescent="0.25">
      <c r="M7134" s="34">
        <f t="shared" si="287"/>
        <v>0</v>
      </c>
    </row>
    <row r="7135" spans="13:13" x14ac:dyDescent="0.25">
      <c r="M7135" s="34">
        <f t="shared" si="287"/>
        <v>0</v>
      </c>
    </row>
    <row r="7136" spans="13:13" x14ac:dyDescent="0.25">
      <c r="M7136" s="34">
        <f t="shared" si="287"/>
        <v>0</v>
      </c>
    </row>
    <row r="7137" spans="13:13" x14ac:dyDescent="0.25">
      <c r="M7137" s="34">
        <f t="shared" si="287"/>
        <v>0</v>
      </c>
    </row>
    <row r="7138" spans="13:13" x14ac:dyDescent="0.25">
      <c r="M7138" s="34">
        <f t="shared" si="287"/>
        <v>0</v>
      </c>
    </row>
    <row r="7139" spans="13:13" x14ac:dyDescent="0.25">
      <c r="M7139" s="34">
        <f t="shared" si="287"/>
        <v>0</v>
      </c>
    </row>
    <row r="7140" spans="13:13" x14ac:dyDescent="0.25">
      <c r="M7140" s="34">
        <f t="shared" si="287"/>
        <v>0</v>
      </c>
    </row>
    <row r="7141" spans="13:13" x14ac:dyDescent="0.25">
      <c r="M7141" s="34">
        <f t="shared" si="287"/>
        <v>0</v>
      </c>
    </row>
    <row r="7142" spans="13:13" x14ac:dyDescent="0.25">
      <c r="M7142" s="34">
        <f t="shared" si="287"/>
        <v>0</v>
      </c>
    </row>
    <row r="7143" spans="13:13" x14ac:dyDescent="0.25">
      <c r="M7143" s="34">
        <f t="shared" si="287"/>
        <v>0</v>
      </c>
    </row>
    <row r="7144" spans="13:13" x14ac:dyDescent="0.25">
      <c r="M7144" s="34">
        <f t="shared" si="287"/>
        <v>0</v>
      </c>
    </row>
    <row r="7145" spans="13:13" x14ac:dyDescent="0.25">
      <c r="M7145" s="34">
        <f t="shared" si="287"/>
        <v>0</v>
      </c>
    </row>
    <row r="7146" spans="13:13" x14ac:dyDescent="0.25">
      <c r="M7146" s="34">
        <f t="shared" si="287"/>
        <v>0</v>
      </c>
    </row>
    <row r="7147" spans="13:13" x14ac:dyDescent="0.25">
      <c r="M7147" s="34">
        <f t="shared" si="287"/>
        <v>0</v>
      </c>
    </row>
    <row r="7148" spans="13:13" x14ac:dyDescent="0.25">
      <c r="M7148" s="34">
        <f t="shared" si="287"/>
        <v>0</v>
      </c>
    </row>
    <row r="7149" spans="13:13" x14ac:dyDescent="0.25">
      <c r="M7149" s="34">
        <f t="shared" si="287"/>
        <v>0</v>
      </c>
    </row>
    <row r="7150" spans="13:13" x14ac:dyDescent="0.25">
      <c r="M7150" s="34">
        <f t="shared" si="287"/>
        <v>0</v>
      </c>
    </row>
    <row r="7151" spans="13:13" x14ac:dyDescent="0.25">
      <c r="M7151" s="34">
        <f t="shared" si="287"/>
        <v>0</v>
      </c>
    </row>
    <row r="7152" spans="13:13" x14ac:dyDescent="0.25">
      <c r="M7152" s="34">
        <f t="shared" si="287"/>
        <v>0</v>
      </c>
    </row>
    <row r="7153" spans="13:13" x14ac:dyDescent="0.25">
      <c r="M7153" s="34">
        <f t="shared" si="287"/>
        <v>0</v>
      </c>
    </row>
    <row r="7154" spans="13:13" x14ac:dyDescent="0.25">
      <c r="M7154" s="34">
        <f t="shared" si="287"/>
        <v>0</v>
      </c>
    </row>
    <row r="7155" spans="13:13" x14ac:dyDescent="0.25">
      <c r="M7155" s="34">
        <f t="shared" si="287"/>
        <v>0</v>
      </c>
    </row>
    <row r="7156" spans="13:13" x14ac:dyDescent="0.25">
      <c r="M7156" s="34">
        <f t="shared" si="287"/>
        <v>0</v>
      </c>
    </row>
    <row r="7157" spans="13:13" x14ac:dyDescent="0.25">
      <c r="M7157" s="34">
        <f t="shared" si="287"/>
        <v>0</v>
      </c>
    </row>
    <row r="7158" spans="13:13" x14ac:dyDescent="0.25">
      <c r="M7158" s="34">
        <f t="shared" si="287"/>
        <v>0</v>
      </c>
    </row>
    <row r="7159" spans="13:13" x14ac:dyDescent="0.25">
      <c r="M7159" s="34">
        <f t="shared" si="287"/>
        <v>0</v>
      </c>
    </row>
    <row r="7160" spans="13:13" x14ac:dyDescent="0.25">
      <c r="M7160" s="34">
        <f t="shared" si="287"/>
        <v>0</v>
      </c>
    </row>
    <row r="7161" spans="13:13" x14ac:dyDescent="0.25">
      <c r="M7161" s="34">
        <f t="shared" si="287"/>
        <v>0</v>
      </c>
    </row>
    <row r="7162" spans="13:13" x14ac:dyDescent="0.25">
      <c r="M7162" s="34">
        <f t="shared" si="287"/>
        <v>0</v>
      </c>
    </row>
    <row r="7163" spans="13:13" x14ac:dyDescent="0.25">
      <c r="M7163" s="34">
        <f t="shared" si="287"/>
        <v>0</v>
      </c>
    </row>
    <row r="7164" spans="13:13" x14ac:dyDescent="0.25">
      <c r="M7164" s="34">
        <f t="shared" si="287"/>
        <v>0</v>
      </c>
    </row>
    <row r="7165" spans="13:13" x14ac:dyDescent="0.25">
      <c r="M7165" s="34">
        <f t="shared" si="287"/>
        <v>0</v>
      </c>
    </row>
    <row r="7166" spans="13:13" x14ac:dyDescent="0.25">
      <c r="M7166" s="34">
        <f t="shared" si="287"/>
        <v>0</v>
      </c>
    </row>
    <row r="7167" spans="13:13" x14ac:dyDescent="0.25">
      <c r="M7167" s="34">
        <f t="shared" si="287"/>
        <v>0</v>
      </c>
    </row>
    <row r="7168" spans="13:13" x14ac:dyDescent="0.25">
      <c r="M7168" s="34">
        <f t="shared" si="287"/>
        <v>0</v>
      </c>
    </row>
    <row r="7169" spans="13:13" x14ac:dyDescent="0.25">
      <c r="M7169" s="34">
        <f t="shared" si="287"/>
        <v>0</v>
      </c>
    </row>
    <row r="7170" spans="13:13" x14ac:dyDescent="0.25">
      <c r="M7170" s="34">
        <f t="shared" si="287"/>
        <v>0</v>
      </c>
    </row>
    <row r="7171" spans="13:13" x14ac:dyDescent="0.25">
      <c r="M7171" s="34">
        <f t="shared" ref="M7171:M7234" si="288">IF(AND(E7171="Chèque",G7171="RECETTE"),F7171,0)</f>
        <v>0</v>
      </c>
    </row>
    <row r="7172" spans="13:13" x14ac:dyDescent="0.25">
      <c r="M7172" s="34">
        <f t="shared" si="288"/>
        <v>0</v>
      </c>
    </row>
    <row r="7173" spans="13:13" x14ac:dyDescent="0.25">
      <c r="M7173" s="34">
        <f t="shared" si="288"/>
        <v>0</v>
      </c>
    </row>
    <row r="7174" spans="13:13" x14ac:dyDescent="0.25">
      <c r="M7174" s="34">
        <f t="shared" si="288"/>
        <v>0</v>
      </c>
    </row>
    <row r="7175" spans="13:13" x14ac:dyDescent="0.25">
      <c r="M7175" s="34">
        <f t="shared" si="288"/>
        <v>0</v>
      </c>
    </row>
    <row r="7176" spans="13:13" x14ac:dyDescent="0.25">
      <c r="M7176" s="34">
        <f t="shared" si="288"/>
        <v>0</v>
      </c>
    </row>
    <row r="7177" spans="13:13" x14ac:dyDescent="0.25">
      <c r="M7177" s="34">
        <f t="shared" si="288"/>
        <v>0</v>
      </c>
    </row>
    <row r="7178" spans="13:13" x14ac:dyDescent="0.25">
      <c r="M7178" s="34">
        <f t="shared" si="288"/>
        <v>0</v>
      </c>
    </row>
    <row r="7179" spans="13:13" x14ac:dyDescent="0.25">
      <c r="M7179" s="34">
        <f t="shared" si="288"/>
        <v>0</v>
      </c>
    </row>
    <row r="7180" spans="13:13" x14ac:dyDescent="0.25">
      <c r="M7180" s="34">
        <f t="shared" si="288"/>
        <v>0</v>
      </c>
    </row>
    <row r="7181" spans="13:13" x14ac:dyDescent="0.25">
      <c r="M7181" s="34">
        <f t="shared" si="288"/>
        <v>0</v>
      </c>
    </row>
    <row r="7182" spans="13:13" x14ac:dyDescent="0.25">
      <c r="M7182" s="34">
        <f t="shared" si="288"/>
        <v>0</v>
      </c>
    </row>
    <row r="7183" spans="13:13" x14ac:dyDescent="0.25">
      <c r="M7183" s="34">
        <f t="shared" si="288"/>
        <v>0</v>
      </c>
    </row>
    <row r="7184" spans="13:13" x14ac:dyDescent="0.25">
      <c r="M7184" s="34">
        <f t="shared" si="288"/>
        <v>0</v>
      </c>
    </row>
    <row r="7185" spans="13:13" x14ac:dyDescent="0.25">
      <c r="M7185" s="34">
        <f t="shared" si="288"/>
        <v>0</v>
      </c>
    </row>
    <row r="7186" spans="13:13" x14ac:dyDescent="0.25">
      <c r="M7186" s="34">
        <f t="shared" si="288"/>
        <v>0</v>
      </c>
    </row>
    <row r="7187" spans="13:13" x14ac:dyDescent="0.25">
      <c r="M7187" s="34">
        <f t="shared" si="288"/>
        <v>0</v>
      </c>
    </row>
    <row r="7188" spans="13:13" x14ac:dyDescent="0.25">
      <c r="M7188" s="34">
        <f t="shared" si="288"/>
        <v>0</v>
      </c>
    </row>
    <row r="7189" spans="13:13" x14ac:dyDescent="0.25">
      <c r="M7189" s="34">
        <f t="shared" si="288"/>
        <v>0</v>
      </c>
    </row>
    <row r="7190" spans="13:13" x14ac:dyDescent="0.25">
      <c r="M7190" s="34">
        <f t="shared" si="288"/>
        <v>0</v>
      </c>
    </row>
    <row r="7191" spans="13:13" x14ac:dyDescent="0.25">
      <c r="M7191" s="34">
        <f t="shared" si="288"/>
        <v>0</v>
      </c>
    </row>
    <row r="7192" spans="13:13" x14ac:dyDescent="0.25">
      <c r="M7192" s="34">
        <f t="shared" si="288"/>
        <v>0</v>
      </c>
    </row>
    <row r="7193" spans="13:13" x14ac:dyDescent="0.25">
      <c r="M7193" s="34">
        <f t="shared" si="288"/>
        <v>0</v>
      </c>
    </row>
    <row r="7194" spans="13:13" x14ac:dyDescent="0.25">
      <c r="M7194" s="34">
        <f t="shared" si="288"/>
        <v>0</v>
      </c>
    </row>
    <row r="7195" spans="13:13" x14ac:dyDescent="0.25">
      <c r="M7195" s="34">
        <f t="shared" si="288"/>
        <v>0</v>
      </c>
    </row>
    <row r="7196" spans="13:13" x14ac:dyDescent="0.25">
      <c r="M7196" s="34">
        <f t="shared" si="288"/>
        <v>0</v>
      </c>
    </row>
    <row r="7197" spans="13:13" x14ac:dyDescent="0.25">
      <c r="M7197" s="34">
        <f t="shared" si="288"/>
        <v>0</v>
      </c>
    </row>
    <row r="7198" spans="13:13" x14ac:dyDescent="0.25">
      <c r="M7198" s="34">
        <f t="shared" si="288"/>
        <v>0</v>
      </c>
    </row>
    <row r="7199" spans="13:13" x14ac:dyDescent="0.25">
      <c r="M7199" s="34">
        <f t="shared" si="288"/>
        <v>0</v>
      </c>
    </row>
    <row r="7200" spans="13:13" x14ac:dyDescent="0.25">
      <c r="M7200" s="34">
        <f t="shared" si="288"/>
        <v>0</v>
      </c>
    </row>
    <row r="7201" spans="13:13" x14ac:dyDescent="0.25">
      <c r="M7201" s="34">
        <f t="shared" si="288"/>
        <v>0</v>
      </c>
    </row>
    <row r="7202" spans="13:13" x14ac:dyDescent="0.25">
      <c r="M7202" s="34">
        <f t="shared" si="288"/>
        <v>0</v>
      </c>
    </row>
    <row r="7203" spans="13:13" x14ac:dyDescent="0.25">
      <c r="M7203" s="34">
        <f t="shared" si="288"/>
        <v>0</v>
      </c>
    </row>
    <row r="7204" spans="13:13" x14ac:dyDescent="0.25">
      <c r="M7204" s="34">
        <f t="shared" si="288"/>
        <v>0</v>
      </c>
    </row>
    <row r="7205" spans="13:13" x14ac:dyDescent="0.25">
      <c r="M7205" s="34">
        <f t="shared" si="288"/>
        <v>0</v>
      </c>
    </row>
    <row r="7206" spans="13:13" x14ac:dyDescent="0.25">
      <c r="M7206" s="34">
        <f t="shared" si="288"/>
        <v>0</v>
      </c>
    </row>
    <row r="7207" spans="13:13" x14ac:dyDescent="0.25">
      <c r="M7207" s="34">
        <f t="shared" si="288"/>
        <v>0</v>
      </c>
    </row>
    <row r="7208" spans="13:13" x14ac:dyDescent="0.25">
      <c r="M7208" s="34">
        <f t="shared" si="288"/>
        <v>0</v>
      </c>
    </row>
    <row r="7209" spans="13:13" x14ac:dyDescent="0.25">
      <c r="M7209" s="34">
        <f t="shared" si="288"/>
        <v>0</v>
      </c>
    </row>
    <row r="7210" spans="13:13" x14ac:dyDescent="0.25">
      <c r="M7210" s="34">
        <f t="shared" si="288"/>
        <v>0</v>
      </c>
    </row>
    <row r="7211" spans="13:13" x14ac:dyDescent="0.25">
      <c r="M7211" s="34">
        <f t="shared" si="288"/>
        <v>0</v>
      </c>
    </row>
    <row r="7212" spans="13:13" x14ac:dyDescent="0.25">
      <c r="M7212" s="34">
        <f t="shared" si="288"/>
        <v>0</v>
      </c>
    </row>
    <row r="7213" spans="13:13" x14ac:dyDescent="0.25">
      <c r="M7213" s="34">
        <f t="shared" si="288"/>
        <v>0</v>
      </c>
    </row>
    <row r="7214" spans="13:13" x14ac:dyDescent="0.25">
      <c r="M7214" s="34">
        <f t="shared" si="288"/>
        <v>0</v>
      </c>
    </row>
    <row r="7215" spans="13:13" x14ac:dyDescent="0.25">
      <c r="M7215" s="34">
        <f t="shared" si="288"/>
        <v>0</v>
      </c>
    </row>
    <row r="7216" spans="13:13" x14ac:dyDescent="0.25">
      <c r="M7216" s="34">
        <f t="shared" si="288"/>
        <v>0</v>
      </c>
    </row>
    <row r="7217" spans="13:13" x14ac:dyDescent="0.25">
      <c r="M7217" s="34">
        <f t="shared" si="288"/>
        <v>0</v>
      </c>
    </row>
    <row r="7218" spans="13:13" x14ac:dyDescent="0.25">
      <c r="M7218" s="34">
        <f t="shared" si="288"/>
        <v>0</v>
      </c>
    </row>
    <row r="7219" spans="13:13" x14ac:dyDescent="0.25">
      <c r="M7219" s="34">
        <f t="shared" si="288"/>
        <v>0</v>
      </c>
    </row>
    <row r="7220" spans="13:13" x14ac:dyDescent="0.25">
      <c r="M7220" s="34">
        <f t="shared" si="288"/>
        <v>0</v>
      </c>
    </row>
    <row r="7221" spans="13:13" x14ac:dyDescent="0.25">
      <c r="M7221" s="34">
        <f t="shared" si="288"/>
        <v>0</v>
      </c>
    </row>
    <row r="7222" spans="13:13" x14ac:dyDescent="0.25">
      <c r="M7222" s="34">
        <f t="shared" si="288"/>
        <v>0</v>
      </c>
    </row>
    <row r="7223" spans="13:13" x14ac:dyDescent="0.25">
      <c r="M7223" s="34">
        <f t="shared" si="288"/>
        <v>0</v>
      </c>
    </row>
    <row r="7224" spans="13:13" x14ac:dyDescent="0.25">
      <c r="M7224" s="34">
        <f t="shared" si="288"/>
        <v>0</v>
      </c>
    </row>
    <row r="7225" spans="13:13" x14ac:dyDescent="0.25">
      <c r="M7225" s="34">
        <f t="shared" si="288"/>
        <v>0</v>
      </c>
    </row>
    <row r="7226" spans="13:13" x14ac:dyDescent="0.25">
      <c r="M7226" s="34">
        <f t="shared" si="288"/>
        <v>0</v>
      </c>
    </row>
    <row r="7227" spans="13:13" x14ac:dyDescent="0.25">
      <c r="M7227" s="34">
        <f t="shared" si="288"/>
        <v>0</v>
      </c>
    </row>
    <row r="7228" spans="13:13" x14ac:dyDescent="0.25">
      <c r="M7228" s="34">
        <f t="shared" si="288"/>
        <v>0</v>
      </c>
    </row>
    <row r="7229" spans="13:13" x14ac:dyDescent="0.25">
      <c r="M7229" s="34">
        <f t="shared" si="288"/>
        <v>0</v>
      </c>
    </row>
    <row r="7230" spans="13:13" x14ac:dyDescent="0.25">
      <c r="M7230" s="34">
        <f t="shared" si="288"/>
        <v>0</v>
      </c>
    </row>
    <row r="7231" spans="13:13" x14ac:dyDescent="0.25">
      <c r="M7231" s="34">
        <f t="shared" si="288"/>
        <v>0</v>
      </c>
    </row>
    <row r="7232" spans="13:13" x14ac:dyDescent="0.25">
      <c r="M7232" s="34">
        <f t="shared" si="288"/>
        <v>0</v>
      </c>
    </row>
    <row r="7233" spans="13:13" x14ac:dyDescent="0.25">
      <c r="M7233" s="34">
        <f t="shared" si="288"/>
        <v>0</v>
      </c>
    </row>
    <row r="7234" spans="13:13" x14ac:dyDescent="0.25">
      <c r="M7234" s="34">
        <f t="shared" si="288"/>
        <v>0</v>
      </c>
    </row>
    <row r="7235" spans="13:13" x14ac:dyDescent="0.25">
      <c r="M7235" s="34">
        <f t="shared" ref="M7235:M7298" si="289">IF(AND(E7235="Chèque",G7235="RECETTE"),F7235,0)</f>
        <v>0</v>
      </c>
    </row>
    <row r="7236" spans="13:13" x14ac:dyDescent="0.25">
      <c r="M7236" s="34">
        <f t="shared" si="289"/>
        <v>0</v>
      </c>
    </row>
    <row r="7237" spans="13:13" x14ac:dyDescent="0.25">
      <c r="M7237" s="34">
        <f t="shared" si="289"/>
        <v>0</v>
      </c>
    </row>
    <row r="7238" spans="13:13" x14ac:dyDescent="0.25">
      <c r="M7238" s="34">
        <f t="shared" si="289"/>
        <v>0</v>
      </c>
    </row>
    <row r="7239" spans="13:13" x14ac:dyDescent="0.25">
      <c r="M7239" s="34">
        <f t="shared" si="289"/>
        <v>0</v>
      </c>
    </row>
    <row r="7240" spans="13:13" x14ac:dyDescent="0.25">
      <c r="M7240" s="34">
        <f t="shared" si="289"/>
        <v>0</v>
      </c>
    </row>
    <row r="7241" spans="13:13" x14ac:dyDescent="0.25">
      <c r="M7241" s="34">
        <f t="shared" si="289"/>
        <v>0</v>
      </c>
    </row>
    <row r="7242" spans="13:13" x14ac:dyDescent="0.25">
      <c r="M7242" s="34">
        <f t="shared" si="289"/>
        <v>0</v>
      </c>
    </row>
    <row r="7243" spans="13:13" x14ac:dyDescent="0.25">
      <c r="M7243" s="34">
        <f t="shared" si="289"/>
        <v>0</v>
      </c>
    </row>
    <row r="7244" spans="13:13" x14ac:dyDescent="0.25">
      <c r="M7244" s="34">
        <f t="shared" si="289"/>
        <v>0</v>
      </c>
    </row>
    <row r="7245" spans="13:13" x14ac:dyDescent="0.25">
      <c r="M7245" s="34">
        <f t="shared" si="289"/>
        <v>0</v>
      </c>
    </row>
    <row r="7246" spans="13:13" x14ac:dyDescent="0.25">
      <c r="M7246" s="34">
        <f t="shared" si="289"/>
        <v>0</v>
      </c>
    </row>
    <row r="7247" spans="13:13" x14ac:dyDescent="0.25">
      <c r="M7247" s="34">
        <f t="shared" si="289"/>
        <v>0</v>
      </c>
    </row>
    <row r="7248" spans="13:13" x14ac:dyDescent="0.25">
      <c r="M7248" s="34">
        <f t="shared" si="289"/>
        <v>0</v>
      </c>
    </row>
    <row r="7249" spans="13:13" x14ac:dyDescent="0.25">
      <c r="M7249" s="34">
        <f t="shared" si="289"/>
        <v>0</v>
      </c>
    </row>
    <row r="7250" spans="13:13" x14ac:dyDescent="0.25">
      <c r="M7250" s="34">
        <f t="shared" si="289"/>
        <v>0</v>
      </c>
    </row>
    <row r="7251" spans="13:13" x14ac:dyDescent="0.25">
      <c r="M7251" s="34">
        <f t="shared" si="289"/>
        <v>0</v>
      </c>
    </row>
    <row r="7252" spans="13:13" x14ac:dyDescent="0.25">
      <c r="M7252" s="34">
        <f t="shared" si="289"/>
        <v>0</v>
      </c>
    </row>
    <row r="7253" spans="13:13" x14ac:dyDescent="0.25">
      <c r="M7253" s="34">
        <f t="shared" si="289"/>
        <v>0</v>
      </c>
    </row>
    <row r="7254" spans="13:13" x14ac:dyDescent="0.25">
      <c r="M7254" s="34">
        <f t="shared" si="289"/>
        <v>0</v>
      </c>
    </row>
    <row r="7255" spans="13:13" x14ac:dyDescent="0.25">
      <c r="M7255" s="34">
        <f t="shared" si="289"/>
        <v>0</v>
      </c>
    </row>
    <row r="7256" spans="13:13" x14ac:dyDescent="0.25">
      <c r="M7256" s="34">
        <f t="shared" si="289"/>
        <v>0</v>
      </c>
    </row>
    <row r="7257" spans="13:13" x14ac:dyDescent="0.25">
      <c r="M7257" s="34">
        <f t="shared" si="289"/>
        <v>0</v>
      </c>
    </row>
    <row r="7258" spans="13:13" x14ac:dyDescent="0.25">
      <c r="M7258" s="34">
        <f t="shared" si="289"/>
        <v>0</v>
      </c>
    </row>
    <row r="7259" spans="13:13" x14ac:dyDescent="0.25">
      <c r="M7259" s="34">
        <f t="shared" si="289"/>
        <v>0</v>
      </c>
    </row>
    <row r="7260" spans="13:13" x14ac:dyDescent="0.25">
      <c r="M7260" s="34">
        <f t="shared" si="289"/>
        <v>0</v>
      </c>
    </row>
    <row r="7261" spans="13:13" x14ac:dyDescent="0.25">
      <c r="M7261" s="34">
        <f t="shared" si="289"/>
        <v>0</v>
      </c>
    </row>
    <row r="7262" spans="13:13" x14ac:dyDescent="0.25">
      <c r="M7262" s="34">
        <f t="shared" si="289"/>
        <v>0</v>
      </c>
    </row>
    <row r="7263" spans="13:13" x14ac:dyDescent="0.25">
      <c r="M7263" s="34">
        <f t="shared" si="289"/>
        <v>0</v>
      </c>
    </row>
    <row r="7264" spans="13:13" x14ac:dyDescent="0.25">
      <c r="M7264" s="34">
        <f t="shared" si="289"/>
        <v>0</v>
      </c>
    </row>
    <row r="7265" spans="13:13" x14ac:dyDescent="0.25">
      <c r="M7265" s="34">
        <f t="shared" si="289"/>
        <v>0</v>
      </c>
    </row>
    <row r="7266" spans="13:13" x14ac:dyDescent="0.25">
      <c r="M7266" s="34">
        <f t="shared" si="289"/>
        <v>0</v>
      </c>
    </row>
    <row r="7267" spans="13:13" x14ac:dyDescent="0.25">
      <c r="M7267" s="34">
        <f t="shared" si="289"/>
        <v>0</v>
      </c>
    </row>
    <row r="7268" spans="13:13" x14ac:dyDescent="0.25">
      <c r="M7268" s="34">
        <f t="shared" si="289"/>
        <v>0</v>
      </c>
    </row>
    <row r="7269" spans="13:13" x14ac:dyDescent="0.25">
      <c r="M7269" s="34">
        <f t="shared" si="289"/>
        <v>0</v>
      </c>
    </row>
    <row r="7270" spans="13:13" x14ac:dyDescent="0.25">
      <c r="M7270" s="34">
        <f t="shared" si="289"/>
        <v>0</v>
      </c>
    </row>
    <row r="7271" spans="13:13" x14ac:dyDescent="0.25">
      <c r="M7271" s="34">
        <f t="shared" si="289"/>
        <v>0</v>
      </c>
    </row>
    <row r="7272" spans="13:13" x14ac:dyDescent="0.25">
      <c r="M7272" s="34">
        <f t="shared" si="289"/>
        <v>0</v>
      </c>
    </row>
    <row r="7273" spans="13:13" x14ac:dyDescent="0.25">
      <c r="M7273" s="34">
        <f t="shared" si="289"/>
        <v>0</v>
      </c>
    </row>
    <row r="7274" spans="13:13" x14ac:dyDescent="0.25">
      <c r="M7274" s="34">
        <f t="shared" si="289"/>
        <v>0</v>
      </c>
    </row>
    <row r="7275" spans="13:13" x14ac:dyDescent="0.25">
      <c r="M7275" s="34">
        <f t="shared" si="289"/>
        <v>0</v>
      </c>
    </row>
    <row r="7276" spans="13:13" x14ac:dyDescent="0.25">
      <c r="M7276" s="34">
        <f t="shared" si="289"/>
        <v>0</v>
      </c>
    </row>
    <row r="7277" spans="13:13" x14ac:dyDescent="0.25">
      <c r="M7277" s="34">
        <f t="shared" si="289"/>
        <v>0</v>
      </c>
    </row>
    <row r="7278" spans="13:13" x14ac:dyDescent="0.25">
      <c r="M7278" s="34">
        <f t="shared" si="289"/>
        <v>0</v>
      </c>
    </row>
    <row r="7279" spans="13:13" x14ac:dyDescent="0.25">
      <c r="M7279" s="34">
        <f t="shared" si="289"/>
        <v>0</v>
      </c>
    </row>
    <row r="7280" spans="13:13" x14ac:dyDescent="0.25">
      <c r="M7280" s="34">
        <f t="shared" si="289"/>
        <v>0</v>
      </c>
    </row>
    <row r="7281" spans="13:13" x14ac:dyDescent="0.25">
      <c r="M7281" s="34">
        <f t="shared" si="289"/>
        <v>0</v>
      </c>
    </row>
    <row r="7282" spans="13:13" x14ac:dyDescent="0.25">
      <c r="M7282" s="34">
        <f t="shared" si="289"/>
        <v>0</v>
      </c>
    </row>
    <row r="7283" spans="13:13" x14ac:dyDescent="0.25">
      <c r="M7283" s="34">
        <f t="shared" si="289"/>
        <v>0</v>
      </c>
    </row>
    <row r="7284" spans="13:13" x14ac:dyDescent="0.25">
      <c r="M7284" s="34">
        <f t="shared" si="289"/>
        <v>0</v>
      </c>
    </row>
    <row r="7285" spans="13:13" x14ac:dyDescent="0.25">
      <c r="M7285" s="34">
        <f t="shared" si="289"/>
        <v>0</v>
      </c>
    </row>
    <row r="7286" spans="13:13" x14ac:dyDescent="0.25">
      <c r="M7286" s="34">
        <f t="shared" si="289"/>
        <v>0</v>
      </c>
    </row>
    <row r="7287" spans="13:13" x14ac:dyDescent="0.25">
      <c r="M7287" s="34">
        <f t="shared" si="289"/>
        <v>0</v>
      </c>
    </row>
    <row r="7288" spans="13:13" x14ac:dyDescent="0.25">
      <c r="M7288" s="34">
        <f t="shared" si="289"/>
        <v>0</v>
      </c>
    </row>
    <row r="7289" spans="13:13" x14ac:dyDescent="0.25">
      <c r="M7289" s="34">
        <f t="shared" si="289"/>
        <v>0</v>
      </c>
    </row>
    <row r="7290" spans="13:13" x14ac:dyDescent="0.25">
      <c r="M7290" s="34">
        <f t="shared" si="289"/>
        <v>0</v>
      </c>
    </row>
    <row r="7291" spans="13:13" x14ac:dyDescent="0.25">
      <c r="M7291" s="34">
        <f t="shared" si="289"/>
        <v>0</v>
      </c>
    </row>
    <row r="7292" spans="13:13" x14ac:dyDescent="0.25">
      <c r="M7292" s="34">
        <f t="shared" si="289"/>
        <v>0</v>
      </c>
    </row>
    <row r="7293" spans="13:13" x14ac:dyDescent="0.25">
      <c r="M7293" s="34">
        <f t="shared" si="289"/>
        <v>0</v>
      </c>
    </row>
    <row r="7294" spans="13:13" x14ac:dyDescent="0.25">
      <c r="M7294" s="34">
        <f t="shared" si="289"/>
        <v>0</v>
      </c>
    </row>
    <row r="7295" spans="13:13" x14ac:dyDescent="0.25">
      <c r="M7295" s="34">
        <f t="shared" si="289"/>
        <v>0</v>
      </c>
    </row>
    <row r="7296" spans="13:13" x14ac:dyDescent="0.25">
      <c r="M7296" s="34">
        <f t="shared" si="289"/>
        <v>0</v>
      </c>
    </row>
    <row r="7297" spans="13:13" x14ac:dyDescent="0.25">
      <c r="M7297" s="34">
        <f t="shared" si="289"/>
        <v>0</v>
      </c>
    </row>
    <row r="7298" spans="13:13" x14ac:dyDescent="0.25">
      <c r="M7298" s="34">
        <f t="shared" si="289"/>
        <v>0</v>
      </c>
    </row>
    <row r="7299" spans="13:13" x14ac:dyDescent="0.25">
      <c r="M7299" s="34">
        <f t="shared" ref="M7299:M7362" si="290">IF(AND(E7299="Chèque",G7299="RECETTE"),F7299,0)</f>
        <v>0</v>
      </c>
    </row>
    <row r="7300" spans="13:13" x14ac:dyDescent="0.25">
      <c r="M7300" s="34">
        <f t="shared" si="290"/>
        <v>0</v>
      </c>
    </row>
    <row r="7301" spans="13:13" x14ac:dyDescent="0.25">
      <c r="M7301" s="34">
        <f t="shared" si="290"/>
        <v>0</v>
      </c>
    </row>
    <row r="7302" spans="13:13" x14ac:dyDescent="0.25">
      <c r="M7302" s="34">
        <f t="shared" si="290"/>
        <v>0</v>
      </c>
    </row>
    <row r="7303" spans="13:13" x14ac:dyDescent="0.25">
      <c r="M7303" s="34">
        <f t="shared" si="290"/>
        <v>0</v>
      </c>
    </row>
    <row r="7304" spans="13:13" x14ac:dyDescent="0.25">
      <c r="M7304" s="34">
        <f t="shared" si="290"/>
        <v>0</v>
      </c>
    </row>
    <row r="7305" spans="13:13" x14ac:dyDescent="0.25">
      <c r="M7305" s="34">
        <f t="shared" si="290"/>
        <v>0</v>
      </c>
    </row>
    <row r="7306" spans="13:13" x14ac:dyDescent="0.25">
      <c r="M7306" s="34">
        <f t="shared" si="290"/>
        <v>0</v>
      </c>
    </row>
    <row r="7307" spans="13:13" x14ac:dyDescent="0.25">
      <c r="M7307" s="34">
        <f t="shared" si="290"/>
        <v>0</v>
      </c>
    </row>
    <row r="7308" spans="13:13" x14ac:dyDescent="0.25">
      <c r="M7308" s="34">
        <f t="shared" si="290"/>
        <v>0</v>
      </c>
    </row>
    <row r="7309" spans="13:13" x14ac:dyDescent="0.25">
      <c r="M7309" s="34">
        <f t="shared" si="290"/>
        <v>0</v>
      </c>
    </row>
    <row r="7310" spans="13:13" x14ac:dyDescent="0.25">
      <c r="M7310" s="34">
        <f t="shared" si="290"/>
        <v>0</v>
      </c>
    </row>
    <row r="7311" spans="13:13" x14ac:dyDescent="0.25">
      <c r="M7311" s="34">
        <f t="shared" si="290"/>
        <v>0</v>
      </c>
    </row>
    <row r="7312" spans="13:13" x14ac:dyDescent="0.25">
      <c r="M7312" s="34">
        <f t="shared" si="290"/>
        <v>0</v>
      </c>
    </row>
    <row r="7313" spans="13:13" x14ac:dyDescent="0.25">
      <c r="M7313" s="34">
        <f t="shared" si="290"/>
        <v>0</v>
      </c>
    </row>
    <row r="7314" spans="13:13" x14ac:dyDescent="0.25">
      <c r="M7314" s="34">
        <f t="shared" si="290"/>
        <v>0</v>
      </c>
    </row>
    <row r="7315" spans="13:13" x14ac:dyDescent="0.25">
      <c r="M7315" s="34">
        <f t="shared" si="290"/>
        <v>0</v>
      </c>
    </row>
    <row r="7316" spans="13:13" x14ac:dyDescent="0.25">
      <c r="M7316" s="34">
        <f t="shared" si="290"/>
        <v>0</v>
      </c>
    </row>
    <row r="7317" spans="13:13" x14ac:dyDescent="0.25">
      <c r="M7317" s="34">
        <f t="shared" si="290"/>
        <v>0</v>
      </c>
    </row>
    <row r="7318" spans="13:13" x14ac:dyDescent="0.25">
      <c r="M7318" s="34">
        <f t="shared" si="290"/>
        <v>0</v>
      </c>
    </row>
    <row r="7319" spans="13:13" x14ac:dyDescent="0.25">
      <c r="M7319" s="34">
        <f t="shared" si="290"/>
        <v>0</v>
      </c>
    </row>
    <row r="7320" spans="13:13" x14ac:dyDescent="0.25">
      <c r="M7320" s="34">
        <f t="shared" si="290"/>
        <v>0</v>
      </c>
    </row>
    <row r="7321" spans="13:13" x14ac:dyDescent="0.25">
      <c r="M7321" s="34">
        <f t="shared" si="290"/>
        <v>0</v>
      </c>
    </row>
    <row r="7322" spans="13:13" x14ac:dyDescent="0.25">
      <c r="M7322" s="34">
        <f t="shared" si="290"/>
        <v>0</v>
      </c>
    </row>
    <row r="7323" spans="13:13" x14ac:dyDescent="0.25">
      <c r="M7323" s="34">
        <f t="shared" si="290"/>
        <v>0</v>
      </c>
    </row>
    <row r="7324" spans="13:13" x14ac:dyDescent="0.25">
      <c r="M7324" s="34">
        <f t="shared" si="290"/>
        <v>0</v>
      </c>
    </row>
    <row r="7325" spans="13:13" x14ac:dyDescent="0.25">
      <c r="M7325" s="34">
        <f t="shared" si="290"/>
        <v>0</v>
      </c>
    </row>
    <row r="7326" spans="13:13" x14ac:dyDescent="0.25">
      <c r="M7326" s="34">
        <f t="shared" si="290"/>
        <v>0</v>
      </c>
    </row>
    <row r="7327" spans="13:13" x14ac:dyDescent="0.25">
      <c r="M7327" s="34">
        <f t="shared" si="290"/>
        <v>0</v>
      </c>
    </row>
    <row r="7328" spans="13:13" x14ac:dyDescent="0.25">
      <c r="M7328" s="34">
        <f t="shared" si="290"/>
        <v>0</v>
      </c>
    </row>
    <row r="7329" spans="13:13" x14ac:dyDescent="0.25">
      <c r="M7329" s="34">
        <f t="shared" si="290"/>
        <v>0</v>
      </c>
    </row>
    <row r="7330" spans="13:13" x14ac:dyDescent="0.25">
      <c r="M7330" s="34">
        <f t="shared" si="290"/>
        <v>0</v>
      </c>
    </row>
    <row r="7331" spans="13:13" x14ac:dyDescent="0.25">
      <c r="M7331" s="34">
        <f t="shared" si="290"/>
        <v>0</v>
      </c>
    </row>
    <row r="7332" spans="13:13" x14ac:dyDescent="0.25">
      <c r="M7332" s="34">
        <f t="shared" si="290"/>
        <v>0</v>
      </c>
    </row>
    <row r="7333" spans="13:13" x14ac:dyDescent="0.25">
      <c r="M7333" s="34">
        <f t="shared" si="290"/>
        <v>0</v>
      </c>
    </row>
    <row r="7334" spans="13:13" x14ac:dyDescent="0.25">
      <c r="M7334" s="34">
        <f t="shared" si="290"/>
        <v>0</v>
      </c>
    </row>
    <row r="7335" spans="13:13" x14ac:dyDescent="0.25">
      <c r="M7335" s="34">
        <f t="shared" si="290"/>
        <v>0</v>
      </c>
    </row>
    <row r="7336" spans="13:13" x14ac:dyDescent="0.25">
      <c r="M7336" s="34">
        <f t="shared" si="290"/>
        <v>0</v>
      </c>
    </row>
    <row r="7337" spans="13:13" x14ac:dyDescent="0.25">
      <c r="M7337" s="34">
        <f t="shared" si="290"/>
        <v>0</v>
      </c>
    </row>
    <row r="7338" spans="13:13" x14ac:dyDescent="0.25">
      <c r="M7338" s="34">
        <f t="shared" si="290"/>
        <v>0</v>
      </c>
    </row>
    <row r="7339" spans="13:13" x14ac:dyDescent="0.25">
      <c r="M7339" s="34">
        <f t="shared" si="290"/>
        <v>0</v>
      </c>
    </row>
    <row r="7340" spans="13:13" x14ac:dyDescent="0.25">
      <c r="M7340" s="34">
        <f t="shared" si="290"/>
        <v>0</v>
      </c>
    </row>
    <row r="7341" spans="13:13" x14ac:dyDescent="0.25">
      <c r="M7341" s="34">
        <f t="shared" si="290"/>
        <v>0</v>
      </c>
    </row>
    <row r="7342" spans="13:13" x14ac:dyDescent="0.25">
      <c r="M7342" s="34">
        <f t="shared" si="290"/>
        <v>0</v>
      </c>
    </row>
    <row r="7343" spans="13:13" x14ac:dyDescent="0.25">
      <c r="M7343" s="34">
        <f t="shared" si="290"/>
        <v>0</v>
      </c>
    </row>
    <row r="7344" spans="13:13" x14ac:dyDescent="0.25">
      <c r="M7344" s="34">
        <f t="shared" si="290"/>
        <v>0</v>
      </c>
    </row>
    <row r="7345" spans="13:13" x14ac:dyDescent="0.25">
      <c r="M7345" s="34">
        <f t="shared" si="290"/>
        <v>0</v>
      </c>
    </row>
    <row r="7346" spans="13:13" x14ac:dyDescent="0.25">
      <c r="M7346" s="34">
        <f t="shared" si="290"/>
        <v>0</v>
      </c>
    </row>
    <row r="7347" spans="13:13" x14ac:dyDescent="0.25">
      <c r="M7347" s="34">
        <f t="shared" si="290"/>
        <v>0</v>
      </c>
    </row>
    <row r="7348" spans="13:13" x14ac:dyDescent="0.25">
      <c r="M7348" s="34">
        <f t="shared" si="290"/>
        <v>0</v>
      </c>
    </row>
    <row r="7349" spans="13:13" x14ac:dyDescent="0.25">
      <c r="M7349" s="34">
        <f t="shared" si="290"/>
        <v>0</v>
      </c>
    </row>
    <row r="7350" spans="13:13" x14ac:dyDescent="0.25">
      <c r="M7350" s="34">
        <f t="shared" si="290"/>
        <v>0</v>
      </c>
    </row>
    <row r="7351" spans="13:13" x14ac:dyDescent="0.25">
      <c r="M7351" s="34">
        <f t="shared" si="290"/>
        <v>0</v>
      </c>
    </row>
    <row r="7352" spans="13:13" x14ac:dyDescent="0.25">
      <c r="M7352" s="34">
        <f t="shared" si="290"/>
        <v>0</v>
      </c>
    </row>
    <row r="7353" spans="13:13" x14ac:dyDescent="0.25">
      <c r="M7353" s="34">
        <f t="shared" si="290"/>
        <v>0</v>
      </c>
    </row>
    <row r="7354" spans="13:13" x14ac:dyDescent="0.25">
      <c r="M7354" s="34">
        <f t="shared" si="290"/>
        <v>0</v>
      </c>
    </row>
    <row r="7355" spans="13:13" x14ac:dyDescent="0.25">
      <c r="M7355" s="34">
        <f t="shared" si="290"/>
        <v>0</v>
      </c>
    </row>
    <row r="7356" spans="13:13" x14ac:dyDescent="0.25">
      <c r="M7356" s="34">
        <f t="shared" si="290"/>
        <v>0</v>
      </c>
    </row>
    <row r="7357" spans="13:13" x14ac:dyDescent="0.25">
      <c r="M7357" s="34">
        <f t="shared" si="290"/>
        <v>0</v>
      </c>
    </row>
    <row r="7358" spans="13:13" x14ac:dyDescent="0.25">
      <c r="M7358" s="34">
        <f t="shared" si="290"/>
        <v>0</v>
      </c>
    </row>
    <row r="7359" spans="13:13" x14ac:dyDescent="0.25">
      <c r="M7359" s="34">
        <f t="shared" si="290"/>
        <v>0</v>
      </c>
    </row>
    <row r="7360" spans="13:13" x14ac:dyDescent="0.25">
      <c r="M7360" s="34">
        <f t="shared" si="290"/>
        <v>0</v>
      </c>
    </row>
    <row r="7361" spans="13:13" x14ac:dyDescent="0.25">
      <c r="M7361" s="34">
        <f t="shared" si="290"/>
        <v>0</v>
      </c>
    </row>
    <row r="7362" spans="13:13" x14ac:dyDescent="0.25">
      <c r="M7362" s="34">
        <f t="shared" si="290"/>
        <v>0</v>
      </c>
    </row>
    <row r="7363" spans="13:13" x14ac:dyDescent="0.25">
      <c r="M7363" s="34">
        <f t="shared" ref="M7363:M7426" si="291">IF(AND(E7363="Chèque",G7363="RECETTE"),F7363,0)</f>
        <v>0</v>
      </c>
    </row>
    <row r="7364" spans="13:13" x14ac:dyDescent="0.25">
      <c r="M7364" s="34">
        <f t="shared" si="291"/>
        <v>0</v>
      </c>
    </row>
    <row r="7365" spans="13:13" x14ac:dyDescent="0.25">
      <c r="M7365" s="34">
        <f t="shared" si="291"/>
        <v>0</v>
      </c>
    </row>
    <row r="7366" spans="13:13" x14ac:dyDescent="0.25">
      <c r="M7366" s="34">
        <f t="shared" si="291"/>
        <v>0</v>
      </c>
    </row>
    <row r="7367" spans="13:13" x14ac:dyDescent="0.25">
      <c r="M7367" s="34">
        <f t="shared" si="291"/>
        <v>0</v>
      </c>
    </row>
    <row r="7368" spans="13:13" x14ac:dyDescent="0.25">
      <c r="M7368" s="34">
        <f t="shared" si="291"/>
        <v>0</v>
      </c>
    </row>
    <row r="7369" spans="13:13" x14ac:dyDescent="0.25">
      <c r="M7369" s="34">
        <f t="shared" si="291"/>
        <v>0</v>
      </c>
    </row>
    <row r="7370" spans="13:13" x14ac:dyDescent="0.25">
      <c r="M7370" s="34">
        <f t="shared" si="291"/>
        <v>0</v>
      </c>
    </row>
    <row r="7371" spans="13:13" x14ac:dyDescent="0.25">
      <c r="M7371" s="34">
        <f t="shared" si="291"/>
        <v>0</v>
      </c>
    </row>
    <row r="7372" spans="13:13" x14ac:dyDescent="0.25">
      <c r="M7372" s="34">
        <f t="shared" si="291"/>
        <v>0</v>
      </c>
    </row>
    <row r="7373" spans="13:13" x14ac:dyDescent="0.25">
      <c r="M7373" s="34">
        <f t="shared" si="291"/>
        <v>0</v>
      </c>
    </row>
    <row r="7374" spans="13:13" x14ac:dyDescent="0.25">
      <c r="M7374" s="34">
        <f t="shared" si="291"/>
        <v>0</v>
      </c>
    </row>
    <row r="7375" spans="13:13" x14ac:dyDescent="0.25">
      <c r="M7375" s="34">
        <f t="shared" si="291"/>
        <v>0</v>
      </c>
    </row>
    <row r="7376" spans="13:13" x14ac:dyDescent="0.25">
      <c r="M7376" s="34">
        <f t="shared" si="291"/>
        <v>0</v>
      </c>
    </row>
    <row r="7377" spans="13:13" x14ac:dyDescent="0.25">
      <c r="M7377" s="34">
        <f t="shared" si="291"/>
        <v>0</v>
      </c>
    </row>
    <row r="7378" spans="13:13" x14ac:dyDescent="0.25">
      <c r="M7378" s="34">
        <f t="shared" si="291"/>
        <v>0</v>
      </c>
    </row>
    <row r="7379" spans="13:13" x14ac:dyDescent="0.25">
      <c r="M7379" s="34">
        <f t="shared" si="291"/>
        <v>0</v>
      </c>
    </row>
    <row r="7380" spans="13:13" x14ac:dyDescent="0.25">
      <c r="M7380" s="34">
        <f t="shared" si="291"/>
        <v>0</v>
      </c>
    </row>
    <row r="7381" spans="13:13" x14ac:dyDescent="0.25">
      <c r="M7381" s="34">
        <f t="shared" si="291"/>
        <v>0</v>
      </c>
    </row>
    <row r="7382" spans="13:13" x14ac:dyDescent="0.25">
      <c r="M7382" s="34">
        <f t="shared" si="291"/>
        <v>0</v>
      </c>
    </row>
    <row r="7383" spans="13:13" x14ac:dyDescent="0.25">
      <c r="M7383" s="34">
        <f t="shared" si="291"/>
        <v>0</v>
      </c>
    </row>
    <row r="7384" spans="13:13" x14ac:dyDescent="0.25">
      <c r="M7384" s="34">
        <f t="shared" si="291"/>
        <v>0</v>
      </c>
    </row>
    <row r="7385" spans="13:13" x14ac:dyDescent="0.25">
      <c r="M7385" s="34">
        <f t="shared" si="291"/>
        <v>0</v>
      </c>
    </row>
    <row r="7386" spans="13:13" x14ac:dyDescent="0.25">
      <c r="M7386" s="34">
        <f t="shared" si="291"/>
        <v>0</v>
      </c>
    </row>
    <row r="7387" spans="13:13" x14ac:dyDescent="0.25">
      <c r="M7387" s="34">
        <f t="shared" si="291"/>
        <v>0</v>
      </c>
    </row>
    <row r="7388" spans="13:13" x14ac:dyDescent="0.25">
      <c r="M7388" s="34">
        <f t="shared" si="291"/>
        <v>0</v>
      </c>
    </row>
    <row r="7389" spans="13:13" x14ac:dyDescent="0.25">
      <c r="M7389" s="34">
        <f t="shared" si="291"/>
        <v>0</v>
      </c>
    </row>
    <row r="7390" spans="13:13" x14ac:dyDescent="0.25">
      <c r="M7390" s="34">
        <f t="shared" si="291"/>
        <v>0</v>
      </c>
    </row>
    <row r="7391" spans="13:13" x14ac:dyDescent="0.25">
      <c r="M7391" s="34">
        <f t="shared" si="291"/>
        <v>0</v>
      </c>
    </row>
    <row r="7392" spans="13:13" x14ac:dyDescent="0.25">
      <c r="M7392" s="34">
        <f t="shared" si="291"/>
        <v>0</v>
      </c>
    </row>
    <row r="7393" spans="13:13" x14ac:dyDescent="0.25">
      <c r="M7393" s="34">
        <f t="shared" si="291"/>
        <v>0</v>
      </c>
    </row>
    <row r="7394" spans="13:13" x14ac:dyDescent="0.25">
      <c r="M7394" s="34">
        <f t="shared" si="291"/>
        <v>0</v>
      </c>
    </row>
    <row r="7395" spans="13:13" x14ac:dyDescent="0.25">
      <c r="M7395" s="34">
        <f t="shared" si="291"/>
        <v>0</v>
      </c>
    </row>
    <row r="7396" spans="13:13" x14ac:dyDescent="0.25">
      <c r="M7396" s="34">
        <f t="shared" si="291"/>
        <v>0</v>
      </c>
    </row>
    <row r="7397" spans="13:13" x14ac:dyDescent="0.25">
      <c r="M7397" s="34">
        <f t="shared" si="291"/>
        <v>0</v>
      </c>
    </row>
    <row r="7398" spans="13:13" x14ac:dyDescent="0.25">
      <c r="M7398" s="34">
        <f t="shared" si="291"/>
        <v>0</v>
      </c>
    </row>
    <row r="7399" spans="13:13" x14ac:dyDescent="0.25">
      <c r="M7399" s="34">
        <f t="shared" si="291"/>
        <v>0</v>
      </c>
    </row>
    <row r="7400" spans="13:13" x14ac:dyDescent="0.25">
      <c r="M7400" s="34">
        <f t="shared" si="291"/>
        <v>0</v>
      </c>
    </row>
    <row r="7401" spans="13:13" x14ac:dyDescent="0.25">
      <c r="M7401" s="34">
        <f t="shared" si="291"/>
        <v>0</v>
      </c>
    </row>
    <row r="7402" spans="13:13" x14ac:dyDescent="0.25">
      <c r="M7402" s="34">
        <f t="shared" si="291"/>
        <v>0</v>
      </c>
    </row>
    <row r="7403" spans="13:13" x14ac:dyDescent="0.25">
      <c r="M7403" s="34">
        <f t="shared" si="291"/>
        <v>0</v>
      </c>
    </row>
    <row r="7404" spans="13:13" x14ac:dyDescent="0.25">
      <c r="M7404" s="34">
        <f t="shared" si="291"/>
        <v>0</v>
      </c>
    </row>
    <row r="7405" spans="13:13" x14ac:dyDescent="0.25">
      <c r="M7405" s="34">
        <f t="shared" si="291"/>
        <v>0</v>
      </c>
    </row>
    <row r="7406" spans="13:13" x14ac:dyDescent="0.25">
      <c r="M7406" s="34">
        <f t="shared" si="291"/>
        <v>0</v>
      </c>
    </row>
    <row r="7407" spans="13:13" x14ac:dyDescent="0.25">
      <c r="M7407" s="34">
        <f t="shared" si="291"/>
        <v>0</v>
      </c>
    </row>
    <row r="7408" spans="13:13" x14ac:dyDescent="0.25">
      <c r="M7408" s="34">
        <f t="shared" si="291"/>
        <v>0</v>
      </c>
    </row>
    <row r="7409" spans="13:13" x14ac:dyDescent="0.25">
      <c r="M7409" s="34">
        <f t="shared" si="291"/>
        <v>0</v>
      </c>
    </row>
    <row r="7410" spans="13:13" x14ac:dyDescent="0.25">
      <c r="M7410" s="34">
        <f t="shared" si="291"/>
        <v>0</v>
      </c>
    </row>
    <row r="7411" spans="13:13" x14ac:dyDescent="0.25">
      <c r="M7411" s="34">
        <f t="shared" si="291"/>
        <v>0</v>
      </c>
    </row>
    <row r="7412" spans="13:13" x14ac:dyDescent="0.25">
      <c r="M7412" s="34">
        <f t="shared" si="291"/>
        <v>0</v>
      </c>
    </row>
    <row r="7413" spans="13:13" x14ac:dyDescent="0.25">
      <c r="M7413" s="34">
        <f t="shared" si="291"/>
        <v>0</v>
      </c>
    </row>
    <row r="7414" spans="13:13" x14ac:dyDescent="0.25">
      <c r="M7414" s="34">
        <f t="shared" si="291"/>
        <v>0</v>
      </c>
    </row>
    <row r="7415" spans="13:13" x14ac:dyDescent="0.25">
      <c r="M7415" s="34">
        <f t="shared" si="291"/>
        <v>0</v>
      </c>
    </row>
    <row r="7416" spans="13:13" x14ac:dyDescent="0.25">
      <c r="M7416" s="34">
        <f t="shared" si="291"/>
        <v>0</v>
      </c>
    </row>
    <row r="7417" spans="13:13" x14ac:dyDescent="0.25">
      <c r="M7417" s="34">
        <f t="shared" si="291"/>
        <v>0</v>
      </c>
    </row>
    <row r="7418" spans="13:13" x14ac:dyDescent="0.25">
      <c r="M7418" s="34">
        <f t="shared" si="291"/>
        <v>0</v>
      </c>
    </row>
    <row r="7419" spans="13:13" x14ac:dyDescent="0.25">
      <c r="M7419" s="34">
        <f t="shared" si="291"/>
        <v>0</v>
      </c>
    </row>
    <row r="7420" spans="13:13" x14ac:dyDescent="0.25">
      <c r="M7420" s="34">
        <f t="shared" si="291"/>
        <v>0</v>
      </c>
    </row>
    <row r="7421" spans="13:13" x14ac:dyDescent="0.25">
      <c r="M7421" s="34">
        <f t="shared" si="291"/>
        <v>0</v>
      </c>
    </row>
    <row r="7422" spans="13:13" x14ac:dyDescent="0.25">
      <c r="M7422" s="34">
        <f t="shared" si="291"/>
        <v>0</v>
      </c>
    </row>
    <row r="7423" spans="13:13" x14ac:dyDescent="0.25">
      <c r="M7423" s="34">
        <f t="shared" si="291"/>
        <v>0</v>
      </c>
    </row>
    <row r="7424" spans="13:13" x14ac:dyDescent="0.25">
      <c r="M7424" s="34">
        <f t="shared" si="291"/>
        <v>0</v>
      </c>
    </row>
    <row r="7425" spans="13:13" x14ac:dyDescent="0.25">
      <c r="M7425" s="34">
        <f t="shared" si="291"/>
        <v>0</v>
      </c>
    </row>
    <row r="7426" spans="13:13" x14ac:dyDescent="0.25">
      <c r="M7426" s="34">
        <f t="shared" si="291"/>
        <v>0</v>
      </c>
    </row>
    <row r="7427" spans="13:13" x14ac:dyDescent="0.25">
      <c r="M7427" s="34">
        <f t="shared" ref="M7427:M7490" si="292">IF(AND(E7427="Chèque",G7427="RECETTE"),F7427,0)</f>
        <v>0</v>
      </c>
    </row>
    <row r="7428" spans="13:13" x14ac:dyDescent="0.25">
      <c r="M7428" s="34">
        <f t="shared" si="292"/>
        <v>0</v>
      </c>
    </row>
    <row r="7429" spans="13:13" x14ac:dyDescent="0.25">
      <c r="M7429" s="34">
        <f t="shared" si="292"/>
        <v>0</v>
      </c>
    </row>
    <row r="7430" spans="13:13" x14ac:dyDescent="0.25">
      <c r="M7430" s="34">
        <f t="shared" si="292"/>
        <v>0</v>
      </c>
    </row>
    <row r="7431" spans="13:13" x14ac:dyDescent="0.25">
      <c r="M7431" s="34">
        <f t="shared" si="292"/>
        <v>0</v>
      </c>
    </row>
    <row r="7432" spans="13:13" x14ac:dyDescent="0.25">
      <c r="M7432" s="34">
        <f t="shared" si="292"/>
        <v>0</v>
      </c>
    </row>
    <row r="7433" spans="13:13" x14ac:dyDescent="0.25">
      <c r="M7433" s="34">
        <f t="shared" si="292"/>
        <v>0</v>
      </c>
    </row>
    <row r="7434" spans="13:13" x14ac:dyDescent="0.25">
      <c r="M7434" s="34">
        <f t="shared" si="292"/>
        <v>0</v>
      </c>
    </row>
    <row r="7435" spans="13:13" x14ac:dyDescent="0.25">
      <c r="M7435" s="34">
        <f t="shared" si="292"/>
        <v>0</v>
      </c>
    </row>
    <row r="7436" spans="13:13" x14ac:dyDescent="0.25">
      <c r="M7436" s="34">
        <f t="shared" si="292"/>
        <v>0</v>
      </c>
    </row>
    <row r="7437" spans="13:13" x14ac:dyDescent="0.25">
      <c r="M7437" s="34">
        <f t="shared" si="292"/>
        <v>0</v>
      </c>
    </row>
    <row r="7438" spans="13:13" x14ac:dyDescent="0.25">
      <c r="M7438" s="34">
        <f t="shared" si="292"/>
        <v>0</v>
      </c>
    </row>
    <row r="7439" spans="13:13" x14ac:dyDescent="0.25">
      <c r="M7439" s="34">
        <f t="shared" si="292"/>
        <v>0</v>
      </c>
    </row>
    <row r="7440" spans="13:13" x14ac:dyDescent="0.25">
      <c r="M7440" s="34">
        <f t="shared" si="292"/>
        <v>0</v>
      </c>
    </row>
    <row r="7441" spans="13:13" x14ac:dyDescent="0.25">
      <c r="M7441" s="34">
        <f t="shared" si="292"/>
        <v>0</v>
      </c>
    </row>
    <row r="7442" spans="13:13" x14ac:dyDescent="0.25">
      <c r="M7442" s="34">
        <f t="shared" si="292"/>
        <v>0</v>
      </c>
    </row>
    <row r="7443" spans="13:13" x14ac:dyDescent="0.25">
      <c r="M7443" s="34">
        <f t="shared" si="292"/>
        <v>0</v>
      </c>
    </row>
    <row r="7444" spans="13:13" x14ac:dyDescent="0.25">
      <c r="M7444" s="34">
        <f t="shared" si="292"/>
        <v>0</v>
      </c>
    </row>
    <row r="7445" spans="13:13" x14ac:dyDescent="0.25">
      <c r="M7445" s="34">
        <f t="shared" si="292"/>
        <v>0</v>
      </c>
    </row>
    <row r="7446" spans="13:13" x14ac:dyDescent="0.25">
      <c r="M7446" s="34">
        <f t="shared" si="292"/>
        <v>0</v>
      </c>
    </row>
    <row r="7447" spans="13:13" x14ac:dyDescent="0.25">
      <c r="M7447" s="34">
        <f t="shared" si="292"/>
        <v>0</v>
      </c>
    </row>
    <row r="7448" spans="13:13" x14ac:dyDescent="0.25">
      <c r="M7448" s="34">
        <f t="shared" si="292"/>
        <v>0</v>
      </c>
    </row>
    <row r="7449" spans="13:13" x14ac:dyDescent="0.25">
      <c r="M7449" s="34">
        <f t="shared" si="292"/>
        <v>0</v>
      </c>
    </row>
    <row r="7450" spans="13:13" x14ac:dyDescent="0.25">
      <c r="M7450" s="34">
        <f t="shared" si="292"/>
        <v>0</v>
      </c>
    </row>
    <row r="7451" spans="13:13" x14ac:dyDescent="0.25">
      <c r="M7451" s="34">
        <f t="shared" si="292"/>
        <v>0</v>
      </c>
    </row>
    <row r="7452" spans="13:13" x14ac:dyDescent="0.25">
      <c r="M7452" s="34">
        <f t="shared" si="292"/>
        <v>0</v>
      </c>
    </row>
    <row r="7453" spans="13:13" x14ac:dyDescent="0.25">
      <c r="M7453" s="34">
        <f t="shared" si="292"/>
        <v>0</v>
      </c>
    </row>
    <row r="7454" spans="13:13" x14ac:dyDescent="0.25">
      <c r="M7454" s="34">
        <f t="shared" si="292"/>
        <v>0</v>
      </c>
    </row>
    <row r="7455" spans="13:13" x14ac:dyDescent="0.25">
      <c r="M7455" s="34">
        <f t="shared" si="292"/>
        <v>0</v>
      </c>
    </row>
    <row r="7456" spans="13:13" x14ac:dyDescent="0.25">
      <c r="M7456" s="34">
        <f t="shared" si="292"/>
        <v>0</v>
      </c>
    </row>
    <row r="7457" spans="13:13" x14ac:dyDescent="0.25">
      <c r="M7457" s="34">
        <f t="shared" si="292"/>
        <v>0</v>
      </c>
    </row>
    <row r="7458" spans="13:13" x14ac:dyDescent="0.25">
      <c r="M7458" s="34">
        <f t="shared" si="292"/>
        <v>0</v>
      </c>
    </row>
    <row r="7459" spans="13:13" x14ac:dyDescent="0.25">
      <c r="M7459" s="34">
        <f t="shared" si="292"/>
        <v>0</v>
      </c>
    </row>
    <row r="7460" spans="13:13" x14ac:dyDescent="0.25">
      <c r="M7460" s="34">
        <f t="shared" si="292"/>
        <v>0</v>
      </c>
    </row>
    <row r="7461" spans="13:13" x14ac:dyDescent="0.25">
      <c r="M7461" s="34">
        <f t="shared" si="292"/>
        <v>0</v>
      </c>
    </row>
    <row r="7462" spans="13:13" x14ac:dyDescent="0.25">
      <c r="M7462" s="34">
        <f t="shared" si="292"/>
        <v>0</v>
      </c>
    </row>
    <row r="7463" spans="13:13" x14ac:dyDescent="0.25">
      <c r="M7463" s="34">
        <f t="shared" si="292"/>
        <v>0</v>
      </c>
    </row>
    <row r="7464" spans="13:13" x14ac:dyDescent="0.25">
      <c r="M7464" s="34">
        <f t="shared" si="292"/>
        <v>0</v>
      </c>
    </row>
    <row r="7465" spans="13:13" x14ac:dyDescent="0.25">
      <c r="M7465" s="34">
        <f t="shared" si="292"/>
        <v>0</v>
      </c>
    </row>
    <row r="7466" spans="13:13" x14ac:dyDescent="0.25">
      <c r="M7466" s="34">
        <f t="shared" si="292"/>
        <v>0</v>
      </c>
    </row>
    <row r="7467" spans="13:13" x14ac:dyDescent="0.25">
      <c r="M7467" s="34">
        <f t="shared" si="292"/>
        <v>0</v>
      </c>
    </row>
    <row r="7468" spans="13:13" x14ac:dyDescent="0.25">
      <c r="M7468" s="34">
        <f t="shared" si="292"/>
        <v>0</v>
      </c>
    </row>
    <row r="7469" spans="13:13" x14ac:dyDescent="0.25">
      <c r="M7469" s="34">
        <f t="shared" si="292"/>
        <v>0</v>
      </c>
    </row>
    <row r="7470" spans="13:13" x14ac:dyDescent="0.25">
      <c r="M7470" s="34">
        <f t="shared" si="292"/>
        <v>0</v>
      </c>
    </row>
    <row r="7471" spans="13:13" x14ac:dyDescent="0.25">
      <c r="M7471" s="34">
        <f t="shared" si="292"/>
        <v>0</v>
      </c>
    </row>
    <row r="7472" spans="13:13" x14ac:dyDescent="0.25">
      <c r="M7472" s="34">
        <f t="shared" si="292"/>
        <v>0</v>
      </c>
    </row>
    <row r="7473" spans="13:13" x14ac:dyDescent="0.25">
      <c r="M7473" s="34">
        <f t="shared" si="292"/>
        <v>0</v>
      </c>
    </row>
    <row r="7474" spans="13:13" x14ac:dyDescent="0.25">
      <c r="M7474" s="34">
        <f t="shared" si="292"/>
        <v>0</v>
      </c>
    </row>
    <row r="7475" spans="13:13" x14ac:dyDescent="0.25">
      <c r="M7475" s="34">
        <f t="shared" si="292"/>
        <v>0</v>
      </c>
    </row>
    <row r="7476" spans="13:13" x14ac:dyDescent="0.25">
      <c r="M7476" s="34">
        <f t="shared" si="292"/>
        <v>0</v>
      </c>
    </row>
    <row r="7477" spans="13:13" x14ac:dyDescent="0.25">
      <c r="M7477" s="34">
        <f t="shared" si="292"/>
        <v>0</v>
      </c>
    </row>
    <row r="7478" spans="13:13" x14ac:dyDescent="0.25">
      <c r="M7478" s="34">
        <f t="shared" si="292"/>
        <v>0</v>
      </c>
    </row>
    <row r="7479" spans="13:13" x14ac:dyDescent="0.25">
      <c r="M7479" s="34">
        <f t="shared" si="292"/>
        <v>0</v>
      </c>
    </row>
    <row r="7480" spans="13:13" x14ac:dyDescent="0.25">
      <c r="M7480" s="34">
        <f t="shared" si="292"/>
        <v>0</v>
      </c>
    </row>
    <row r="7481" spans="13:13" x14ac:dyDescent="0.25">
      <c r="M7481" s="34">
        <f t="shared" si="292"/>
        <v>0</v>
      </c>
    </row>
    <row r="7482" spans="13:13" x14ac:dyDescent="0.25">
      <c r="M7482" s="34">
        <f t="shared" si="292"/>
        <v>0</v>
      </c>
    </row>
    <row r="7483" spans="13:13" x14ac:dyDescent="0.25">
      <c r="M7483" s="34">
        <f t="shared" si="292"/>
        <v>0</v>
      </c>
    </row>
    <row r="7484" spans="13:13" x14ac:dyDescent="0.25">
      <c r="M7484" s="34">
        <f t="shared" si="292"/>
        <v>0</v>
      </c>
    </row>
    <row r="7485" spans="13:13" x14ac:dyDescent="0.25">
      <c r="M7485" s="34">
        <f t="shared" si="292"/>
        <v>0</v>
      </c>
    </row>
    <row r="7486" spans="13:13" x14ac:dyDescent="0.25">
      <c r="M7486" s="34">
        <f t="shared" si="292"/>
        <v>0</v>
      </c>
    </row>
    <row r="7487" spans="13:13" x14ac:dyDescent="0.25">
      <c r="M7487" s="34">
        <f t="shared" si="292"/>
        <v>0</v>
      </c>
    </row>
    <row r="7488" spans="13:13" x14ac:dyDescent="0.25">
      <c r="M7488" s="34">
        <f t="shared" si="292"/>
        <v>0</v>
      </c>
    </row>
    <row r="7489" spans="13:13" x14ac:dyDescent="0.25">
      <c r="M7489" s="34">
        <f t="shared" si="292"/>
        <v>0</v>
      </c>
    </row>
    <row r="7490" spans="13:13" x14ac:dyDescent="0.25">
      <c r="M7490" s="34">
        <f t="shared" si="292"/>
        <v>0</v>
      </c>
    </row>
    <row r="7491" spans="13:13" x14ac:dyDescent="0.25">
      <c r="M7491" s="34">
        <f t="shared" ref="M7491:M7554" si="293">IF(AND(E7491="Chèque",G7491="RECETTE"),F7491,0)</f>
        <v>0</v>
      </c>
    </row>
    <row r="7492" spans="13:13" x14ac:dyDescent="0.25">
      <c r="M7492" s="34">
        <f t="shared" si="293"/>
        <v>0</v>
      </c>
    </row>
    <row r="7493" spans="13:13" x14ac:dyDescent="0.25">
      <c r="M7493" s="34">
        <f t="shared" si="293"/>
        <v>0</v>
      </c>
    </row>
    <row r="7494" spans="13:13" x14ac:dyDescent="0.25">
      <c r="M7494" s="34">
        <f t="shared" si="293"/>
        <v>0</v>
      </c>
    </row>
    <row r="7495" spans="13:13" x14ac:dyDescent="0.25">
      <c r="M7495" s="34">
        <f t="shared" si="293"/>
        <v>0</v>
      </c>
    </row>
    <row r="7496" spans="13:13" x14ac:dyDescent="0.25">
      <c r="M7496" s="34">
        <f t="shared" si="293"/>
        <v>0</v>
      </c>
    </row>
    <row r="7497" spans="13:13" x14ac:dyDescent="0.25">
      <c r="M7497" s="34">
        <f t="shared" si="293"/>
        <v>0</v>
      </c>
    </row>
    <row r="7498" spans="13:13" x14ac:dyDescent="0.25">
      <c r="M7498" s="34">
        <f t="shared" si="293"/>
        <v>0</v>
      </c>
    </row>
    <row r="7499" spans="13:13" x14ac:dyDescent="0.25">
      <c r="M7499" s="34">
        <f t="shared" si="293"/>
        <v>0</v>
      </c>
    </row>
    <row r="7500" spans="13:13" x14ac:dyDescent="0.25">
      <c r="M7500" s="34">
        <f t="shared" si="293"/>
        <v>0</v>
      </c>
    </row>
    <row r="7501" spans="13:13" x14ac:dyDescent="0.25">
      <c r="M7501" s="34">
        <f t="shared" si="293"/>
        <v>0</v>
      </c>
    </row>
    <row r="7502" spans="13:13" x14ac:dyDescent="0.25">
      <c r="M7502" s="34">
        <f t="shared" si="293"/>
        <v>0</v>
      </c>
    </row>
    <row r="7503" spans="13:13" x14ac:dyDescent="0.25">
      <c r="M7503" s="34">
        <f t="shared" si="293"/>
        <v>0</v>
      </c>
    </row>
    <row r="7504" spans="13:13" x14ac:dyDescent="0.25">
      <c r="M7504" s="34">
        <f t="shared" si="293"/>
        <v>0</v>
      </c>
    </row>
    <row r="7505" spans="13:13" x14ac:dyDescent="0.25">
      <c r="M7505" s="34">
        <f t="shared" si="293"/>
        <v>0</v>
      </c>
    </row>
    <row r="7506" spans="13:13" x14ac:dyDescent="0.25">
      <c r="M7506" s="34">
        <f t="shared" si="293"/>
        <v>0</v>
      </c>
    </row>
    <row r="7507" spans="13:13" x14ac:dyDescent="0.25">
      <c r="M7507" s="34">
        <f t="shared" si="293"/>
        <v>0</v>
      </c>
    </row>
    <row r="7508" spans="13:13" x14ac:dyDescent="0.25">
      <c r="M7508" s="34">
        <f t="shared" si="293"/>
        <v>0</v>
      </c>
    </row>
    <row r="7509" spans="13:13" x14ac:dyDescent="0.25">
      <c r="M7509" s="34">
        <f t="shared" si="293"/>
        <v>0</v>
      </c>
    </row>
    <row r="7510" spans="13:13" x14ac:dyDescent="0.25">
      <c r="M7510" s="34">
        <f t="shared" si="293"/>
        <v>0</v>
      </c>
    </row>
    <row r="7511" spans="13:13" x14ac:dyDescent="0.25">
      <c r="M7511" s="34">
        <f t="shared" si="293"/>
        <v>0</v>
      </c>
    </row>
    <row r="7512" spans="13:13" x14ac:dyDescent="0.25">
      <c r="M7512" s="34">
        <f t="shared" si="293"/>
        <v>0</v>
      </c>
    </row>
    <row r="7513" spans="13:13" x14ac:dyDescent="0.25">
      <c r="M7513" s="34">
        <f t="shared" si="293"/>
        <v>0</v>
      </c>
    </row>
    <row r="7514" spans="13:13" x14ac:dyDescent="0.25">
      <c r="M7514" s="34">
        <f t="shared" si="293"/>
        <v>0</v>
      </c>
    </row>
    <row r="7515" spans="13:13" x14ac:dyDescent="0.25">
      <c r="M7515" s="34">
        <f t="shared" si="293"/>
        <v>0</v>
      </c>
    </row>
    <row r="7516" spans="13:13" x14ac:dyDescent="0.25">
      <c r="M7516" s="34">
        <f t="shared" si="293"/>
        <v>0</v>
      </c>
    </row>
    <row r="7517" spans="13:13" x14ac:dyDescent="0.25">
      <c r="M7517" s="34">
        <f t="shared" si="293"/>
        <v>0</v>
      </c>
    </row>
    <row r="7518" spans="13:13" x14ac:dyDescent="0.25">
      <c r="M7518" s="34">
        <f t="shared" si="293"/>
        <v>0</v>
      </c>
    </row>
    <row r="7519" spans="13:13" x14ac:dyDescent="0.25">
      <c r="M7519" s="34">
        <f t="shared" si="293"/>
        <v>0</v>
      </c>
    </row>
    <row r="7520" spans="13:13" x14ac:dyDescent="0.25">
      <c r="M7520" s="34">
        <f t="shared" si="293"/>
        <v>0</v>
      </c>
    </row>
    <row r="7521" spans="13:13" x14ac:dyDescent="0.25">
      <c r="M7521" s="34">
        <f t="shared" si="293"/>
        <v>0</v>
      </c>
    </row>
    <row r="7522" spans="13:13" x14ac:dyDescent="0.25">
      <c r="M7522" s="34">
        <f t="shared" si="293"/>
        <v>0</v>
      </c>
    </row>
    <row r="7523" spans="13:13" x14ac:dyDescent="0.25">
      <c r="M7523" s="34">
        <f t="shared" si="293"/>
        <v>0</v>
      </c>
    </row>
    <row r="7524" spans="13:13" x14ac:dyDescent="0.25">
      <c r="M7524" s="34">
        <f t="shared" si="293"/>
        <v>0</v>
      </c>
    </row>
    <row r="7525" spans="13:13" x14ac:dyDescent="0.25">
      <c r="M7525" s="34">
        <f t="shared" si="293"/>
        <v>0</v>
      </c>
    </row>
    <row r="7526" spans="13:13" x14ac:dyDescent="0.25">
      <c r="M7526" s="34">
        <f t="shared" si="293"/>
        <v>0</v>
      </c>
    </row>
    <row r="7527" spans="13:13" x14ac:dyDescent="0.25">
      <c r="M7527" s="34">
        <f t="shared" si="293"/>
        <v>0</v>
      </c>
    </row>
    <row r="7528" spans="13:13" x14ac:dyDescent="0.25">
      <c r="M7528" s="34">
        <f t="shared" si="293"/>
        <v>0</v>
      </c>
    </row>
    <row r="7529" spans="13:13" x14ac:dyDescent="0.25">
      <c r="M7529" s="34">
        <f t="shared" si="293"/>
        <v>0</v>
      </c>
    </row>
    <row r="7530" spans="13:13" x14ac:dyDescent="0.25">
      <c r="M7530" s="34">
        <f t="shared" si="293"/>
        <v>0</v>
      </c>
    </row>
    <row r="7531" spans="13:13" x14ac:dyDescent="0.25">
      <c r="M7531" s="34">
        <f t="shared" si="293"/>
        <v>0</v>
      </c>
    </row>
    <row r="7532" spans="13:13" x14ac:dyDescent="0.25">
      <c r="M7532" s="34">
        <f t="shared" si="293"/>
        <v>0</v>
      </c>
    </row>
    <row r="7533" spans="13:13" x14ac:dyDescent="0.25">
      <c r="M7533" s="34">
        <f t="shared" si="293"/>
        <v>0</v>
      </c>
    </row>
    <row r="7534" spans="13:13" x14ac:dyDescent="0.25">
      <c r="M7534" s="34">
        <f t="shared" si="293"/>
        <v>0</v>
      </c>
    </row>
    <row r="7535" spans="13:13" x14ac:dyDescent="0.25">
      <c r="M7535" s="34">
        <f t="shared" si="293"/>
        <v>0</v>
      </c>
    </row>
    <row r="7536" spans="13:13" x14ac:dyDescent="0.25">
      <c r="M7536" s="34">
        <f t="shared" si="293"/>
        <v>0</v>
      </c>
    </row>
    <row r="7537" spans="13:13" x14ac:dyDescent="0.25">
      <c r="M7537" s="34">
        <f t="shared" si="293"/>
        <v>0</v>
      </c>
    </row>
    <row r="7538" spans="13:13" x14ac:dyDescent="0.25">
      <c r="M7538" s="34">
        <f t="shared" si="293"/>
        <v>0</v>
      </c>
    </row>
    <row r="7539" spans="13:13" x14ac:dyDescent="0.25">
      <c r="M7539" s="34">
        <f t="shared" si="293"/>
        <v>0</v>
      </c>
    </row>
    <row r="7540" spans="13:13" x14ac:dyDescent="0.25">
      <c r="M7540" s="34">
        <f t="shared" si="293"/>
        <v>0</v>
      </c>
    </row>
    <row r="7541" spans="13:13" x14ac:dyDescent="0.25">
      <c r="M7541" s="34">
        <f t="shared" si="293"/>
        <v>0</v>
      </c>
    </row>
    <row r="7542" spans="13:13" x14ac:dyDescent="0.25">
      <c r="M7542" s="34">
        <f t="shared" si="293"/>
        <v>0</v>
      </c>
    </row>
    <row r="7543" spans="13:13" x14ac:dyDescent="0.25">
      <c r="M7543" s="34">
        <f t="shared" si="293"/>
        <v>0</v>
      </c>
    </row>
    <row r="7544" spans="13:13" x14ac:dyDescent="0.25">
      <c r="M7544" s="34">
        <f t="shared" si="293"/>
        <v>0</v>
      </c>
    </row>
    <row r="7545" spans="13:13" x14ac:dyDescent="0.25">
      <c r="M7545" s="34">
        <f t="shared" si="293"/>
        <v>0</v>
      </c>
    </row>
    <row r="7546" spans="13:13" x14ac:dyDescent="0.25">
      <c r="M7546" s="34">
        <f t="shared" si="293"/>
        <v>0</v>
      </c>
    </row>
    <row r="7547" spans="13:13" x14ac:dyDescent="0.25">
      <c r="M7547" s="34">
        <f t="shared" si="293"/>
        <v>0</v>
      </c>
    </row>
    <row r="7548" spans="13:13" x14ac:dyDescent="0.25">
      <c r="M7548" s="34">
        <f t="shared" si="293"/>
        <v>0</v>
      </c>
    </row>
    <row r="7549" spans="13:13" x14ac:dyDescent="0.25">
      <c r="M7549" s="34">
        <f t="shared" si="293"/>
        <v>0</v>
      </c>
    </row>
    <row r="7550" spans="13:13" x14ac:dyDescent="0.25">
      <c r="M7550" s="34">
        <f t="shared" si="293"/>
        <v>0</v>
      </c>
    </row>
    <row r="7551" spans="13:13" x14ac:dyDescent="0.25">
      <c r="M7551" s="34">
        <f t="shared" si="293"/>
        <v>0</v>
      </c>
    </row>
    <row r="7552" spans="13:13" x14ac:dyDescent="0.25">
      <c r="M7552" s="34">
        <f t="shared" si="293"/>
        <v>0</v>
      </c>
    </row>
    <row r="7553" spans="13:13" x14ac:dyDescent="0.25">
      <c r="M7553" s="34">
        <f t="shared" si="293"/>
        <v>0</v>
      </c>
    </row>
    <row r="7554" spans="13:13" x14ac:dyDescent="0.25">
      <c r="M7554" s="34">
        <f t="shared" si="293"/>
        <v>0</v>
      </c>
    </row>
    <row r="7555" spans="13:13" x14ac:dyDescent="0.25">
      <c r="M7555" s="34">
        <f t="shared" ref="M7555:M7618" si="294">IF(AND(E7555="Chèque",G7555="RECETTE"),F7555,0)</f>
        <v>0</v>
      </c>
    </row>
    <row r="7556" spans="13:13" x14ac:dyDescent="0.25">
      <c r="M7556" s="34">
        <f t="shared" si="294"/>
        <v>0</v>
      </c>
    </row>
    <row r="7557" spans="13:13" x14ac:dyDescent="0.25">
      <c r="M7557" s="34">
        <f t="shared" si="294"/>
        <v>0</v>
      </c>
    </row>
    <row r="7558" spans="13:13" x14ac:dyDescent="0.25">
      <c r="M7558" s="34">
        <f t="shared" si="294"/>
        <v>0</v>
      </c>
    </row>
    <row r="7559" spans="13:13" x14ac:dyDescent="0.25">
      <c r="M7559" s="34">
        <f t="shared" si="294"/>
        <v>0</v>
      </c>
    </row>
    <row r="7560" spans="13:13" x14ac:dyDescent="0.25">
      <c r="M7560" s="34">
        <f t="shared" si="294"/>
        <v>0</v>
      </c>
    </row>
    <row r="7561" spans="13:13" x14ac:dyDescent="0.25">
      <c r="M7561" s="34">
        <f t="shared" si="294"/>
        <v>0</v>
      </c>
    </row>
    <row r="7562" spans="13:13" x14ac:dyDescent="0.25">
      <c r="M7562" s="34">
        <f t="shared" si="294"/>
        <v>0</v>
      </c>
    </row>
    <row r="7563" spans="13:13" x14ac:dyDescent="0.25">
      <c r="M7563" s="34">
        <f t="shared" si="294"/>
        <v>0</v>
      </c>
    </row>
    <row r="7564" spans="13:13" x14ac:dyDescent="0.25">
      <c r="M7564" s="34">
        <f t="shared" si="294"/>
        <v>0</v>
      </c>
    </row>
    <row r="7565" spans="13:13" x14ac:dyDescent="0.25">
      <c r="M7565" s="34">
        <f t="shared" si="294"/>
        <v>0</v>
      </c>
    </row>
    <row r="7566" spans="13:13" x14ac:dyDescent="0.25">
      <c r="M7566" s="34">
        <f t="shared" si="294"/>
        <v>0</v>
      </c>
    </row>
    <row r="7567" spans="13:13" x14ac:dyDescent="0.25">
      <c r="M7567" s="34">
        <f t="shared" si="294"/>
        <v>0</v>
      </c>
    </row>
    <row r="7568" spans="13:13" x14ac:dyDescent="0.25">
      <c r="M7568" s="34">
        <f t="shared" si="294"/>
        <v>0</v>
      </c>
    </row>
    <row r="7569" spans="13:13" x14ac:dyDescent="0.25">
      <c r="M7569" s="34">
        <f t="shared" si="294"/>
        <v>0</v>
      </c>
    </row>
    <row r="7570" spans="13:13" x14ac:dyDescent="0.25">
      <c r="M7570" s="34">
        <f t="shared" si="294"/>
        <v>0</v>
      </c>
    </row>
    <row r="7571" spans="13:13" x14ac:dyDescent="0.25">
      <c r="M7571" s="34">
        <f t="shared" si="294"/>
        <v>0</v>
      </c>
    </row>
    <row r="7572" spans="13:13" x14ac:dyDescent="0.25">
      <c r="M7572" s="34">
        <f t="shared" si="294"/>
        <v>0</v>
      </c>
    </row>
    <row r="7573" spans="13:13" x14ac:dyDescent="0.25">
      <c r="M7573" s="34">
        <f t="shared" si="294"/>
        <v>0</v>
      </c>
    </row>
    <row r="7574" spans="13:13" x14ac:dyDescent="0.25">
      <c r="M7574" s="34">
        <f t="shared" si="294"/>
        <v>0</v>
      </c>
    </row>
    <row r="7575" spans="13:13" x14ac:dyDescent="0.25">
      <c r="M7575" s="34">
        <f t="shared" si="294"/>
        <v>0</v>
      </c>
    </row>
    <row r="7576" spans="13:13" x14ac:dyDescent="0.25">
      <c r="M7576" s="34">
        <f t="shared" si="294"/>
        <v>0</v>
      </c>
    </row>
    <row r="7577" spans="13:13" x14ac:dyDescent="0.25">
      <c r="M7577" s="34">
        <f t="shared" si="294"/>
        <v>0</v>
      </c>
    </row>
    <row r="7578" spans="13:13" x14ac:dyDescent="0.25">
      <c r="M7578" s="34">
        <f t="shared" si="294"/>
        <v>0</v>
      </c>
    </row>
    <row r="7579" spans="13:13" x14ac:dyDescent="0.25">
      <c r="M7579" s="34">
        <f t="shared" si="294"/>
        <v>0</v>
      </c>
    </row>
    <row r="7580" spans="13:13" x14ac:dyDescent="0.25">
      <c r="M7580" s="34">
        <f t="shared" si="294"/>
        <v>0</v>
      </c>
    </row>
    <row r="7581" spans="13:13" x14ac:dyDescent="0.25">
      <c r="M7581" s="34">
        <f t="shared" si="294"/>
        <v>0</v>
      </c>
    </row>
    <row r="7582" spans="13:13" x14ac:dyDescent="0.25">
      <c r="M7582" s="34">
        <f t="shared" si="294"/>
        <v>0</v>
      </c>
    </row>
    <row r="7583" spans="13:13" x14ac:dyDescent="0.25">
      <c r="M7583" s="34">
        <f t="shared" si="294"/>
        <v>0</v>
      </c>
    </row>
    <row r="7584" spans="13:13" x14ac:dyDescent="0.25">
      <c r="M7584" s="34">
        <f t="shared" si="294"/>
        <v>0</v>
      </c>
    </row>
    <row r="7585" spans="13:13" x14ac:dyDescent="0.25">
      <c r="M7585" s="34">
        <f t="shared" si="294"/>
        <v>0</v>
      </c>
    </row>
    <row r="7586" spans="13:13" x14ac:dyDescent="0.25">
      <c r="M7586" s="34">
        <f t="shared" si="294"/>
        <v>0</v>
      </c>
    </row>
    <row r="7587" spans="13:13" x14ac:dyDescent="0.25">
      <c r="M7587" s="34">
        <f t="shared" si="294"/>
        <v>0</v>
      </c>
    </row>
    <row r="7588" spans="13:13" x14ac:dyDescent="0.25">
      <c r="M7588" s="34">
        <f t="shared" si="294"/>
        <v>0</v>
      </c>
    </row>
    <row r="7589" spans="13:13" x14ac:dyDescent="0.25">
      <c r="M7589" s="34">
        <f t="shared" si="294"/>
        <v>0</v>
      </c>
    </row>
    <row r="7590" spans="13:13" x14ac:dyDescent="0.25">
      <c r="M7590" s="34">
        <f t="shared" si="294"/>
        <v>0</v>
      </c>
    </row>
    <row r="7591" spans="13:13" x14ac:dyDescent="0.25">
      <c r="M7591" s="34">
        <f t="shared" si="294"/>
        <v>0</v>
      </c>
    </row>
    <row r="7592" spans="13:13" x14ac:dyDescent="0.25">
      <c r="M7592" s="34">
        <f t="shared" si="294"/>
        <v>0</v>
      </c>
    </row>
    <row r="7593" spans="13:13" x14ac:dyDescent="0.25">
      <c r="M7593" s="34">
        <f t="shared" si="294"/>
        <v>0</v>
      </c>
    </row>
    <row r="7594" spans="13:13" x14ac:dyDescent="0.25">
      <c r="M7594" s="34">
        <f t="shared" si="294"/>
        <v>0</v>
      </c>
    </row>
    <row r="7595" spans="13:13" x14ac:dyDescent="0.25">
      <c r="M7595" s="34">
        <f t="shared" si="294"/>
        <v>0</v>
      </c>
    </row>
    <row r="7596" spans="13:13" x14ac:dyDescent="0.25">
      <c r="M7596" s="34">
        <f t="shared" si="294"/>
        <v>0</v>
      </c>
    </row>
    <row r="7597" spans="13:13" x14ac:dyDescent="0.25">
      <c r="M7597" s="34">
        <f t="shared" si="294"/>
        <v>0</v>
      </c>
    </row>
    <row r="7598" spans="13:13" x14ac:dyDescent="0.25">
      <c r="M7598" s="34">
        <f t="shared" si="294"/>
        <v>0</v>
      </c>
    </row>
    <row r="7599" spans="13:13" x14ac:dyDescent="0.25">
      <c r="M7599" s="34">
        <f t="shared" si="294"/>
        <v>0</v>
      </c>
    </row>
    <row r="7600" spans="13:13" x14ac:dyDescent="0.25">
      <c r="M7600" s="34">
        <f t="shared" si="294"/>
        <v>0</v>
      </c>
    </row>
    <row r="7601" spans="13:13" x14ac:dyDescent="0.25">
      <c r="M7601" s="34">
        <f t="shared" si="294"/>
        <v>0</v>
      </c>
    </row>
    <row r="7602" spans="13:13" x14ac:dyDescent="0.25">
      <c r="M7602" s="34">
        <f t="shared" si="294"/>
        <v>0</v>
      </c>
    </row>
    <row r="7603" spans="13:13" x14ac:dyDescent="0.25">
      <c r="M7603" s="34">
        <f t="shared" si="294"/>
        <v>0</v>
      </c>
    </row>
    <row r="7604" spans="13:13" x14ac:dyDescent="0.25">
      <c r="M7604" s="34">
        <f t="shared" si="294"/>
        <v>0</v>
      </c>
    </row>
    <row r="7605" spans="13:13" x14ac:dyDescent="0.25">
      <c r="M7605" s="34">
        <f t="shared" si="294"/>
        <v>0</v>
      </c>
    </row>
    <row r="7606" spans="13:13" x14ac:dyDescent="0.25">
      <c r="M7606" s="34">
        <f t="shared" si="294"/>
        <v>0</v>
      </c>
    </row>
    <row r="7607" spans="13:13" x14ac:dyDescent="0.25">
      <c r="M7607" s="34">
        <f t="shared" si="294"/>
        <v>0</v>
      </c>
    </row>
    <row r="7608" spans="13:13" x14ac:dyDescent="0.25">
      <c r="M7608" s="34">
        <f t="shared" si="294"/>
        <v>0</v>
      </c>
    </row>
    <row r="7609" spans="13:13" x14ac:dyDescent="0.25">
      <c r="M7609" s="34">
        <f t="shared" si="294"/>
        <v>0</v>
      </c>
    </row>
    <row r="7610" spans="13:13" x14ac:dyDescent="0.25">
      <c r="M7610" s="34">
        <f t="shared" si="294"/>
        <v>0</v>
      </c>
    </row>
    <row r="7611" spans="13:13" x14ac:dyDescent="0.25">
      <c r="M7611" s="34">
        <f t="shared" si="294"/>
        <v>0</v>
      </c>
    </row>
    <row r="7612" spans="13:13" x14ac:dyDescent="0.25">
      <c r="M7612" s="34">
        <f t="shared" si="294"/>
        <v>0</v>
      </c>
    </row>
    <row r="7613" spans="13:13" x14ac:dyDescent="0.25">
      <c r="M7613" s="34">
        <f t="shared" si="294"/>
        <v>0</v>
      </c>
    </row>
    <row r="7614" spans="13:13" x14ac:dyDescent="0.25">
      <c r="M7614" s="34">
        <f t="shared" si="294"/>
        <v>0</v>
      </c>
    </row>
    <row r="7615" spans="13:13" x14ac:dyDescent="0.25">
      <c r="M7615" s="34">
        <f t="shared" si="294"/>
        <v>0</v>
      </c>
    </row>
    <row r="7616" spans="13:13" x14ac:dyDescent="0.25">
      <c r="M7616" s="34">
        <f t="shared" si="294"/>
        <v>0</v>
      </c>
    </row>
    <row r="7617" spans="13:13" x14ac:dyDescent="0.25">
      <c r="M7617" s="34">
        <f t="shared" si="294"/>
        <v>0</v>
      </c>
    </row>
    <row r="7618" spans="13:13" x14ac:dyDescent="0.25">
      <c r="M7618" s="34">
        <f t="shared" si="294"/>
        <v>0</v>
      </c>
    </row>
    <row r="7619" spans="13:13" x14ac:dyDescent="0.25">
      <c r="M7619" s="34">
        <f t="shared" ref="M7619:M7682" si="295">IF(AND(E7619="Chèque",G7619="RECETTE"),F7619,0)</f>
        <v>0</v>
      </c>
    </row>
    <row r="7620" spans="13:13" x14ac:dyDescent="0.25">
      <c r="M7620" s="34">
        <f t="shared" si="295"/>
        <v>0</v>
      </c>
    </row>
    <row r="7621" spans="13:13" x14ac:dyDescent="0.25">
      <c r="M7621" s="34">
        <f t="shared" si="295"/>
        <v>0</v>
      </c>
    </row>
    <row r="7622" spans="13:13" x14ac:dyDescent="0.25">
      <c r="M7622" s="34">
        <f t="shared" si="295"/>
        <v>0</v>
      </c>
    </row>
    <row r="7623" spans="13:13" x14ac:dyDescent="0.25">
      <c r="M7623" s="34">
        <f t="shared" si="295"/>
        <v>0</v>
      </c>
    </row>
    <row r="7624" spans="13:13" x14ac:dyDescent="0.25">
      <c r="M7624" s="34">
        <f t="shared" si="295"/>
        <v>0</v>
      </c>
    </row>
    <row r="7625" spans="13:13" x14ac:dyDescent="0.25">
      <c r="M7625" s="34">
        <f t="shared" si="295"/>
        <v>0</v>
      </c>
    </row>
    <row r="7626" spans="13:13" x14ac:dyDescent="0.25">
      <c r="M7626" s="34">
        <f t="shared" si="295"/>
        <v>0</v>
      </c>
    </row>
    <row r="7627" spans="13:13" x14ac:dyDescent="0.25">
      <c r="M7627" s="34">
        <f t="shared" si="295"/>
        <v>0</v>
      </c>
    </row>
    <row r="7628" spans="13:13" x14ac:dyDescent="0.25">
      <c r="M7628" s="34">
        <f t="shared" si="295"/>
        <v>0</v>
      </c>
    </row>
    <row r="7629" spans="13:13" x14ac:dyDescent="0.25">
      <c r="M7629" s="34">
        <f t="shared" si="295"/>
        <v>0</v>
      </c>
    </row>
    <row r="7630" spans="13:13" x14ac:dyDescent="0.25">
      <c r="M7630" s="34">
        <f t="shared" si="295"/>
        <v>0</v>
      </c>
    </row>
    <row r="7631" spans="13:13" x14ac:dyDescent="0.25">
      <c r="M7631" s="34">
        <f t="shared" si="295"/>
        <v>0</v>
      </c>
    </row>
    <row r="7632" spans="13:13" x14ac:dyDescent="0.25">
      <c r="M7632" s="34">
        <f t="shared" si="295"/>
        <v>0</v>
      </c>
    </row>
    <row r="7633" spans="13:13" x14ac:dyDescent="0.25">
      <c r="M7633" s="34">
        <f t="shared" si="295"/>
        <v>0</v>
      </c>
    </row>
    <row r="7634" spans="13:13" x14ac:dyDescent="0.25">
      <c r="M7634" s="34">
        <f t="shared" si="295"/>
        <v>0</v>
      </c>
    </row>
    <row r="7635" spans="13:13" x14ac:dyDescent="0.25">
      <c r="M7635" s="34">
        <f t="shared" si="295"/>
        <v>0</v>
      </c>
    </row>
    <row r="7636" spans="13:13" x14ac:dyDescent="0.25">
      <c r="M7636" s="34">
        <f t="shared" si="295"/>
        <v>0</v>
      </c>
    </row>
    <row r="7637" spans="13:13" x14ac:dyDescent="0.25">
      <c r="M7637" s="34">
        <f t="shared" si="295"/>
        <v>0</v>
      </c>
    </row>
    <row r="7638" spans="13:13" x14ac:dyDescent="0.25">
      <c r="M7638" s="34">
        <f t="shared" si="295"/>
        <v>0</v>
      </c>
    </row>
    <row r="7639" spans="13:13" x14ac:dyDescent="0.25">
      <c r="M7639" s="34">
        <f t="shared" si="295"/>
        <v>0</v>
      </c>
    </row>
    <row r="7640" spans="13:13" x14ac:dyDescent="0.25">
      <c r="M7640" s="34">
        <f t="shared" si="295"/>
        <v>0</v>
      </c>
    </row>
    <row r="7641" spans="13:13" x14ac:dyDescent="0.25">
      <c r="M7641" s="34">
        <f t="shared" si="295"/>
        <v>0</v>
      </c>
    </row>
    <row r="7642" spans="13:13" x14ac:dyDescent="0.25">
      <c r="M7642" s="34">
        <f t="shared" si="295"/>
        <v>0</v>
      </c>
    </row>
    <row r="7643" spans="13:13" x14ac:dyDescent="0.25">
      <c r="M7643" s="34">
        <f t="shared" si="295"/>
        <v>0</v>
      </c>
    </row>
    <row r="7644" spans="13:13" x14ac:dyDescent="0.25">
      <c r="M7644" s="34">
        <f t="shared" si="295"/>
        <v>0</v>
      </c>
    </row>
    <row r="7645" spans="13:13" x14ac:dyDescent="0.25">
      <c r="M7645" s="34">
        <f t="shared" si="295"/>
        <v>0</v>
      </c>
    </row>
    <row r="7646" spans="13:13" x14ac:dyDescent="0.25">
      <c r="M7646" s="34">
        <f t="shared" si="295"/>
        <v>0</v>
      </c>
    </row>
    <row r="7647" spans="13:13" x14ac:dyDescent="0.25">
      <c r="M7647" s="34">
        <f t="shared" si="295"/>
        <v>0</v>
      </c>
    </row>
    <row r="7648" spans="13:13" x14ac:dyDescent="0.25">
      <c r="M7648" s="34">
        <f t="shared" si="295"/>
        <v>0</v>
      </c>
    </row>
    <row r="7649" spans="13:13" x14ac:dyDescent="0.25">
      <c r="M7649" s="34">
        <f t="shared" si="295"/>
        <v>0</v>
      </c>
    </row>
    <row r="7650" spans="13:13" x14ac:dyDescent="0.25">
      <c r="M7650" s="34">
        <f t="shared" si="295"/>
        <v>0</v>
      </c>
    </row>
    <row r="7651" spans="13:13" x14ac:dyDescent="0.25">
      <c r="M7651" s="34">
        <f t="shared" si="295"/>
        <v>0</v>
      </c>
    </row>
    <row r="7652" spans="13:13" x14ac:dyDescent="0.25">
      <c r="M7652" s="34">
        <f t="shared" si="295"/>
        <v>0</v>
      </c>
    </row>
    <row r="7653" spans="13:13" x14ac:dyDescent="0.25">
      <c r="M7653" s="34">
        <f t="shared" si="295"/>
        <v>0</v>
      </c>
    </row>
    <row r="7654" spans="13:13" x14ac:dyDescent="0.25">
      <c r="M7654" s="34">
        <f t="shared" si="295"/>
        <v>0</v>
      </c>
    </row>
    <row r="7655" spans="13:13" x14ac:dyDescent="0.25">
      <c r="M7655" s="34">
        <f t="shared" si="295"/>
        <v>0</v>
      </c>
    </row>
    <row r="7656" spans="13:13" x14ac:dyDescent="0.25">
      <c r="M7656" s="34">
        <f t="shared" si="295"/>
        <v>0</v>
      </c>
    </row>
    <row r="7657" spans="13:13" x14ac:dyDescent="0.25">
      <c r="M7657" s="34">
        <f t="shared" si="295"/>
        <v>0</v>
      </c>
    </row>
    <row r="7658" spans="13:13" x14ac:dyDescent="0.25">
      <c r="M7658" s="34">
        <f t="shared" si="295"/>
        <v>0</v>
      </c>
    </row>
    <row r="7659" spans="13:13" x14ac:dyDescent="0.25">
      <c r="M7659" s="34">
        <f t="shared" si="295"/>
        <v>0</v>
      </c>
    </row>
    <row r="7660" spans="13:13" x14ac:dyDescent="0.25">
      <c r="M7660" s="34">
        <f t="shared" si="295"/>
        <v>0</v>
      </c>
    </row>
    <row r="7661" spans="13:13" x14ac:dyDescent="0.25">
      <c r="M7661" s="34">
        <f t="shared" si="295"/>
        <v>0</v>
      </c>
    </row>
    <row r="7662" spans="13:13" x14ac:dyDescent="0.25">
      <c r="M7662" s="34">
        <f t="shared" si="295"/>
        <v>0</v>
      </c>
    </row>
    <row r="7663" spans="13:13" x14ac:dyDescent="0.25">
      <c r="M7663" s="34">
        <f t="shared" si="295"/>
        <v>0</v>
      </c>
    </row>
    <row r="7664" spans="13:13" x14ac:dyDescent="0.25">
      <c r="M7664" s="34">
        <f t="shared" si="295"/>
        <v>0</v>
      </c>
    </row>
    <row r="7665" spans="13:13" x14ac:dyDescent="0.25">
      <c r="M7665" s="34">
        <f t="shared" si="295"/>
        <v>0</v>
      </c>
    </row>
    <row r="7666" spans="13:13" x14ac:dyDescent="0.25">
      <c r="M7666" s="34">
        <f t="shared" si="295"/>
        <v>0</v>
      </c>
    </row>
    <row r="7667" spans="13:13" x14ac:dyDescent="0.25">
      <c r="M7667" s="34">
        <f t="shared" si="295"/>
        <v>0</v>
      </c>
    </row>
    <row r="7668" spans="13:13" x14ac:dyDescent="0.25">
      <c r="M7668" s="34">
        <f t="shared" si="295"/>
        <v>0</v>
      </c>
    </row>
    <row r="7669" spans="13:13" x14ac:dyDescent="0.25">
      <c r="M7669" s="34">
        <f t="shared" si="295"/>
        <v>0</v>
      </c>
    </row>
    <row r="7670" spans="13:13" x14ac:dyDescent="0.25">
      <c r="M7670" s="34">
        <f t="shared" si="295"/>
        <v>0</v>
      </c>
    </row>
    <row r="7671" spans="13:13" x14ac:dyDescent="0.25">
      <c r="M7671" s="34">
        <f t="shared" si="295"/>
        <v>0</v>
      </c>
    </row>
    <row r="7672" spans="13:13" x14ac:dyDescent="0.25">
      <c r="M7672" s="34">
        <f t="shared" si="295"/>
        <v>0</v>
      </c>
    </row>
    <row r="7673" spans="13:13" x14ac:dyDescent="0.25">
      <c r="M7673" s="34">
        <f t="shared" si="295"/>
        <v>0</v>
      </c>
    </row>
    <row r="7674" spans="13:13" x14ac:dyDescent="0.25">
      <c r="M7674" s="34">
        <f t="shared" si="295"/>
        <v>0</v>
      </c>
    </row>
    <row r="7675" spans="13:13" x14ac:dyDescent="0.25">
      <c r="M7675" s="34">
        <f t="shared" si="295"/>
        <v>0</v>
      </c>
    </row>
    <row r="7676" spans="13:13" x14ac:dyDescent="0.25">
      <c r="M7676" s="34">
        <f t="shared" si="295"/>
        <v>0</v>
      </c>
    </row>
    <row r="7677" spans="13:13" x14ac:dyDescent="0.25">
      <c r="M7677" s="34">
        <f t="shared" si="295"/>
        <v>0</v>
      </c>
    </row>
    <row r="7678" spans="13:13" x14ac:dyDescent="0.25">
      <c r="M7678" s="34">
        <f t="shared" si="295"/>
        <v>0</v>
      </c>
    </row>
    <row r="7679" spans="13:13" x14ac:dyDescent="0.25">
      <c r="M7679" s="34">
        <f t="shared" si="295"/>
        <v>0</v>
      </c>
    </row>
    <row r="7680" spans="13:13" x14ac:dyDescent="0.25">
      <c r="M7680" s="34">
        <f t="shared" si="295"/>
        <v>0</v>
      </c>
    </row>
    <row r="7681" spans="13:13" x14ac:dyDescent="0.25">
      <c r="M7681" s="34">
        <f t="shared" si="295"/>
        <v>0</v>
      </c>
    </row>
    <row r="7682" spans="13:13" x14ac:dyDescent="0.25">
      <c r="M7682" s="34">
        <f t="shared" si="295"/>
        <v>0</v>
      </c>
    </row>
    <row r="7683" spans="13:13" x14ac:dyDescent="0.25">
      <c r="M7683" s="34">
        <f t="shared" ref="M7683:M7746" si="296">IF(AND(E7683="Chèque",G7683="RECETTE"),F7683,0)</f>
        <v>0</v>
      </c>
    </row>
    <row r="7684" spans="13:13" x14ac:dyDescent="0.25">
      <c r="M7684" s="34">
        <f t="shared" si="296"/>
        <v>0</v>
      </c>
    </row>
    <row r="7685" spans="13:13" x14ac:dyDescent="0.25">
      <c r="M7685" s="34">
        <f t="shared" si="296"/>
        <v>0</v>
      </c>
    </row>
    <row r="7686" spans="13:13" x14ac:dyDescent="0.25">
      <c r="M7686" s="34">
        <f t="shared" si="296"/>
        <v>0</v>
      </c>
    </row>
    <row r="7687" spans="13:13" x14ac:dyDescent="0.25">
      <c r="M7687" s="34">
        <f t="shared" si="296"/>
        <v>0</v>
      </c>
    </row>
    <row r="7688" spans="13:13" x14ac:dyDescent="0.25">
      <c r="M7688" s="34">
        <f t="shared" si="296"/>
        <v>0</v>
      </c>
    </row>
    <row r="7689" spans="13:13" x14ac:dyDescent="0.25">
      <c r="M7689" s="34">
        <f t="shared" si="296"/>
        <v>0</v>
      </c>
    </row>
    <row r="7690" spans="13:13" x14ac:dyDescent="0.25">
      <c r="M7690" s="34">
        <f t="shared" si="296"/>
        <v>0</v>
      </c>
    </row>
    <row r="7691" spans="13:13" x14ac:dyDescent="0.25">
      <c r="M7691" s="34">
        <f t="shared" si="296"/>
        <v>0</v>
      </c>
    </row>
    <row r="7692" spans="13:13" x14ac:dyDescent="0.25">
      <c r="M7692" s="34">
        <f t="shared" si="296"/>
        <v>0</v>
      </c>
    </row>
    <row r="7693" spans="13:13" x14ac:dyDescent="0.25">
      <c r="M7693" s="34">
        <f t="shared" si="296"/>
        <v>0</v>
      </c>
    </row>
    <row r="7694" spans="13:13" x14ac:dyDescent="0.25">
      <c r="M7694" s="34">
        <f t="shared" si="296"/>
        <v>0</v>
      </c>
    </row>
    <row r="7695" spans="13:13" x14ac:dyDescent="0.25">
      <c r="M7695" s="34">
        <f t="shared" si="296"/>
        <v>0</v>
      </c>
    </row>
    <row r="7696" spans="13:13" x14ac:dyDescent="0.25">
      <c r="M7696" s="34">
        <f t="shared" si="296"/>
        <v>0</v>
      </c>
    </row>
    <row r="7697" spans="13:13" x14ac:dyDescent="0.25">
      <c r="M7697" s="34">
        <f t="shared" si="296"/>
        <v>0</v>
      </c>
    </row>
    <row r="7698" spans="13:13" x14ac:dyDescent="0.25">
      <c r="M7698" s="34">
        <f t="shared" si="296"/>
        <v>0</v>
      </c>
    </row>
    <row r="7699" spans="13:13" x14ac:dyDescent="0.25">
      <c r="M7699" s="34">
        <f t="shared" si="296"/>
        <v>0</v>
      </c>
    </row>
    <row r="7700" spans="13:13" x14ac:dyDescent="0.25">
      <c r="M7700" s="34">
        <f t="shared" si="296"/>
        <v>0</v>
      </c>
    </row>
    <row r="7701" spans="13:13" x14ac:dyDescent="0.25">
      <c r="M7701" s="34">
        <f t="shared" si="296"/>
        <v>0</v>
      </c>
    </row>
    <row r="7702" spans="13:13" x14ac:dyDescent="0.25">
      <c r="M7702" s="34">
        <f t="shared" si="296"/>
        <v>0</v>
      </c>
    </row>
    <row r="7703" spans="13:13" x14ac:dyDescent="0.25">
      <c r="M7703" s="34">
        <f t="shared" si="296"/>
        <v>0</v>
      </c>
    </row>
    <row r="7704" spans="13:13" x14ac:dyDescent="0.25">
      <c r="M7704" s="34">
        <f t="shared" si="296"/>
        <v>0</v>
      </c>
    </row>
    <row r="7705" spans="13:13" x14ac:dyDescent="0.25">
      <c r="M7705" s="34">
        <f t="shared" si="296"/>
        <v>0</v>
      </c>
    </row>
    <row r="7706" spans="13:13" x14ac:dyDescent="0.25">
      <c r="M7706" s="34">
        <f t="shared" si="296"/>
        <v>0</v>
      </c>
    </row>
    <row r="7707" spans="13:13" x14ac:dyDescent="0.25">
      <c r="M7707" s="34">
        <f t="shared" si="296"/>
        <v>0</v>
      </c>
    </row>
    <row r="7708" spans="13:13" x14ac:dyDescent="0.25">
      <c r="M7708" s="34">
        <f t="shared" si="296"/>
        <v>0</v>
      </c>
    </row>
    <row r="7709" spans="13:13" x14ac:dyDescent="0.25">
      <c r="M7709" s="34">
        <f t="shared" si="296"/>
        <v>0</v>
      </c>
    </row>
    <row r="7710" spans="13:13" x14ac:dyDescent="0.25">
      <c r="M7710" s="34">
        <f t="shared" si="296"/>
        <v>0</v>
      </c>
    </row>
    <row r="7711" spans="13:13" x14ac:dyDescent="0.25">
      <c r="M7711" s="34">
        <f t="shared" si="296"/>
        <v>0</v>
      </c>
    </row>
    <row r="7712" spans="13:13" x14ac:dyDescent="0.25">
      <c r="M7712" s="34">
        <f t="shared" si="296"/>
        <v>0</v>
      </c>
    </row>
    <row r="7713" spans="13:13" x14ac:dyDescent="0.25">
      <c r="M7713" s="34">
        <f t="shared" si="296"/>
        <v>0</v>
      </c>
    </row>
    <row r="7714" spans="13:13" x14ac:dyDescent="0.25">
      <c r="M7714" s="34">
        <f t="shared" si="296"/>
        <v>0</v>
      </c>
    </row>
    <row r="7715" spans="13:13" x14ac:dyDescent="0.25">
      <c r="M7715" s="34">
        <f t="shared" si="296"/>
        <v>0</v>
      </c>
    </row>
    <row r="7716" spans="13:13" x14ac:dyDescent="0.25">
      <c r="M7716" s="34">
        <f t="shared" si="296"/>
        <v>0</v>
      </c>
    </row>
    <row r="7717" spans="13:13" x14ac:dyDescent="0.25">
      <c r="M7717" s="34">
        <f t="shared" si="296"/>
        <v>0</v>
      </c>
    </row>
    <row r="7718" spans="13:13" x14ac:dyDescent="0.25">
      <c r="M7718" s="34">
        <f t="shared" si="296"/>
        <v>0</v>
      </c>
    </row>
    <row r="7719" spans="13:13" x14ac:dyDescent="0.25">
      <c r="M7719" s="34">
        <f t="shared" si="296"/>
        <v>0</v>
      </c>
    </row>
    <row r="7720" spans="13:13" x14ac:dyDescent="0.25">
      <c r="M7720" s="34">
        <f t="shared" si="296"/>
        <v>0</v>
      </c>
    </row>
    <row r="7721" spans="13:13" x14ac:dyDescent="0.25">
      <c r="M7721" s="34">
        <f t="shared" si="296"/>
        <v>0</v>
      </c>
    </row>
    <row r="7722" spans="13:13" x14ac:dyDescent="0.25">
      <c r="M7722" s="34">
        <f t="shared" si="296"/>
        <v>0</v>
      </c>
    </row>
    <row r="7723" spans="13:13" x14ac:dyDescent="0.25">
      <c r="M7723" s="34">
        <f t="shared" si="296"/>
        <v>0</v>
      </c>
    </row>
    <row r="7724" spans="13:13" x14ac:dyDescent="0.25">
      <c r="M7724" s="34">
        <f t="shared" si="296"/>
        <v>0</v>
      </c>
    </row>
    <row r="7725" spans="13:13" x14ac:dyDescent="0.25">
      <c r="M7725" s="34">
        <f t="shared" si="296"/>
        <v>0</v>
      </c>
    </row>
    <row r="7726" spans="13:13" x14ac:dyDescent="0.25">
      <c r="M7726" s="34">
        <f t="shared" si="296"/>
        <v>0</v>
      </c>
    </row>
    <row r="7727" spans="13:13" x14ac:dyDescent="0.25">
      <c r="M7727" s="34">
        <f t="shared" si="296"/>
        <v>0</v>
      </c>
    </row>
    <row r="7728" spans="13:13" x14ac:dyDescent="0.25">
      <c r="M7728" s="34">
        <f t="shared" si="296"/>
        <v>0</v>
      </c>
    </row>
    <row r="7729" spans="13:13" x14ac:dyDescent="0.25">
      <c r="M7729" s="34">
        <f t="shared" si="296"/>
        <v>0</v>
      </c>
    </row>
    <row r="7730" spans="13:13" x14ac:dyDescent="0.25">
      <c r="M7730" s="34">
        <f t="shared" si="296"/>
        <v>0</v>
      </c>
    </row>
    <row r="7731" spans="13:13" x14ac:dyDescent="0.25">
      <c r="M7731" s="34">
        <f t="shared" si="296"/>
        <v>0</v>
      </c>
    </row>
    <row r="7732" spans="13:13" x14ac:dyDescent="0.25">
      <c r="M7732" s="34">
        <f t="shared" si="296"/>
        <v>0</v>
      </c>
    </row>
    <row r="7733" spans="13:13" x14ac:dyDescent="0.25">
      <c r="M7733" s="34">
        <f t="shared" si="296"/>
        <v>0</v>
      </c>
    </row>
    <row r="7734" spans="13:13" x14ac:dyDescent="0.25">
      <c r="M7734" s="34">
        <f t="shared" si="296"/>
        <v>0</v>
      </c>
    </row>
    <row r="7735" spans="13:13" x14ac:dyDescent="0.25">
      <c r="M7735" s="34">
        <f t="shared" si="296"/>
        <v>0</v>
      </c>
    </row>
    <row r="7736" spans="13:13" x14ac:dyDescent="0.25">
      <c r="M7736" s="34">
        <f t="shared" si="296"/>
        <v>0</v>
      </c>
    </row>
    <row r="7737" spans="13:13" x14ac:dyDescent="0.25">
      <c r="M7737" s="34">
        <f t="shared" si="296"/>
        <v>0</v>
      </c>
    </row>
    <row r="7738" spans="13:13" x14ac:dyDescent="0.25">
      <c r="M7738" s="34">
        <f t="shared" si="296"/>
        <v>0</v>
      </c>
    </row>
    <row r="7739" spans="13:13" x14ac:dyDescent="0.25">
      <c r="M7739" s="34">
        <f t="shared" si="296"/>
        <v>0</v>
      </c>
    </row>
    <row r="7740" spans="13:13" x14ac:dyDescent="0.25">
      <c r="M7740" s="34">
        <f t="shared" si="296"/>
        <v>0</v>
      </c>
    </row>
    <row r="7741" spans="13:13" x14ac:dyDescent="0.25">
      <c r="M7741" s="34">
        <f t="shared" si="296"/>
        <v>0</v>
      </c>
    </row>
    <row r="7742" spans="13:13" x14ac:dyDescent="0.25">
      <c r="M7742" s="34">
        <f t="shared" si="296"/>
        <v>0</v>
      </c>
    </row>
    <row r="7743" spans="13:13" x14ac:dyDescent="0.25">
      <c r="M7743" s="34">
        <f t="shared" si="296"/>
        <v>0</v>
      </c>
    </row>
    <row r="7744" spans="13:13" x14ac:dyDescent="0.25">
      <c r="M7744" s="34">
        <f t="shared" si="296"/>
        <v>0</v>
      </c>
    </row>
    <row r="7745" spans="13:13" x14ac:dyDescent="0.25">
      <c r="M7745" s="34">
        <f t="shared" si="296"/>
        <v>0</v>
      </c>
    </row>
    <row r="7746" spans="13:13" x14ac:dyDescent="0.25">
      <c r="M7746" s="34">
        <f t="shared" si="296"/>
        <v>0</v>
      </c>
    </row>
    <row r="7747" spans="13:13" x14ac:dyDescent="0.25">
      <c r="M7747" s="34">
        <f t="shared" ref="M7747:M7810" si="297">IF(AND(E7747="Chèque",G7747="RECETTE"),F7747,0)</f>
        <v>0</v>
      </c>
    </row>
    <row r="7748" spans="13:13" x14ac:dyDescent="0.25">
      <c r="M7748" s="34">
        <f t="shared" si="297"/>
        <v>0</v>
      </c>
    </row>
    <row r="7749" spans="13:13" x14ac:dyDescent="0.25">
      <c r="M7749" s="34">
        <f t="shared" si="297"/>
        <v>0</v>
      </c>
    </row>
    <row r="7750" spans="13:13" x14ac:dyDescent="0.25">
      <c r="M7750" s="34">
        <f t="shared" si="297"/>
        <v>0</v>
      </c>
    </row>
    <row r="7751" spans="13:13" x14ac:dyDescent="0.25">
      <c r="M7751" s="34">
        <f t="shared" si="297"/>
        <v>0</v>
      </c>
    </row>
    <row r="7752" spans="13:13" x14ac:dyDescent="0.25">
      <c r="M7752" s="34">
        <f t="shared" si="297"/>
        <v>0</v>
      </c>
    </row>
    <row r="7753" spans="13:13" x14ac:dyDescent="0.25">
      <c r="M7753" s="34">
        <f t="shared" si="297"/>
        <v>0</v>
      </c>
    </row>
    <row r="7754" spans="13:13" x14ac:dyDescent="0.25">
      <c r="M7754" s="34">
        <f t="shared" si="297"/>
        <v>0</v>
      </c>
    </row>
    <row r="7755" spans="13:13" x14ac:dyDescent="0.25">
      <c r="M7755" s="34">
        <f t="shared" si="297"/>
        <v>0</v>
      </c>
    </row>
    <row r="7756" spans="13:13" x14ac:dyDescent="0.25">
      <c r="M7756" s="34">
        <f t="shared" si="297"/>
        <v>0</v>
      </c>
    </row>
    <row r="7757" spans="13:13" x14ac:dyDescent="0.25">
      <c r="M7757" s="34">
        <f t="shared" si="297"/>
        <v>0</v>
      </c>
    </row>
    <row r="7758" spans="13:13" x14ac:dyDescent="0.25">
      <c r="M7758" s="34">
        <f t="shared" si="297"/>
        <v>0</v>
      </c>
    </row>
    <row r="7759" spans="13:13" x14ac:dyDescent="0.25">
      <c r="M7759" s="34">
        <f t="shared" si="297"/>
        <v>0</v>
      </c>
    </row>
    <row r="7760" spans="13:13" x14ac:dyDescent="0.25">
      <c r="M7760" s="34">
        <f t="shared" si="297"/>
        <v>0</v>
      </c>
    </row>
    <row r="7761" spans="13:13" x14ac:dyDescent="0.25">
      <c r="M7761" s="34">
        <f t="shared" si="297"/>
        <v>0</v>
      </c>
    </row>
    <row r="7762" spans="13:13" x14ac:dyDescent="0.25">
      <c r="M7762" s="34">
        <f t="shared" si="297"/>
        <v>0</v>
      </c>
    </row>
    <row r="7763" spans="13:13" x14ac:dyDescent="0.25">
      <c r="M7763" s="34">
        <f t="shared" si="297"/>
        <v>0</v>
      </c>
    </row>
    <row r="7764" spans="13:13" x14ac:dyDescent="0.25">
      <c r="M7764" s="34">
        <f t="shared" si="297"/>
        <v>0</v>
      </c>
    </row>
    <row r="7765" spans="13:13" x14ac:dyDescent="0.25">
      <c r="M7765" s="34">
        <f t="shared" si="297"/>
        <v>0</v>
      </c>
    </row>
    <row r="7766" spans="13:13" x14ac:dyDescent="0.25">
      <c r="M7766" s="34">
        <f t="shared" si="297"/>
        <v>0</v>
      </c>
    </row>
    <row r="7767" spans="13:13" x14ac:dyDescent="0.25">
      <c r="M7767" s="34">
        <f t="shared" si="297"/>
        <v>0</v>
      </c>
    </row>
    <row r="7768" spans="13:13" x14ac:dyDescent="0.25">
      <c r="M7768" s="34">
        <f t="shared" si="297"/>
        <v>0</v>
      </c>
    </row>
    <row r="7769" spans="13:13" x14ac:dyDescent="0.25">
      <c r="M7769" s="34">
        <f t="shared" si="297"/>
        <v>0</v>
      </c>
    </row>
    <row r="7770" spans="13:13" x14ac:dyDescent="0.25">
      <c r="M7770" s="34">
        <f t="shared" si="297"/>
        <v>0</v>
      </c>
    </row>
    <row r="7771" spans="13:13" x14ac:dyDescent="0.25">
      <c r="M7771" s="34">
        <f t="shared" si="297"/>
        <v>0</v>
      </c>
    </row>
    <row r="7772" spans="13:13" x14ac:dyDescent="0.25">
      <c r="M7772" s="34">
        <f t="shared" si="297"/>
        <v>0</v>
      </c>
    </row>
    <row r="7773" spans="13:13" x14ac:dyDescent="0.25">
      <c r="M7773" s="34">
        <f t="shared" si="297"/>
        <v>0</v>
      </c>
    </row>
    <row r="7774" spans="13:13" x14ac:dyDescent="0.25">
      <c r="M7774" s="34">
        <f t="shared" si="297"/>
        <v>0</v>
      </c>
    </row>
    <row r="7775" spans="13:13" x14ac:dyDescent="0.25">
      <c r="M7775" s="34">
        <f t="shared" si="297"/>
        <v>0</v>
      </c>
    </row>
    <row r="7776" spans="13:13" x14ac:dyDescent="0.25">
      <c r="M7776" s="34">
        <f t="shared" si="297"/>
        <v>0</v>
      </c>
    </row>
    <row r="7777" spans="13:13" x14ac:dyDescent="0.25">
      <c r="M7777" s="34">
        <f t="shared" si="297"/>
        <v>0</v>
      </c>
    </row>
    <row r="7778" spans="13:13" x14ac:dyDescent="0.25">
      <c r="M7778" s="34">
        <f t="shared" si="297"/>
        <v>0</v>
      </c>
    </row>
    <row r="7779" spans="13:13" x14ac:dyDescent="0.25">
      <c r="M7779" s="34">
        <f t="shared" si="297"/>
        <v>0</v>
      </c>
    </row>
    <row r="7780" spans="13:13" x14ac:dyDescent="0.25">
      <c r="M7780" s="34">
        <f t="shared" si="297"/>
        <v>0</v>
      </c>
    </row>
    <row r="7781" spans="13:13" x14ac:dyDescent="0.25">
      <c r="M7781" s="34">
        <f t="shared" si="297"/>
        <v>0</v>
      </c>
    </row>
    <row r="7782" spans="13:13" x14ac:dyDescent="0.25">
      <c r="M7782" s="34">
        <f t="shared" si="297"/>
        <v>0</v>
      </c>
    </row>
    <row r="7783" spans="13:13" x14ac:dyDescent="0.25">
      <c r="M7783" s="34">
        <f t="shared" si="297"/>
        <v>0</v>
      </c>
    </row>
    <row r="7784" spans="13:13" x14ac:dyDescent="0.25">
      <c r="M7784" s="34">
        <f t="shared" si="297"/>
        <v>0</v>
      </c>
    </row>
    <row r="7785" spans="13:13" x14ac:dyDescent="0.25">
      <c r="M7785" s="34">
        <f t="shared" si="297"/>
        <v>0</v>
      </c>
    </row>
    <row r="7786" spans="13:13" x14ac:dyDescent="0.25">
      <c r="M7786" s="34">
        <f t="shared" si="297"/>
        <v>0</v>
      </c>
    </row>
    <row r="7787" spans="13:13" x14ac:dyDescent="0.25">
      <c r="M7787" s="34">
        <f t="shared" si="297"/>
        <v>0</v>
      </c>
    </row>
    <row r="7788" spans="13:13" x14ac:dyDescent="0.25">
      <c r="M7788" s="34">
        <f t="shared" si="297"/>
        <v>0</v>
      </c>
    </row>
    <row r="7789" spans="13:13" x14ac:dyDescent="0.25">
      <c r="M7789" s="34">
        <f t="shared" si="297"/>
        <v>0</v>
      </c>
    </row>
    <row r="7790" spans="13:13" x14ac:dyDescent="0.25">
      <c r="M7790" s="34">
        <f t="shared" si="297"/>
        <v>0</v>
      </c>
    </row>
    <row r="7791" spans="13:13" x14ac:dyDescent="0.25">
      <c r="M7791" s="34">
        <f t="shared" si="297"/>
        <v>0</v>
      </c>
    </row>
    <row r="7792" spans="13:13" x14ac:dyDescent="0.25">
      <c r="M7792" s="34">
        <f t="shared" si="297"/>
        <v>0</v>
      </c>
    </row>
    <row r="7793" spans="13:13" x14ac:dyDescent="0.25">
      <c r="M7793" s="34">
        <f t="shared" si="297"/>
        <v>0</v>
      </c>
    </row>
    <row r="7794" spans="13:13" x14ac:dyDescent="0.25">
      <c r="M7794" s="34">
        <f t="shared" si="297"/>
        <v>0</v>
      </c>
    </row>
    <row r="7795" spans="13:13" x14ac:dyDescent="0.25">
      <c r="M7795" s="34">
        <f t="shared" si="297"/>
        <v>0</v>
      </c>
    </row>
    <row r="7796" spans="13:13" x14ac:dyDescent="0.25">
      <c r="M7796" s="34">
        <f t="shared" si="297"/>
        <v>0</v>
      </c>
    </row>
    <row r="7797" spans="13:13" x14ac:dyDescent="0.25">
      <c r="M7797" s="34">
        <f t="shared" si="297"/>
        <v>0</v>
      </c>
    </row>
    <row r="7798" spans="13:13" x14ac:dyDescent="0.25">
      <c r="M7798" s="34">
        <f t="shared" si="297"/>
        <v>0</v>
      </c>
    </row>
    <row r="7799" spans="13:13" x14ac:dyDescent="0.25">
      <c r="M7799" s="34">
        <f t="shared" si="297"/>
        <v>0</v>
      </c>
    </row>
    <row r="7800" spans="13:13" x14ac:dyDescent="0.25">
      <c r="M7800" s="34">
        <f t="shared" si="297"/>
        <v>0</v>
      </c>
    </row>
    <row r="7801" spans="13:13" x14ac:dyDescent="0.25">
      <c r="M7801" s="34">
        <f t="shared" si="297"/>
        <v>0</v>
      </c>
    </row>
    <row r="7802" spans="13:13" x14ac:dyDescent="0.25">
      <c r="M7802" s="34">
        <f t="shared" si="297"/>
        <v>0</v>
      </c>
    </row>
    <row r="7803" spans="13:13" x14ac:dyDescent="0.25">
      <c r="M7803" s="34">
        <f t="shared" si="297"/>
        <v>0</v>
      </c>
    </row>
    <row r="7804" spans="13:13" x14ac:dyDescent="0.25">
      <c r="M7804" s="34">
        <f t="shared" si="297"/>
        <v>0</v>
      </c>
    </row>
    <row r="7805" spans="13:13" x14ac:dyDescent="0.25">
      <c r="M7805" s="34">
        <f t="shared" si="297"/>
        <v>0</v>
      </c>
    </row>
    <row r="7806" spans="13:13" x14ac:dyDescent="0.25">
      <c r="M7806" s="34">
        <f t="shared" si="297"/>
        <v>0</v>
      </c>
    </row>
    <row r="7807" spans="13:13" x14ac:dyDescent="0.25">
      <c r="M7807" s="34">
        <f t="shared" si="297"/>
        <v>0</v>
      </c>
    </row>
    <row r="7808" spans="13:13" x14ac:dyDescent="0.25">
      <c r="M7808" s="34">
        <f t="shared" si="297"/>
        <v>0</v>
      </c>
    </row>
    <row r="7809" spans="13:13" x14ac:dyDescent="0.25">
      <c r="M7809" s="34">
        <f t="shared" si="297"/>
        <v>0</v>
      </c>
    </row>
    <row r="7810" spans="13:13" x14ac:dyDescent="0.25">
      <c r="M7810" s="34">
        <f t="shared" si="297"/>
        <v>0</v>
      </c>
    </row>
    <row r="7811" spans="13:13" x14ac:dyDescent="0.25">
      <c r="M7811" s="34">
        <f t="shared" ref="M7811:M7874" si="298">IF(AND(E7811="Chèque",G7811="RECETTE"),F7811,0)</f>
        <v>0</v>
      </c>
    </row>
    <row r="7812" spans="13:13" x14ac:dyDescent="0.25">
      <c r="M7812" s="34">
        <f t="shared" si="298"/>
        <v>0</v>
      </c>
    </row>
    <row r="7813" spans="13:13" x14ac:dyDescent="0.25">
      <c r="M7813" s="34">
        <f t="shared" si="298"/>
        <v>0</v>
      </c>
    </row>
    <row r="7814" spans="13:13" x14ac:dyDescent="0.25">
      <c r="M7814" s="34">
        <f t="shared" si="298"/>
        <v>0</v>
      </c>
    </row>
    <row r="7815" spans="13:13" x14ac:dyDescent="0.25">
      <c r="M7815" s="34">
        <f t="shared" si="298"/>
        <v>0</v>
      </c>
    </row>
    <row r="7816" spans="13:13" x14ac:dyDescent="0.25">
      <c r="M7816" s="34">
        <f t="shared" si="298"/>
        <v>0</v>
      </c>
    </row>
    <row r="7817" spans="13:13" x14ac:dyDescent="0.25">
      <c r="M7817" s="34">
        <f t="shared" si="298"/>
        <v>0</v>
      </c>
    </row>
    <row r="7818" spans="13:13" x14ac:dyDescent="0.25">
      <c r="M7818" s="34">
        <f t="shared" si="298"/>
        <v>0</v>
      </c>
    </row>
    <row r="7819" spans="13:13" x14ac:dyDescent="0.25">
      <c r="M7819" s="34">
        <f t="shared" si="298"/>
        <v>0</v>
      </c>
    </row>
    <row r="7820" spans="13:13" x14ac:dyDescent="0.25">
      <c r="M7820" s="34">
        <f t="shared" si="298"/>
        <v>0</v>
      </c>
    </row>
    <row r="7821" spans="13:13" x14ac:dyDescent="0.25">
      <c r="M7821" s="34">
        <f t="shared" si="298"/>
        <v>0</v>
      </c>
    </row>
    <row r="7822" spans="13:13" x14ac:dyDescent="0.25">
      <c r="M7822" s="34">
        <f t="shared" si="298"/>
        <v>0</v>
      </c>
    </row>
    <row r="7823" spans="13:13" x14ac:dyDescent="0.25">
      <c r="M7823" s="34">
        <f t="shared" si="298"/>
        <v>0</v>
      </c>
    </row>
    <row r="7824" spans="13:13" x14ac:dyDescent="0.25">
      <c r="M7824" s="34">
        <f t="shared" si="298"/>
        <v>0</v>
      </c>
    </row>
    <row r="7825" spans="13:13" x14ac:dyDescent="0.25">
      <c r="M7825" s="34">
        <f t="shared" si="298"/>
        <v>0</v>
      </c>
    </row>
    <row r="7826" spans="13:13" x14ac:dyDescent="0.25">
      <c r="M7826" s="34">
        <f t="shared" si="298"/>
        <v>0</v>
      </c>
    </row>
    <row r="7827" spans="13:13" x14ac:dyDescent="0.25">
      <c r="M7827" s="34">
        <f t="shared" si="298"/>
        <v>0</v>
      </c>
    </row>
    <row r="7828" spans="13:13" x14ac:dyDescent="0.25">
      <c r="M7828" s="34">
        <f t="shared" si="298"/>
        <v>0</v>
      </c>
    </row>
    <row r="7829" spans="13:13" x14ac:dyDescent="0.25">
      <c r="M7829" s="34">
        <f t="shared" si="298"/>
        <v>0</v>
      </c>
    </row>
    <row r="7830" spans="13:13" x14ac:dyDescent="0.25">
      <c r="M7830" s="34">
        <f t="shared" si="298"/>
        <v>0</v>
      </c>
    </row>
    <row r="7831" spans="13:13" x14ac:dyDescent="0.25">
      <c r="M7831" s="34">
        <f t="shared" si="298"/>
        <v>0</v>
      </c>
    </row>
    <row r="7832" spans="13:13" x14ac:dyDescent="0.25">
      <c r="M7832" s="34">
        <f t="shared" si="298"/>
        <v>0</v>
      </c>
    </row>
    <row r="7833" spans="13:13" x14ac:dyDescent="0.25">
      <c r="M7833" s="34">
        <f t="shared" si="298"/>
        <v>0</v>
      </c>
    </row>
    <row r="7834" spans="13:13" x14ac:dyDescent="0.25">
      <c r="M7834" s="34">
        <f t="shared" si="298"/>
        <v>0</v>
      </c>
    </row>
    <row r="7835" spans="13:13" x14ac:dyDescent="0.25">
      <c r="M7835" s="34">
        <f t="shared" si="298"/>
        <v>0</v>
      </c>
    </row>
    <row r="7836" spans="13:13" x14ac:dyDescent="0.25">
      <c r="M7836" s="34">
        <f t="shared" si="298"/>
        <v>0</v>
      </c>
    </row>
    <row r="7837" spans="13:13" x14ac:dyDescent="0.25">
      <c r="M7837" s="34">
        <f t="shared" si="298"/>
        <v>0</v>
      </c>
    </row>
    <row r="7838" spans="13:13" x14ac:dyDescent="0.25">
      <c r="M7838" s="34">
        <f t="shared" si="298"/>
        <v>0</v>
      </c>
    </row>
    <row r="7839" spans="13:13" x14ac:dyDescent="0.25">
      <c r="M7839" s="34">
        <f t="shared" si="298"/>
        <v>0</v>
      </c>
    </row>
    <row r="7840" spans="13:13" x14ac:dyDescent="0.25">
      <c r="M7840" s="34">
        <f t="shared" si="298"/>
        <v>0</v>
      </c>
    </row>
    <row r="7841" spans="13:13" x14ac:dyDescent="0.25">
      <c r="M7841" s="34">
        <f t="shared" si="298"/>
        <v>0</v>
      </c>
    </row>
    <row r="7842" spans="13:13" x14ac:dyDescent="0.25">
      <c r="M7842" s="34">
        <f t="shared" si="298"/>
        <v>0</v>
      </c>
    </row>
    <row r="7843" spans="13:13" x14ac:dyDescent="0.25">
      <c r="M7843" s="34">
        <f t="shared" si="298"/>
        <v>0</v>
      </c>
    </row>
    <row r="7844" spans="13:13" x14ac:dyDescent="0.25">
      <c r="M7844" s="34">
        <f t="shared" si="298"/>
        <v>0</v>
      </c>
    </row>
    <row r="7845" spans="13:13" x14ac:dyDescent="0.25">
      <c r="M7845" s="34">
        <f t="shared" si="298"/>
        <v>0</v>
      </c>
    </row>
    <row r="7846" spans="13:13" x14ac:dyDescent="0.25">
      <c r="M7846" s="34">
        <f t="shared" si="298"/>
        <v>0</v>
      </c>
    </row>
    <row r="7847" spans="13:13" x14ac:dyDescent="0.25">
      <c r="M7847" s="34">
        <f t="shared" si="298"/>
        <v>0</v>
      </c>
    </row>
    <row r="7848" spans="13:13" x14ac:dyDescent="0.25">
      <c r="M7848" s="34">
        <f t="shared" si="298"/>
        <v>0</v>
      </c>
    </row>
    <row r="7849" spans="13:13" x14ac:dyDescent="0.25">
      <c r="M7849" s="34">
        <f t="shared" si="298"/>
        <v>0</v>
      </c>
    </row>
    <row r="7850" spans="13:13" x14ac:dyDescent="0.25">
      <c r="M7850" s="34">
        <f t="shared" si="298"/>
        <v>0</v>
      </c>
    </row>
    <row r="7851" spans="13:13" x14ac:dyDescent="0.25">
      <c r="M7851" s="34">
        <f t="shared" si="298"/>
        <v>0</v>
      </c>
    </row>
    <row r="7852" spans="13:13" x14ac:dyDescent="0.25">
      <c r="M7852" s="34">
        <f t="shared" si="298"/>
        <v>0</v>
      </c>
    </row>
    <row r="7853" spans="13:13" x14ac:dyDescent="0.25">
      <c r="M7853" s="34">
        <f t="shared" si="298"/>
        <v>0</v>
      </c>
    </row>
    <row r="7854" spans="13:13" x14ac:dyDescent="0.25">
      <c r="M7854" s="34">
        <f t="shared" si="298"/>
        <v>0</v>
      </c>
    </row>
    <row r="7855" spans="13:13" x14ac:dyDescent="0.25">
      <c r="M7855" s="34">
        <f t="shared" si="298"/>
        <v>0</v>
      </c>
    </row>
    <row r="7856" spans="13:13" x14ac:dyDescent="0.25">
      <c r="M7856" s="34">
        <f t="shared" si="298"/>
        <v>0</v>
      </c>
    </row>
    <row r="7857" spans="13:13" x14ac:dyDescent="0.25">
      <c r="M7857" s="34">
        <f t="shared" si="298"/>
        <v>0</v>
      </c>
    </row>
    <row r="7858" spans="13:13" x14ac:dyDescent="0.25">
      <c r="M7858" s="34">
        <f t="shared" si="298"/>
        <v>0</v>
      </c>
    </row>
    <row r="7859" spans="13:13" x14ac:dyDescent="0.25">
      <c r="M7859" s="34">
        <f t="shared" si="298"/>
        <v>0</v>
      </c>
    </row>
    <row r="7860" spans="13:13" x14ac:dyDescent="0.25">
      <c r="M7860" s="34">
        <f t="shared" si="298"/>
        <v>0</v>
      </c>
    </row>
    <row r="7861" spans="13:13" x14ac:dyDescent="0.25">
      <c r="M7861" s="34">
        <f t="shared" si="298"/>
        <v>0</v>
      </c>
    </row>
    <row r="7862" spans="13:13" x14ac:dyDescent="0.25">
      <c r="M7862" s="34">
        <f t="shared" si="298"/>
        <v>0</v>
      </c>
    </row>
    <row r="7863" spans="13:13" x14ac:dyDescent="0.25">
      <c r="M7863" s="34">
        <f t="shared" si="298"/>
        <v>0</v>
      </c>
    </row>
    <row r="7864" spans="13:13" x14ac:dyDescent="0.25">
      <c r="M7864" s="34">
        <f t="shared" si="298"/>
        <v>0</v>
      </c>
    </row>
    <row r="7865" spans="13:13" x14ac:dyDescent="0.25">
      <c r="M7865" s="34">
        <f t="shared" si="298"/>
        <v>0</v>
      </c>
    </row>
    <row r="7866" spans="13:13" x14ac:dyDescent="0.25">
      <c r="M7866" s="34">
        <f t="shared" si="298"/>
        <v>0</v>
      </c>
    </row>
    <row r="7867" spans="13:13" x14ac:dyDescent="0.25">
      <c r="M7867" s="34">
        <f t="shared" si="298"/>
        <v>0</v>
      </c>
    </row>
    <row r="7868" spans="13:13" x14ac:dyDescent="0.25">
      <c r="M7868" s="34">
        <f t="shared" si="298"/>
        <v>0</v>
      </c>
    </row>
    <row r="7869" spans="13:13" x14ac:dyDescent="0.25">
      <c r="M7869" s="34">
        <f t="shared" si="298"/>
        <v>0</v>
      </c>
    </row>
    <row r="7870" spans="13:13" x14ac:dyDescent="0.25">
      <c r="M7870" s="34">
        <f t="shared" si="298"/>
        <v>0</v>
      </c>
    </row>
    <row r="7871" spans="13:13" x14ac:dyDescent="0.25">
      <c r="M7871" s="34">
        <f t="shared" si="298"/>
        <v>0</v>
      </c>
    </row>
    <row r="7872" spans="13:13" x14ac:dyDescent="0.25">
      <c r="M7872" s="34">
        <f t="shared" si="298"/>
        <v>0</v>
      </c>
    </row>
    <row r="7873" spans="13:13" x14ac:dyDescent="0.25">
      <c r="M7873" s="34">
        <f t="shared" si="298"/>
        <v>0</v>
      </c>
    </row>
    <row r="7874" spans="13:13" x14ac:dyDescent="0.25">
      <c r="M7874" s="34">
        <f t="shared" si="298"/>
        <v>0</v>
      </c>
    </row>
    <row r="7875" spans="13:13" x14ac:dyDescent="0.25">
      <c r="M7875" s="34">
        <f t="shared" ref="M7875:M7938" si="299">IF(AND(E7875="Chèque",G7875="RECETTE"),F7875,0)</f>
        <v>0</v>
      </c>
    </row>
    <row r="7876" spans="13:13" x14ac:dyDescent="0.25">
      <c r="M7876" s="34">
        <f t="shared" si="299"/>
        <v>0</v>
      </c>
    </row>
    <row r="7877" spans="13:13" x14ac:dyDescent="0.25">
      <c r="M7877" s="34">
        <f t="shared" si="299"/>
        <v>0</v>
      </c>
    </row>
    <row r="7878" spans="13:13" x14ac:dyDescent="0.25">
      <c r="M7878" s="34">
        <f t="shared" si="299"/>
        <v>0</v>
      </c>
    </row>
    <row r="7879" spans="13:13" x14ac:dyDescent="0.25">
      <c r="M7879" s="34">
        <f t="shared" si="299"/>
        <v>0</v>
      </c>
    </row>
    <row r="7880" spans="13:13" x14ac:dyDescent="0.25">
      <c r="M7880" s="34">
        <f t="shared" si="299"/>
        <v>0</v>
      </c>
    </row>
    <row r="7881" spans="13:13" x14ac:dyDescent="0.25">
      <c r="M7881" s="34">
        <f t="shared" si="299"/>
        <v>0</v>
      </c>
    </row>
    <row r="7882" spans="13:13" x14ac:dyDescent="0.25">
      <c r="M7882" s="34">
        <f t="shared" si="299"/>
        <v>0</v>
      </c>
    </row>
    <row r="7883" spans="13:13" x14ac:dyDescent="0.25">
      <c r="M7883" s="34">
        <f t="shared" si="299"/>
        <v>0</v>
      </c>
    </row>
    <row r="7884" spans="13:13" x14ac:dyDescent="0.25">
      <c r="M7884" s="34">
        <f t="shared" si="299"/>
        <v>0</v>
      </c>
    </row>
    <row r="7885" spans="13:13" x14ac:dyDescent="0.25">
      <c r="M7885" s="34">
        <f t="shared" si="299"/>
        <v>0</v>
      </c>
    </row>
    <row r="7886" spans="13:13" x14ac:dyDescent="0.25">
      <c r="M7886" s="34">
        <f t="shared" si="299"/>
        <v>0</v>
      </c>
    </row>
    <row r="7887" spans="13:13" x14ac:dyDescent="0.25">
      <c r="M7887" s="34">
        <f t="shared" si="299"/>
        <v>0</v>
      </c>
    </row>
    <row r="7888" spans="13:13" x14ac:dyDescent="0.25">
      <c r="M7888" s="34">
        <f t="shared" si="299"/>
        <v>0</v>
      </c>
    </row>
    <row r="7889" spans="13:13" x14ac:dyDescent="0.25">
      <c r="M7889" s="34">
        <f t="shared" si="299"/>
        <v>0</v>
      </c>
    </row>
    <row r="7890" spans="13:13" x14ac:dyDescent="0.25">
      <c r="M7890" s="34">
        <f t="shared" si="299"/>
        <v>0</v>
      </c>
    </row>
    <row r="7891" spans="13:13" x14ac:dyDescent="0.25">
      <c r="M7891" s="34">
        <f t="shared" si="299"/>
        <v>0</v>
      </c>
    </row>
    <row r="7892" spans="13:13" x14ac:dyDescent="0.25">
      <c r="M7892" s="34">
        <f t="shared" si="299"/>
        <v>0</v>
      </c>
    </row>
    <row r="7893" spans="13:13" x14ac:dyDescent="0.25">
      <c r="M7893" s="34">
        <f t="shared" si="299"/>
        <v>0</v>
      </c>
    </row>
    <row r="7894" spans="13:13" x14ac:dyDescent="0.25">
      <c r="M7894" s="34">
        <f t="shared" si="299"/>
        <v>0</v>
      </c>
    </row>
    <row r="7895" spans="13:13" x14ac:dyDescent="0.25">
      <c r="M7895" s="34">
        <f t="shared" si="299"/>
        <v>0</v>
      </c>
    </row>
    <row r="7896" spans="13:13" x14ac:dyDescent="0.25">
      <c r="M7896" s="34">
        <f t="shared" si="299"/>
        <v>0</v>
      </c>
    </row>
    <row r="7897" spans="13:13" x14ac:dyDescent="0.25">
      <c r="M7897" s="34">
        <f t="shared" si="299"/>
        <v>0</v>
      </c>
    </row>
    <row r="7898" spans="13:13" x14ac:dyDescent="0.25">
      <c r="M7898" s="34">
        <f t="shared" si="299"/>
        <v>0</v>
      </c>
    </row>
    <row r="7899" spans="13:13" x14ac:dyDescent="0.25">
      <c r="M7899" s="34">
        <f t="shared" si="299"/>
        <v>0</v>
      </c>
    </row>
    <row r="7900" spans="13:13" x14ac:dyDescent="0.25">
      <c r="M7900" s="34">
        <f t="shared" si="299"/>
        <v>0</v>
      </c>
    </row>
    <row r="7901" spans="13:13" x14ac:dyDescent="0.25">
      <c r="M7901" s="34">
        <f t="shared" si="299"/>
        <v>0</v>
      </c>
    </row>
    <row r="7902" spans="13:13" x14ac:dyDescent="0.25">
      <c r="M7902" s="34">
        <f t="shared" si="299"/>
        <v>0</v>
      </c>
    </row>
    <row r="7903" spans="13:13" x14ac:dyDescent="0.25">
      <c r="M7903" s="34">
        <f t="shared" si="299"/>
        <v>0</v>
      </c>
    </row>
    <row r="7904" spans="13:13" x14ac:dyDescent="0.25">
      <c r="M7904" s="34">
        <f t="shared" si="299"/>
        <v>0</v>
      </c>
    </row>
    <row r="7905" spans="13:13" x14ac:dyDescent="0.25">
      <c r="M7905" s="34">
        <f t="shared" si="299"/>
        <v>0</v>
      </c>
    </row>
    <row r="7906" spans="13:13" x14ac:dyDescent="0.25">
      <c r="M7906" s="34">
        <f t="shared" si="299"/>
        <v>0</v>
      </c>
    </row>
    <row r="7907" spans="13:13" x14ac:dyDescent="0.25">
      <c r="M7907" s="34">
        <f t="shared" si="299"/>
        <v>0</v>
      </c>
    </row>
    <row r="7908" spans="13:13" x14ac:dyDescent="0.25">
      <c r="M7908" s="34">
        <f t="shared" si="299"/>
        <v>0</v>
      </c>
    </row>
    <row r="7909" spans="13:13" x14ac:dyDescent="0.25">
      <c r="M7909" s="34">
        <f t="shared" si="299"/>
        <v>0</v>
      </c>
    </row>
    <row r="7910" spans="13:13" x14ac:dyDescent="0.25">
      <c r="M7910" s="34">
        <f t="shared" si="299"/>
        <v>0</v>
      </c>
    </row>
    <row r="7911" spans="13:13" x14ac:dyDescent="0.25">
      <c r="M7911" s="34">
        <f t="shared" si="299"/>
        <v>0</v>
      </c>
    </row>
    <row r="7912" spans="13:13" x14ac:dyDescent="0.25">
      <c r="M7912" s="34">
        <f t="shared" si="299"/>
        <v>0</v>
      </c>
    </row>
    <row r="7913" spans="13:13" x14ac:dyDescent="0.25">
      <c r="M7913" s="34">
        <f t="shared" si="299"/>
        <v>0</v>
      </c>
    </row>
    <row r="7914" spans="13:13" x14ac:dyDescent="0.25">
      <c r="M7914" s="34">
        <f t="shared" si="299"/>
        <v>0</v>
      </c>
    </row>
    <row r="7915" spans="13:13" x14ac:dyDescent="0.25">
      <c r="M7915" s="34">
        <f t="shared" si="299"/>
        <v>0</v>
      </c>
    </row>
    <row r="7916" spans="13:13" x14ac:dyDescent="0.25">
      <c r="M7916" s="34">
        <f t="shared" si="299"/>
        <v>0</v>
      </c>
    </row>
    <row r="7917" spans="13:13" x14ac:dyDescent="0.25">
      <c r="M7917" s="34">
        <f t="shared" si="299"/>
        <v>0</v>
      </c>
    </row>
    <row r="7918" spans="13:13" x14ac:dyDescent="0.25">
      <c r="M7918" s="34">
        <f t="shared" si="299"/>
        <v>0</v>
      </c>
    </row>
    <row r="7919" spans="13:13" x14ac:dyDescent="0.25">
      <c r="M7919" s="34">
        <f t="shared" si="299"/>
        <v>0</v>
      </c>
    </row>
    <row r="7920" spans="13:13" x14ac:dyDescent="0.25">
      <c r="M7920" s="34">
        <f t="shared" si="299"/>
        <v>0</v>
      </c>
    </row>
    <row r="7921" spans="13:13" x14ac:dyDescent="0.25">
      <c r="M7921" s="34">
        <f t="shared" si="299"/>
        <v>0</v>
      </c>
    </row>
    <row r="7922" spans="13:13" x14ac:dyDescent="0.25">
      <c r="M7922" s="34">
        <f t="shared" si="299"/>
        <v>0</v>
      </c>
    </row>
    <row r="7923" spans="13:13" x14ac:dyDescent="0.25">
      <c r="M7923" s="34">
        <f t="shared" si="299"/>
        <v>0</v>
      </c>
    </row>
    <row r="7924" spans="13:13" x14ac:dyDescent="0.25">
      <c r="M7924" s="34">
        <f t="shared" si="299"/>
        <v>0</v>
      </c>
    </row>
    <row r="7925" spans="13:13" x14ac:dyDescent="0.25">
      <c r="M7925" s="34">
        <f t="shared" si="299"/>
        <v>0</v>
      </c>
    </row>
    <row r="7926" spans="13:13" x14ac:dyDescent="0.25">
      <c r="M7926" s="34">
        <f t="shared" si="299"/>
        <v>0</v>
      </c>
    </row>
    <row r="7927" spans="13:13" x14ac:dyDescent="0.25">
      <c r="M7927" s="34">
        <f t="shared" si="299"/>
        <v>0</v>
      </c>
    </row>
    <row r="7928" spans="13:13" x14ac:dyDescent="0.25">
      <c r="M7928" s="34">
        <f t="shared" si="299"/>
        <v>0</v>
      </c>
    </row>
    <row r="7929" spans="13:13" x14ac:dyDescent="0.25">
      <c r="M7929" s="34">
        <f t="shared" si="299"/>
        <v>0</v>
      </c>
    </row>
    <row r="7930" spans="13:13" x14ac:dyDescent="0.25">
      <c r="M7930" s="34">
        <f t="shared" si="299"/>
        <v>0</v>
      </c>
    </row>
    <row r="7931" spans="13:13" x14ac:dyDescent="0.25">
      <c r="M7931" s="34">
        <f t="shared" si="299"/>
        <v>0</v>
      </c>
    </row>
    <row r="7932" spans="13:13" x14ac:dyDescent="0.25">
      <c r="M7932" s="34">
        <f t="shared" si="299"/>
        <v>0</v>
      </c>
    </row>
    <row r="7933" spans="13:13" x14ac:dyDescent="0.25">
      <c r="M7933" s="34">
        <f t="shared" si="299"/>
        <v>0</v>
      </c>
    </row>
    <row r="7934" spans="13:13" x14ac:dyDescent="0.25">
      <c r="M7934" s="34">
        <f t="shared" si="299"/>
        <v>0</v>
      </c>
    </row>
    <row r="7935" spans="13:13" x14ac:dyDescent="0.25">
      <c r="M7935" s="34">
        <f t="shared" si="299"/>
        <v>0</v>
      </c>
    </row>
    <row r="7936" spans="13:13" x14ac:dyDescent="0.25">
      <c r="M7936" s="34">
        <f t="shared" si="299"/>
        <v>0</v>
      </c>
    </row>
    <row r="7937" spans="13:13" x14ac:dyDescent="0.25">
      <c r="M7937" s="34">
        <f t="shared" si="299"/>
        <v>0</v>
      </c>
    </row>
    <row r="7938" spans="13:13" x14ac:dyDescent="0.25">
      <c r="M7938" s="34">
        <f t="shared" si="299"/>
        <v>0</v>
      </c>
    </row>
    <row r="7939" spans="13:13" x14ac:dyDescent="0.25">
      <c r="M7939" s="34">
        <f t="shared" ref="M7939:M8002" si="300">IF(AND(E7939="Chèque",G7939="RECETTE"),F7939,0)</f>
        <v>0</v>
      </c>
    </row>
    <row r="7940" spans="13:13" x14ac:dyDescent="0.25">
      <c r="M7940" s="34">
        <f t="shared" si="300"/>
        <v>0</v>
      </c>
    </row>
    <row r="7941" spans="13:13" x14ac:dyDescent="0.25">
      <c r="M7941" s="34">
        <f t="shared" si="300"/>
        <v>0</v>
      </c>
    </row>
    <row r="7942" spans="13:13" x14ac:dyDescent="0.25">
      <c r="M7942" s="34">
        <f t="shared" si="300"/>
        <v>0</v>
      </c>
    </row>
    <row r="7943" spans="13:13" x14ac:dyDescent="0.25">
      <c r="M7943" s="34">
        <f t="shared" si="300"/>
        <v>0</v>
      </c>
    </row>
    <row r="7944" spans="13:13" x14ac:dyDescent="0.25">
      <c r="M7944" s="34">
        <f t="shared" si="300"/>
        <v>0</v>
      </c>
    </row>
    <row r="7945" spans="13:13" x14ac:dyDescent="0.25">
      <c r="M7945" s="34">
        <f t="shared" si="300"/>
        <v>0</v>
      </c>
    </row>
    <row r="7946" spans="13:13" x14ac:dyDescent="0.25">
      <c r="M7946" s="34">
        <f t="shared" si="300"/>
        <v>0</v>
      </c>
    </row>
    <row r="7947" spans="13:13" x14ac:dyDescent="0.25">
      <c r="M7947" s="34">
        <f t="shared" si="300"/>
        <v>0</v>
      </c>
    </row>
    <row r="7948" spans="13:13" x14ac:dyDescent="0.25">
      <c r="M7948" s="34">
        <f t="shared" si="300"/>
        <v>0</v>
      </c>
    </row>
    <row r="7949" spans="13:13" x14ac:dyDescent="0.25">
      <c r="M7949" s="34">
        <f t="shared" si="300"/>
        <v>0</v>
      </c>
    </row>
    <row r="7950" spans="13:13" x14ac:dyDescent="0.25">
      <c r="M7950" s="34">
        <f t="shared" si="300"/>
        <v>0</v>
      </c>
    </row>
    <row r="7951" spans="13:13" x14ac:dyDescent="0.25">
      <c r="M7951" s="34">
        <f t="shared" si="300"/>
        <v>0</v>
      </c>
    </row>
    <row r="7952" spans="13:13" x14ac:dyDescent="0.25">
      <c r="M7952" s="34">
        <f t="shared" si="300"/>
        <v>0</v>
      </c>
    </row>
    <row r="7953" spans="13:13" x14ac:dyDescent="0.25">
      <c r="M7953" s="34">
        <f t="shared" si="300"/>
        <v>0</v>
      </c>
    </row>
    <row r="7954" spans="13:13" x14ac:dyDescent="0.25">
      <c r="M7954" s="34">
        <f t="shared" si="300"/>
        <v>0</v>
      </c>
    </row>
    <row r="7955" spans="13:13" x14ac:dyDescent="0.25">
      <c r="M7955" s="34">
        <f t="shared" si="300"/>
        <v>0</v>
      </c>
    </row>
    <row r="7956" spans="13:13" x14ac:dyDescent="0.25">
      <c r="M7956" s="34">
        <f t="shared" si="300"/>
        <v>0</v>
      </c>
    </row>
    <row r="7957" spans="13:13" x14ac:dyDescent="0.25">
      <c r="M7957" s="34">
        <f t="shared" si="300"/>
        <v>0</v>
      </c>
    </row>
    <row r="7958" spans="13:13" x14ac:dyDescent="0.25">
      <c r="M7958" s="34">
        <f t="shared" si="300"/>
        <v>0</v>
      </c>
    </row>
    <row r="7959" spans="13:13" x14ac:dyDescent="0.25">
      <c r="M7959" s="34">
        <f t="shared" si="300"/>
        <v>0</v>
      </c>
    </row>
    <row r="7960" spans="13:13" x14ac:dyDescent="0.25">
      <c r="M7960" s="34">
        <f t="shared" si="300"/>
        <v>0</v>
      </c>
    </row>
    <row r="7961" spans="13:13" x14ac:dyDescent="0.25">
      <c r="M7961" s="34">
        <f t="shared" si="300"/>
        <v>0</v>
      </c>
    </row>
    <row r="7962" spans="13:13" x14ac:dyDescent="0.25">
      <c r="M7962" s="34">
        <f t="shared" si="300"/>
        <v>0</v>
      </c>
    </row>
    <row r="7963" spans="13:13" x14ac:dyDescent="0.25">
      <c r="M7963" s="34">
        <f t="shared" si="300"/>
        <v>0</v>
      </c>
    </row>
    <row r="7964" spans="13:13" x14ac:dyDescent="0.25">
      <c r="M7964" s="34">
        <f t="shared" si="300"/>
        <v>0</v>
      </c>
    </row>
    <row r="7965" spans="13:13" x14ac:dyDescent="0.25">
      <c r="M7965" s="34">
        <f t="shared" si="300"/>
        <v>0</v>
      </c>
    </row>
    <row r="7966" spans="13:13" x14ac:dyDescent="0.25">
      <c r="M7966" s="34">
        <f t="shared" si="300"/>
        <v>0</v>
      </c>
    </row>
    <row r="7967" spans="13:13" x14ac:dyDescent="0.25">
      <c r="M7967" s="34">
        <f t="shared" si="300"/>
        <v>0</v>
      </c>
    </row>
    <row r="7968" spans="13:13" x14ac:dyDescent="0.25">
      <c r="M7968" s="34">
        <f t="shared" si="300"/>
        <v>0</v>
      </c>
    </row>
    <row r="7969" spans="13:13" x14ac:dyDescent="0.25">
      <c r="M7969" s="34">
        <f t="shared" si="300"/>
        <v>0</v>
      </c>
    </row>
    <row r="7970" spans="13:13" x14ac:dyDescent="0.25">
      <c r="M7970" s="34">
        <f t="shared" si="300"/>
        <v>0</v>
      </c>
    </row>
    <row r="7971" spans="13:13" x14ac:dyDescent="0.25">
      <c r="M7971" s="34">
        <f t="shared" si="300"/>
        <v>0</v>
      </c>
    </row>
    <row r="7972" spans="13:13" x14ac:dyDescent="0.25">
      <c r="M7972" s="34">
        <f t="shared" si="300"/>
        <v>0</v>
      </c>
    </row>
    <row r="7973" spans="13:13" x14ac:dyDescent="0.25">
      <c r="M7973" s="34">
        <f t="shared" si="300"/>
        <v>0</v>
      </c>
    </row>
    <row r="7974" spans="13:13" x14ac:dyDescent="0.25">
      <c r="M7974" s="34">
        <f t="shared" si="300"/>
        <v>0</v>
      </c>
    </row>
    <row r="7975" spans="13:13" x14ac:dyDescent="0.25">
      <c r="M7975" s="34">
        <f t="shared" si="300"/>
        <v>0</v>
      </c>
    </row>
    <row r="7976" spans="13:13" x14ac:dyDescent="0.25">
      <c r="M7976" s="34">
        <f t="shared" si="300"/>
        <v>0</v>
      </c>
    </row>
    <row r="7977" spans="13:13" x14ac:dyDescent="0.25">
      <c r="M7977" s="34">
        <f t="shared" si="300"/>
        <v>0</v>
      </c>
    </row>
    <row r="7978" spans="13:13" x14ac:dyDescent="0.25">
      <c r="M7978" s="34">
        <f t="shared" si="300"/>
        <v>0</v>
      </c>
    </row>
    <row r="7979" spans="13:13" x14ac:dyDescent="0.25">
      <c r="M7979" s="34">
        <f t="shared" si="300"/>
        <v>0</v>
      </c>
    </row>
    <row r="7980" spans="13:13" x14ac:dyDescent="0.25">
      <c r="M7980" s="34">
        <f t="shared" si="300"/>
        <v>0</v>
      </c>
    </row>
    <row r="7981" spans="13:13" x14ac:dyDescent="0.25">
      <c r="M7981" s="34">
        <f t="shared" si="300"/>
        <v>0</v>
      </c>
    </row>
    <row r="7982" spans="13:13" x14ac:dyDescent="0.25">
      <c r="M7982" s="34">
        <f t="shared" si="300"/>
        <v>0</v>
      </c>
    </row>
    <row r="7983" spans="13:13" x14ac:dyDescent="0.25">
      <c r="M7983" s="34">
        <f t="shared" si="300"/>
        <v>0</v>
      </c>
    </row>
    <row r="7984" spans="13:13" x14ac:dyDescent="0.25">
      <c r="M7984" s="34">
        <f t="shared" si="300"/>
        <v>0</v>
      </c>
    </row>
    <row r="7985" spans="13:13" x14ac:dyDescent="0.25">
      <c r="M7985" s="34">
        <f t="shared" si="300"/>
        <v>0</v>
      </c>
    </row>
    <row r="7986" spans="13:13" x14ac:dyDescent="0.25">
      <c r="M7986" s="34">
        <f t="shared" si="300"/>
        <v>0</v>
      </c>
    </row>
    <row r="7987" spans="13:13" x14ac:dyDescent="0.25">
      <c r="M7987" s="34">
        <f t="shared" si="300"/>
        <v>0</v>
      </c>
    </row>
    <row r="7988" spans="13:13" x14ac:dyDescent="0.25">
      <c r="M7988" s="34">
        <f t="shared" si="300"/>
        <v>0</v>
      </c>
    </row>
    <row r="7989" spans="13:13" x14ac:dyDescent="0.25">
      <c r="M7989" s="34">
        <f t="shared" si="300"/>
        <v>0</v>
      </c>
    </row>
    <row r="7990" spans="13:13" x14ac:dyDescent="0.25">
      <c r="M7990" s="34">
        <f t="shared" si="300"/>
        <v>0</v>
      </c>
    </row>
    <row r="7991" spans="13:13" x14ac:dyDescent="0.25">
      <c r="M7991" s="34">
        <f t="shared" si="300"/>
        <v>0</v>
      </c>
    </row>
    <row r="7992" spans="13:13" x14ac:dyDescent="0.25">
      <c r="M7992" s="34">
        <f t="shared" si="300"/>
        <v>0</v>
      </c>
    </row>
    <row r="7993" spans="13:13" x14ac:dyDescent="0.25">
      <c r="M7993" s="34">
        <f t="shared" si="300"/>
        <v>0</v>
      </c>
    </row>
    <row r="7994" spans="13:13" x14ac:dyDescent="0.25">
      <c r="M7994" s="34">
        <f t="shared" si="300"/>
        <v>0</v>
      </c>
    </row>
    <row r="7995" spans="13:13" x14ac:dyDescent="0.25">
      <c r="M7995" s="34">
        <f t="shared" si="300"/>
        <v>0</v>
      </c>
    </row>
    <row r="7996" spans="13:13" x14ac:dyDescent="0.25">
      <c r="M7996" s="34">
        <f t="shared" si="300"/>
        <v>0</v>
      </c>
    </row>
    <row r="7997" spans="13:13" x14ac:dyDescent="0.25">
      <c r="M7997" s="34">
        <f t="shared" si="300"/>
        <v>0</v>
      </c>
    </row>
    <row r="7998" spans="13:13" x14ac:dyDescent="0.25">
      <c r="M7998" s="34">
        <f t="shared" si="300"/>
        <v>0</v>
      </c>
    </row>
    <row r="7999" spans="13:13" x14ac:dyDescent="0.25">
      <c r="M7999" s="34">
        <f t="shared" si="300"/>
        <v>0</v>
      </c>
    </row>
    <row r="8000" spans="13:13" x14ac:dyDescent="0.25">
      <c r="M8000" s="34">
        <f t="shared" si="300"/>
        <v>0</v>
      </c>
    </row>
    <row r="8001" spans="13:13" x14ac:dyDescent="0.25">
      <c r="M8001" s="34">
        <f t="shared" si="300"/>
        <v>0</v>
      </c>
    </row>
    <row r="8002" spans="13:13" x14ac:dyDescent="0.25">
      <c r="M8002" s="34">
        <f t="shared" si="300"/>
        <v>0</v>
      </c>
    </row>
    <row r="8003" spans="13:13" x14ac:dyDescent="0.25">
      <c r="M8003" s="34">
        <f t="shared" ref="M8003:M8066" si="301">IF(AND(E8003="Chèque",G8003="RECETTE"),F8003,0)</f>
        <v>0</v>
      </c>
    </row>
    <row r="8004" spans="13:13" x14ac:dyDescent="0.25">
      <c r="M8004" s="34">
        <f t="shared" si="301"/>
        <v>0</v>
      </c>
    </row>
    <row r="8005" spans="13:13" x14ac:dyDescent="0.25">
      <c r="M8005" s="34">
        <f t="shared" si="301"/>
        <v>0</v>
      </c>
    </row>
    <row r="8006" spans="13:13" x14ac:dyDescent="0.25">
      <c r="M8006" s="34">
        <f t="shared" si="301"/>
        <v>0</v>
      </c>
    </row>
    <row r="8007" spans="13:13" x14ac:dyDescent="0.25">
      <c r="M8007" s="34">
        <f t="shared" si="301"/>
        <v>0</v>
      </c>
    </row>
    <row r="8008" spans="13:13" x14ac:dyDescent="0.25">
      <c r="M8008" s="34">
        <f t="shared" si="301"/>
        <v>0</v>
      </c>
    </row>
    <row r="8009" spans="13:13" x14ac:dyDescent="0.25">
      <c r="M8009" s="34">
        <f t="shared" si="301"/>
        <v>0</v>
      </c>
    </row>
    <row r="8010" spans="13:13" x14ac:dyDescent="0.25">
      <c r="M8010" s="34">
        <f t="shared" si="301"/>
        <v>0</v>
      </c>
    </row>
    <row r="8011" spans="13:13" x14ac:dyDescent="0.25">
      <c r="M8011" s="34">
        <f t="shared" si="301"/>
        <v>0</v>
      </c>
    </row>
    <row r="8012" spans="13:13" x14ac:dyDescent="0.25">
      <c r="M8012" s="34">
        <f t="shared" si="301"/>
        <v>0</v>
      </c>
    </row>
    <row r="8013" spans="13:13" x14ac:dyDescent="0.25">
      <c r="M8013" s="34">
        <f t="shared" si="301"/>
        <v>0</v>
      </c>
    </row>
    <row r="8014" spans="13:13" x14ac:dyDescent="0.25">
      <c r="M8014" s="34">
        <f t="shared" si="301"/>
        <v>0</v>
      </c>
    </row>
    <row r="8015" spans="13:13" x14ac:dyDescent="0.25">
      <c r="M8015" s="34">
        <f t="shared" si="301"/>
        <v>0</v>
      </c>
    </row>
    <row r="8016" spans="13:13" x14ac:dyDescent="0.25">
      <c r="M8016" s="34">
        <f t="shared" si="301"/>
        <v>0</v>
      </c>
    </row>
    <row r="8017" spans="13:13" x14ac:dyDescent="0.25">
      <c r="M8017" s="34">
        <f t="shared" si="301"/>
        <v>0</v>
      </c>
    </row>
    <row r="8018" spans="13:13" x14ac:dyDescent="0.25">
      <c r="M8018" s="34">
        <f t="shared" si="301"/>
        <v>0</v>
      </c>
    </row>
    <row r="8019" spans="13:13" x14ac:dyDescent="0.25">
      <c r="M8019" s="34">
        <f t="shared" si="301"/>
        <v>0</v>
      </c>
    </row>
    <row r="8020" spans="13:13" x14ac:dyDescent="0.25">
      <c r="M8020" s="34">
        <f t="shared" si="301"/>
        <v>0</v>
      </c>
    </row>
    <row r="8021" spans="13:13" x14ac:dyDescent="0.25">
      <c r="M8021" s="34">
        <f t="shared" si="301"/>
        <v>0</v>
      </c>
    </row>
    <row r="8022" spans="13:13" x14ac:dyDescent="0.25">
      <c r="M8022" s="34">
        <f t="shared" si="301"/>
        <v>0</v>
      </c>
    </row>
    <row r="8023" spans="13:13" x14ac:dyDescent="0.25">
      <c r="M8023" s="34">
        <f t="shared" si="301"/>
        <v>0</v>
      </c>
    </row>
    <row r="8024" spans="13:13" x14ac:dyDescent="0.25">
      <c r="M8024" s="34">
        <f t="shared" si="301"/>
        <v>0</v>
      </c>
    </row>
    <row r="8025" spans="13:13" x14ac:dyDescent="0.25">
      <c r="M8025" s="34">
        <f t="shared" si="301"/>
        <v>0</v>
      </c>
    </row>
    <row r="8026" spans="13:13" x14ac:dyDescent="0.25">
      <c r="M8026" s="34">
        <f t="shared" si="301"/>
        <v>0</v>
      </c>
    </row>
    <row r="8027" spans="13:13" x14ac:dyDescent="0.25">
      <c r="M8027" s="34">
        <f t="shared" si="301"/>
        <v>0</v>
      </c>
    </row>
    <row r="8028" spans="13:13" x14ac:dyDescent="0.25">
      <c r="M8028" s="34">
        <f t="shared" si="301"/>
        <v>0</v>
      </c>
    </row>
    <row r="8029" spans="13:13" x14ac:dyDescent="0.25">
      <c r="M8029" s="34">
        <f t="shared" si="301"/>
        <v>0</v>
      </c>
    </row>
    <row r="8030" spans="13:13" x14ac:dyDescent="0.25">
      <c r="M8030" s="34">
        <f t="shared" si="301"/>
        <v>0</v>
      </c>
    </row>
    <row r="8031" spans="13:13" x14ac:dyDescent="0.25">
      <c r="M8031" s="34">
        <f t="shared" si="301"/>
        <v>0</v>
      </c>
    </row>
    <row r="8032" spans="13:13" x14ac:dyDescent="0.25">
      <c r="M8032" s="34">
        <f t="shared" si="301"/>
        <v>0</v>
      </c>
    </row>
    <row r="8033" spans="13:13" x14ac:dyDescent="0.25">
      <c r="M8033" s="34">
        <f t="shared" si="301"/>
        <v>0</v>
      </c>
    </row>
    <row r="8034" spans="13:13" x14ac:dyDescent="0.25">
      <c r="M8034" s="34">
        <f t="shared" si="301"/>
        <v>0</v>
      </c>
    </row>
    <row r="8035" spans="13:13" x14ac:dyDescent="0.25">
      <c r="M8035" s="34">
        <f t="shared" si="301"/>
        <v>0</v>
      </c>
    </row>
    <row r="8036" spans="13:13" x14ac:dyDescent="0.25">
      <c r="M8036" s="34">
        <f t="shared" si="301"/>
        <v>0</v>
      </c>
    </row>
    <row r="8037" spans="13:13" x14ac:dyDescent="0.25">
      <c r="M8037" s="34">
        <f t="shared" si="301"/>
        <v>0</v>
      </c>
    </row>
    <row r="8038" spans="13:13" x14ac:dyDescent="0.25">
      <c r="M8038" s="34">
        <f t="shared" si="301"/>
        <v>0</v>
      </c>
    </row>
    <row r="8039" spans="13:13" x14ac:dyDescent="0.25">
      <c r="M8039" s="34">
        <f t="shared" si="301"/>
        <v>0</v>
      </c>
    </row>
    <row r="8040" spans="13:13" x14ac:dyDescent="0.25">
      <c r="M8040" s="34">
        <f t="shared" si="301"/>
        <v>0</v>
      </c>
    </row>
    <row r="8041" spans="13:13" x14ac:dyDescent="0.25">
      <c r="M8041" s="34">
        <f t="shared" si="301"/>
        <v>0</v>
      </c>
    </row>
    <row r="8042" spans="13:13" x14ac:dyDescent="0.25">
      <c r="M8042" s="34">
        <f t="shared" si="301"/>
        <v>0</v>
      </c>
    </row>
    <row r="8043" spans="13:13" x14ac:dyDescent="0.25">
      <c r="M8043" s="34">
        <f t="shared" si="301"/>
        <v>0</v>
      </c>
    </row>
    <row r="8044" spans="13:13" x14ac:dyDescent="0.25">
      <c r="M8044" s="34">
        <f t="shared" si="301"/>
        <v>0</v>
      </c>
    </row>
    <row r="8045" spans="13:13" x14ac:dyDescent="0.25">
      <c r="M8045" s="34">
        <f t="shared" si="301"/>
        <v>0</v>
      </c>
    </row>
    <row r="8046" spans="13:13" x14ac:dyDescent="0.25">
      <c r="M8046" s="34">
        <f t="shared" si="301"/>
        <v>0</v>
      </c>
    </row>
    <row r="8047" spans="13:13" x14ac:dyDescent="0.25">
      <c r="M8047" s="34">
        <f t="shared" si="301"/>
        <v>0</v>
      </c>
    </row>
    <row r="8048" spans="13:13" x14ac:dyDescent="0.25">
      <c r="M8048" s="34">
        <f t="shared" si="301"/>
        <v>0</v>
      </c>
    </row>
    <row r="8049" spans="13:13" x14ac:dyDescent="0.25">
      <c r="M8049" s="34">
        <f t="shared" si="301"/>
        <v>0</v>
      </c>
    </row>
    <row r="8050" spans="13:13" x14ac:dyDescent="0.25">
      <c r="M8050" s="34">
        <f t="shared" si="301"/>
        <v>0</v>
      </c>
    </row>
    <row r="8051" spans="13:13" x14ac:dyDescent="0.25">
      <c r="M8051" s="34">
        <f t="shared" si="301"/>
        <v>0</v>
      </c>
    </row>
    <row r="8052" spans="13:13" x14ac:dyDescent="0.25">
      <c r="M8052" s="34">
        <f t="shared" si="301"/>
        <v>0</v>
      </c>
    </row>
    <row r="8053" spans="13:13" x14ac:dyDescent="0.25">
      <c r="M8053" s="34">
        <f t="shared" si="301"/>
        <v>0</v>
      </c>
    </row>
    <row r="8054" spans="13:13" x14ac:dyDescent="0.25">
      <c r="M8054" s="34">
        <f t="shared" si="301"/>
        <v>0</v>
      </c>
    </row>
    <row r="8055" spans="13:13" x14ac:dyDescent="0.25">
      <c r="M8055" s="34">
        <f t="shared" si="301"/>
        <v>0</v>
      </c>
    </row>
    <row r="8056" spans="13:13" x14ac:dyDescent="0.25">
      <c r="M8056" s="34">
        <f t="shared" si="301"/>
        <v>0</v>
      </c>
    </row>
    <row r="8057" spans="13:13" x14ac:dyDescent="0.25">
      <c r="M8057" s="34">
        <f t="shared" si="301"/>
        <v>0</v>
      </c>
    </row>
    <row r="8058" spans="13:13" x14ac:dyDescent="0.25">
      <c r="M8058" s="34">
        <f t="shared" si="301"/>
        <v>0</v>
      </c>
    </row>
    <row r="8059" spans="13:13" x14ac:dyDescent="0.25">
      <c r="M8059" s="34">
        <f t="shared" si="301"/>
        <v>0</v>
      </c>
    </row>
    <row r="8060" spans="13:13" x14ac:dyDescent="0.25">
      <c r="M8060" s="34">
        <f t="shared" si="301"/>
        <v>0</v>
      </c>
    </row>
    <row r="8061" spans="13:13" x14ac:dyDescent="0.25">
      <c r="M8061" s="34">
        <f t="shared" si="301"/>
        <v>0</v>
      </c>
    </row>
    <row r="8062" spans="13:13" x14ac:dyDescent="0.25">
      <c r="M8062" s="34">
        <f t="shared" si="301"/>
        <v>0</v>
      </c>
    </row>
    <row r="8063" spans="13:13" x14ac:dyDescent="0.25">
      <c r="M8063" s="34">
        <f t="shared" si="301"/>
        <v>0</v>
      </c>
    </row>
    <row r="8064" spans="13:13" x14ac:dyDescent="0.25">
      <c r="M8064" s="34">
        <f t="shared" si="301"/>
        <v>0</v>
      </c>
    </row>
    <row r="8065" spans="13:13" x14ac:dyDescent="0.25">
      <c r="M8065" s="34">
        <f t="shared" si="301"/>
        <v>0</v>
      </c>
    </row>
    <row r="8066" spans="13:13" x14ac:dyDescent="0.25">
      <c r="M8066" s="34">
        <f t="shared" si="301"/>
        <v>0</v>
      </c>
    </row>
    <row r="8067" spans="13:13" x14ac:dyDescent="0.25">
      <c r="M8067" s="34">
        <f t="shared" ref="M8067:M8130" si="302">IF(AND(E8067="Chèque",G8067="RECETTE"),F8067,0)</f>
        <v>0</v>
      </c>
    </row>
    <row r="8068" spans="13:13" x14ac:dyDescent="0.25">
      <c r="M8068" s="34">
        <f t="shared" si="302"/>
        <v>0</v>
      </c>
    </row>
    <row r="8069" spans="13:13" x14ac:dyDescent="0.25">
      <c r="M8069" s="34">
        <f t="shared" si="302"/>
        <v>0</v>
      </c>
    </row>
    <row r="8070" spans="13:13" x14ac:dyDescent="0.25">
      <c r="M8070" s="34">
        <f t="shared" si="302"/>
        <v>0</v>
      </c>
    </row>
    <row r="8071" spans="13:13" x14ac:dyDescent="0.25">
      <c r="M8071" s="34">
        <f t="shared" si="302"/>
        <v>0</v>
      </c>
    </row>
    <row r="8072" spans="13:13" x14ac:dyDescent="0.25">
      <c r="M8072" s="34">
        <f t="shared" si="302"/>
        <v>0</v>
      </c>
    </row>
    <row r="8073" spans="13:13" x14ac:dyDescent="0.25">
      <c r="M8073" s="34">
        <f t="shared" si="302"/>
        <v>0</v>
      </c>
    </row>
    <row r="8074" spans="13:13" x14ac:dyDescent="0.25">
      <c r="M8074" s="34">
        <f t="shared" si="302"/>
        <v>0</v>
      </c>
    </row>
    <row r="8075" spans="13:13" x14ac:dyDescent="0.25">
      <c r="M8075" s="34">
        <f t="shared" si="302"/>
        <v>0</v>
      </c>
    </row>
    <row r="8076" spans="13:13" x14ac:dyDescent="0.25">
      <c r="M8076" s="34">
        <f t="shared" si="302"/>
        <v>0</v>
      </c>
    </row>
    <row r="8077" spans="13:13" x14ac:dyDescent="0.25">
      <c r="M8077" s="34">
        <f t="shared" si="302"/>
        <v>0</v>
      </c>
    </row>
    <row r="8078" spans="13:13" x14ac:dyDescent="0.25">
      <c r="M8078" s="34">
        <f t="shared" si="302"/>
        <v>0</v>
      </c>
    </row>
    <row r="8079" spans="13:13" x14ac:dyDescent="0.25">
      <c r="M8079" s="34">
        <f t="shared" si="302"/>
        <v>0</v>
      </c>
    </row>
    <row r="8080" spans="13:13" x14ac:dyDescent="0.25">
      <c r="M8080" s="34">
        <f t="shared" si="302"/>
        <v>0</v>
      </c>
    </row>
    <row r="8081" spans="13:13" x14ac:dyDescent="0.25">
      <c r="M8081" s="34">
        <f t="shared" si="302"/>
        <v>0</v>
      </c>
    </row>
    <row r="8082" spans="13:13" x14ac:dyDescent="0.25">
      <c r="M8082" s="34">
        <f t="shared" si="302"/>
        <v>0</v>
      </c>
    </row>
    <row r="8083" spans="13:13" x14ac:dyDescent="0.25">
      <c r="M8083" s="34">
        <f t="shared" si="302"/>
        <v>0</v>
      </c>
    </row>
    <row r="8084" spans="13:13" x14ac:dyDescent="0.25">
      <c r="M8084" s="34">
        <f t="shared" si="302"/>
        <v>0</v>
      </c>
    </row>
    <row r="8085" spans="13:13" x14ac:dyDescent="0.25">
      <c r="M8085" s="34">
        <f t="shared" si="302"/>
        <v>0</v>
      </c>
    </row>
    <row r="8086" spans="13:13" x14ac:dyDescent="0.25">
      <c r="M8086" s="34">
        <f t="shared" si="302"/>
        <v>0</v>
      </c>
    </row>
    <row r="8087" spans="13:13" x14ac:dyDescent="0.25">
      <c r="M8087" s="34">
        <f t="shared" si="302"/>
        <v>0</v>
      </c>
    </row>
    <row r="8088" spans="13:13" x14ac:dyDescent="0.25">
      <c r="M8088" s="34">
        <f t="shared" si="302"/>
        <v>0</v>
      </c>
    </row>
    <row r="8089" spans="13:13" x14ac:dyDescent="0.25">
      <c r="M8089" s="34">
        <f t="shared" si="302"/>
        <v>0</v>
      </c>
    </row>
    <row r="8090" spans="13:13" x14ac:dyDescent="0.25">
      <c r="M8090" s="34">
        <f t="shared" si="302"/>
        <v>0</v>
      </c>
    </row>
    <row r="8091" spans="13:13" x14ac:dyDescent="0.25">
      <c r="M8091" s="34">
        <f t="shared" si="302"/>
        <v>0</v>
      </c>
    </row>
    <row r="8092" spans="13:13" x14ac:dyDescent="0.25">
      <c r="M8092" s="34">
        <f t="shared" si="302"/>
        <v>0</v>
      </c>
    </row>
    <row r="8093" spans="13:13" x14ac:dyDescent="0.25">
      <c r="M8093" s="34">
        <f t="shared" si="302"/>
        <v>0</v>
      </c>
    </row>
    <row r="8094" spans="13:13" x14ac:dyDescent="0.25">
      <c r="M8094" s="34">
        <f t="shared" si="302"/>
        <v>0</v>
      </c>
    </row>
    <row r="8095" spans="13:13" x14ac:dyDescent="0.25">
      <c r="M8095" s="34">
        <f t="shared" si="302"/>
        <v>0</v>
      </c>
    </row>
    <row r="8096" spans="13:13" x14ac:dyDescent="0.25">
      <c r="M8096" s="34">
        <f t="shared" si="302"/>
        <v>0</v>
      </c>
    </row>
    <row r="8097" spans="13:13" x14ac:dyDescent="0.25">
      <c r="M8097" s="34">
        <f t="shared" si="302"/>
        <v>0</v>
      </c>
    </row>
    <row r="8098" spans="13:13" x14ac:dyDescent="0.25">
      <c r="M8098" s="34">
        <f t="shared" si="302"/>
        <v>0</v>
      </c>
    </row>
    <row r="8099" spans="13:13" x14ac:dyDescent="0.25">
      <c r="M8099" s="34">
        <f t="shared" si="302"/>
        <v>0</v>
      </c>
    </row>
    <row r="8100" spans="13:13" x14ac:dyDescent="0.25">
      <c r="M8100" s="34">
        <f t="shared" si="302"/>
        <v>0</v>
      </c>
    </row>
    <row r="8101" spans="13:13" x14ac:dyDescent="0.25">
      <c r="M8101" s="34">
        <f t="shared" si="302"/>
        <v>0</v>
      </c>
    </row>
    <row r="8102" spans="13:13" x14ac:dyDescent="0.25">
      <c r="M8102" s="34">
        <f t="shared" si="302"/>
        <v>0</v>
      </c>
    </row>
    <row r="8103" spans="13:13" x14ac:dyDescent="0.25">
      <c r="M8103" s="34">
        <f t="shared" si="302"/>
        <v>0</v>
      </c>
    </row>
    <row r="8104" spans="13:13" x14ac:dyDescent="0.25">
      <c r="M8104" s="34">
        <f t="shared" si="302"/>
        <v>0</v>
      </c>
    </row>
    <row r="8105" spans="13:13" x14ac:dyDescent="0.25">
      <c r="M8105" s="34">
        <f t="shared" si="302"/>
        <v>0</v>
      </c>
    </row>
    <row r="8106" spans="13:13" x14ac:dyDescent="0.25">
      <c r="M8106" s="34">
        <f t="shared" si="302"/>
        <v>0</v>
      </c>
    </row>
    <row r="8107" spans="13:13" x14ac:dyDescent="0.25">
      <c r="M8107" s="34">
        <f t="shared" si="302"/>
        <v>0</v>
      </c>
    </row>
    <row r="8108" spans="13:13" x14ac:dyDescent="0.25">
      <c r="M8108" s="34">
        <f t="shared" si="302"/>
        <v>0</v>
      </c>
    </row>
    <row r="8109" spans="13:13" x14ac:dyDescent="0.25">
      <c r="M8109" s="34">
        <f t="shared" si="302"/>
        <v>0</v>
      </c>
    </row>
    <row r="8110" spans="13:13" x14ac:dyDescent="0.25">
      <c r="M8110" s="34">
        <f t="shared" si="302"/>
        <v>0</v>
      </c>
    </row>
    <row r="8111" spans="13:13" x14ac:dyDescent="0.25">
      <c r="M8111" s="34">
        <f t="shared" si="302"/>
        <v>0</v>
      </c>
    </row>
    <row r="8112" spans="13:13" x14ac:dyDescent="0.25">
      <c r="M8112" s="34">
        <f t="shared" si="302"/>
        <v>0</v>
      </c>
    </row>
    <row r="8113" spans="13:13" x14ac:dyDescent="0.25">
      <c r="M8113" s="34">
        <f t="shared" si="302"/>
        <v>0</v>
      </c>
    </row>
    <row r="8114" spans="13:13" x14ac:dyDescent="0.25">
      <c r="M8114" s="34">
        <f t="shared" si="302"/>
        <v>0</v>
      </c>
    </row>
    <row r="8115" spans="13:13" x14ac:dyDescent="0.25">
      <c r="M8115" s="34">
        <f t="shared" si="302"/>
        <v>0</v>
      </c>
    </row>
    <row r="8116" spans="13:13" x14ac:dyDescent="0.25">
      <c r="M8116" s="34">
        <f t="shared" si="302"/>
        <v>0</v>
      </c>
    </row>
    <row r="8117" spans="13:13" x14ac:dyDescent="0.25">
      <c r="M8117" s="34">
        <f t="shared" si="302"/>
        <v>0</v>
      </c>
    </row>
    <row r="8118" spans="13:13" x14ac:dyDescent="0.25">
      <c r="M8118" s="34">
        <f t="shared" si="302"/>
        <v>0</v>
      </c>
    </row>
    <row r="8119" spans="13:13" x14ac:dyDescent="0.25">
      <c r="M8119" s="34">
        <f t="shared" si="302"/>
        <v>0</v>
      </c>
    </row>
    <row r="8120" spans="13:13" x14ac:dyDescent="0.25">
      <c r="M8120" s="34">
        <f t="shared" si="302"/>
        <v>0</v>
      </c>
    </row>
    <row r="8121" spans="13:13" x14ac:dyDescent="0.25">
      <c r="M8121" s="34">
        <f t="shared" si="302"/>
        <v>0</v>
      </c>
    </row>
    <row r="8122" spans="13:13" x14ac:dyDescent="0.25">
      <c r="M8122" s="34">
        <f t="shared" si="302"/>
        <v>0</v>
      </c>
    </row>
    <row r="8123" spans="13:13" x14ac:dyDescent="0.25">
      <c r="M8123" s="34">
        <f t="shared" si="302"/>
        <v>0</v>
      </c>
    </row>
    <row r="8124" spans="13:13" x14ac:dyDescent="0.25">
      <c r="M8124" s="34">
        <f t="shared" si="302"/>
        <v>0</v>
      </c>
    </row>
    <row r="8125" spans="13:13" x14ac:dyDescent="0.25">
      <c r="M8125" s="34">
        <f t="shared" si="302"/>
        <v>0</v>
      </c>
    </row>
    <row r="8126" spans="13:13" x14ac:dyDescent="0.25">
      <c r="M8126" s="34">
        <f t="shared" si="302"/>
        <v>0</v>
      </c>
    </row>
    <row r="8127" spans="13:13" x14ac:dyDescent="0.25">
      <c r="M8127" s="34">
        <f t="shared" si="302"/>
        <v>0</v>
      </c>
    </row>
    <row r="8128" spans="13:13" x14ac:dyDescent="0.25">
      <c r="M8128" s="34">
        <f t="shared" si="302"/>
        <v>0</v>
      </c>
    </row>
    <row r="8129" spans="13:13" x14ac:dyDescent="0.25">
      <c r="M8129" s="34">
        <f t="shared" si="302"/>
        <v>0</v>
      </c>
    </row>
    <row r="8130" spans="13:13" x14ac:dyDescent="0.25">
      <c r="M8130" s="34">
        <f t="shared" si="302"/>
        <v>0</v>
      </c>
    </row>
    <row r="8131" spans="13:13" x14ac:dyDescent="0.25">
      <c r="M8131" s="34">
        <f t="shared" ref="M8131:M8194" si="303">IF(AND(E8131="Chèque",G8131="RECETTE"),F8131,0)</f>
        <v>0</v>
      </c>
    </row>
    <row r="8132" spans="13:13" x14ac:dyDescent="0.25">
      <c r="M8132" s="34">
        <f t="shared" si="303"/>
        <v>0</v>
      </c>
    </row>
    <row r="8133" spans="13:13" x14ac:dyDescent="0.25">
      <c r="M8133" s="34">
        <f t="shared" si="303"/>
        <v>0</v>
      </c>
    </row>
    <row r="8134" spans="13:13" x14ac:dyDescent="0.25">
      <c r="M8134" s="34">
        <f t="shared" si="303"/>
        <v>0</v>
      </c>
    </row>
    <row r="8135" spans="13:13" x14ac:dyDescent="0.25">
      <c r="M8135" s="34">
        <f t="shared" si="303"/>
        <v>0</v>
      </c>
    </row>
    <row r="8136" spans="13:13" x14ac:dyDescent="0.25">
      <c r="M8136" s="34">
        <f t="shared" si="303"/>
        <v>0</v>
      </c>
    </row>
    <row r="8137" spans="13:13" x14ac:dyDescent="0.25">
      <c r="M8137" s="34">
        <f t="shared" si="303"/>
        <v>0</v>
      </c>
    </row>
    <row r="8138" spans="13:13" x14ac:dyDescent="0.25">
      <c r="M8138" s="34">
        <f t="shared" si="303"/>
        <v>0</v>
      </c>
    </row>
    <row r="8139" spans="13:13" x14ac:dyDescent="0.25">
      <c r="M8139" s="34">
        <f t="shared" si="303"/>
        <v>0</v>
      </c>
    </row>
    <row r="8140" spans="13:13" x14ac:dyDescent="0.25">
      <c r="M8140" s="34">
        <f t="shared" si="303"/>
        <v>0</v>
      </c>
    </row>
    <row r="8141" spans="13:13" x14ac:dyDescent="0.25">
      <c r="M8141" s="34">
        <f t="shared" si="303"/>
        <v>0</v>
      </c>
    </row>
    <row r="8142" spans="13:13" x14ac:dyDescent="0.25">
      <c r="M8142" s="34">
        <f t="shared" si="303"/>
        <v>0</v>
      </c>
    </row>
    <row r="8143" spans="13:13" x14ac:dyDescent="0.25">
      <c r="M8143" s="34">
        <f t="shared" si="303"/>
        <v>0</v>
      </c>
    </row>
    <row r="8144" spans="13:13" x14ac:dyDescent="0.25">
      <c r="M8144" s="34">
        <f t="shared" si="303"/>
        <v>0</v>
      </c>
    </row>
    <row r="8145" spans="13:13" x14ac:dyDescent="0.25">
      <c r="M8145" s="34">
        <f t="shared" si="303"/>
        <v>0</v>
      </c>
    </row>
    <row r="8146" spans="13:13" x14ac:dyDescent="0.25">
      <c r="M8146" s="34">
        <f t="shared" si="303"/>
        <v>0</v>
      </c>
    </row>
    <row r="8147" spans="13:13" x14ac:dyDescent="0.25">
      <c r="M8147" s="34">
        <f t="shared" si="303"/>
        <v>0</v>
      </c>
    </row>
    <row r="8148" spans="13:13" x14ac:dyDescent="0.25">
      <c r="M8148" s="34">
        <f t="shared" si="303"/>
        <v>0</v>
      </c>
    </row>
    <row r="8149" spans="13:13" x14ac:dyDescent="0.25">
      <c r="M8149" s="34">
        <f t="shared" si="303"/>
        <v>0</v>
      </c>
    </row>
    <row r="8150" spans="13:13" x14ac:dyDescent="0.25">
      <c r="M8150" s="34">
        <f t="shared" si="303"/>
        <v>0</v>
      </c>
    </row>
    <row r="8151" spans="13:13" x14ac:dyDescent="0.25">
      <c r="M8151" s="34">
        <f t="shared" si="303"/>
        <v>0</v>
      </c>
    </row>
    <row r="8152" spans="13:13" x14ac:dyDescent="0.25">
      <c r="M8152" s="34">
        <f t="shared" si="303"/>
        <v>0</v>
      </c>
    </row>
    <row r="8153" spans="13:13" x14ac:dyDescent="0.25">
      <c r="M8153" s="34">
        <f t="shared" si="303"/>
        <v>0</v>
      </c>
    </row>
    <row r="8154" spans="13:13" x14ac:dyDescent="0.25">
      <c r="M8154" s="34">
        <f t="shared" si="303"/>
        <v>0</v>
      </c>
    </row>
    <row r="8155" spans="13:13" x14ac:dyDescent="0.25">
      <c r="M8155" s="34">
        <f t="shared" si="303"/>
        <v>0</v>
      </c>
    </row>
    <row r="8156" spans="13:13" x14ac:dyDescent="0.25">
      <c r="M8156" s="34">
        <f t="shared" si="303"/>
        <v>0</v>
      </c>
    </row>
    <row r="8157" spans="13:13" x14ac:dyDescent="0.25">
      <c r="M8157" s="34">
        <f t="shared" si="303"/>
        <v>0</v>
      </c>
    </row>
    <row r="8158" spans="13:13" x14ac:dyDescent="0.25">
      <c r="M8158" s="34">
        <f t="shared" si="303"/>
        <v>0</v>
      </c>
    </row>
    <row r="8159" spans="13:13" x14ac:dyDescent="0.25">
      <c r="M8159" s="34">
        <f t="shared" si="303"/>
        <v>0</v>
      </c>
    </row>
    <row r="8160" spans="13:13" x14ac:dyDescent="0.25">
      <c r="M8160" s="34">
        <f t="shared" si="303"/>
        <v>0</v>
      </c>
    </row>
    <row r="8161" spans="13:13" x14ac:dyDescent="0.25">
      <c r="M8161" s="34">
        <f t="shared" si="303"/>
        <v>0</v>
      </c>
    </row>
    <row r="8162" spans="13:13" x14ac:dyDescent="0.25">
      <c r="M8162" s="34">
        <f t="shared" si="303"/>
        <v>0</v>
      </c>
    </row>
    <row r="8163" spans="13:13" x14ac:dyDescent="0.25">
      <c r="M8163" s="34">
        <f t="shared" si="303"/>
        <v>0</v>
      </c>
    </row>
    <row r="8164" spans="13:13" x14ac:dyDescent="0.25">
      <c r="M8164" s="34">
        <f t="shared" si="303"/>
        <v>0</v>
      </c>
    </row>
    <row r="8165" spans="13:13" x14ac:dyDescent="0.25">
      <c r="M8165" s="34">
        <f t="shared" si="303"/>
        <v>0</v>
      </c>
    </row>
    <row r="8166" spans="13:13" x14ac:dyDescent="0.25">
      <c r="M8166" s="34">
        <f t="shared" si="303"/>
        <v>0</v>
      </c>
    </row>
    <row r="8167" spans="13:13" x14ac:dyDescent="0.25">
      <c r="M8167" s="34">
        <f t="shared" si="303"/>
        <v>0</v>
      </c>
    </row>
    <row r="8168" spans="13:13" x14ac:dyDescent="0.25">
      <c r="M8168" s="34">
        <f t="shared" si="303"/>
        <v>0</v>
      </c>
    </row>
    <row r="8169" spans="13:13" x14ac:dyDescent="0.25">
      <c r="M8169" s="34">
        <f t="shared" si="303"/>
        <v>0</v>
      </c>
    </row>
    <row r="8170" spans="13:13" x14ac:dyDescent="0.25">
      <c r="M8170" s="34">
        <f t="shared" si="303"/>
        <v>0</v>
      </c>
    </row>
    <row r="8171" spans="13:13" x14ac:dyDescent="0.25">
      <c r="M8171" s="34">
        <f t="shared" si="303"/>
        <v>0</v>
      </c>
    </row>
    <row r="8172" spans="13:13" x14ac:dyDescent="0.25">
      <c r="M8172" s="34">
        <f t="shared" si="303"/>
        <v>0</v>
      </c>
    </row>
    <row r="8173" spans="13:13" x14ac:dyDescent="0.25">
      <c r="M8173" s="34">
        <f t="shared" si="303"/>
        <v>0</v>
      </c>
    </row>
    <row r="8174" spans="13:13" x14ac:dyDescent="0.25">
      <c r="M8174" s="34">
        <f t="shared" si="303"/>
        <v>0</v>
      </c>
    </row>
    <row r="8175" spans="13:13" x14ac:dyDescent="0.25">
      <c r="M8175" s="34">
        <f t="shared" si="303"/>
        <v>0</v>
      </c>
    </row>
    <row r="8176" spans="13:13" x14ac:dyDescent="0.25">
      <c r="M8176" s="34">
        <f t="shared" si="303"/>
        <v>0</v>
      </c>
    </row>
    <row r="8177" spans="13:13" x14ac:dyDescent="0.25">
      <c r="M8177" s="34">
        <f t="shared" si="303"/>
        <v>0</v>
      </c>
    </row>
    <row r="8178" spans="13:13" x14ac:dyDescent="0.25">
      <c r="M8178" s="34">
        <f t="shared" si="303"/>
        <v>0</v>
      </c>
    </row>
    <row r="8179" spans="13:13" x14ac:dyDescent="0.25">
      <c r="M8179" s="34">
        <f t="shared" si="303"/>
        <v>0</v>
      </c>
    </row>
    <row r="8180" spans="13:13" x14ac:dyDescent="0.25">
      <c r="M8180" s="34">
        <f t="shared" si="303"/>
        <v>0</v>
      </c>
    </row>
    <row r="8181" spans="13:13" x14ac:dyDescent="0.25">
      <c r="M8181" s="34">
        <f t="shared" si="303"/>
        <v>0</v>
      </c>
    </row>
    <row r="8182" spans="13:13" x14ac:dyDescent="0.25">
      <c r="M8182" s="34">
        <f t="shared" si="303"/>
        <v>0</v>
      </c>
    </row>
    <row r="8183" spans="13:13" x14ac:dyDescent="0.25">
      <c r="M8183" s="34">
        <f t="shared" si="303"/>
        <v>0</v>
      </c>
    </row>
    <row r="8184" spans="13:13" x14ac:dyDescent="0.25">
      <c r="M8184" s="34">
        <f t="shared" si="303"/>
        <v>0</v>
      </c>
    </row>
    <row r="8185" spans="13:13" x14ac:dyDescent="0.25">
      <c r="M8185" s="34">
        <f t="shared" si="303"/>
        <v>0</v>
      </c>
    </row>
    <row r="8186" spans="13:13" x14ac:dyDescent="0.25">
      <c r="M8186" s="34">
        <f t="shared" si="303"/>
        <v>0</v>
      </c>
    </row>
    <row r="8187" spans="13:13" x14ac:dyDescent="0.25">
      <c r="M8187" s="34">
        <f t="shared" si="303"/>
        <v>0</v>
      </c>
    </row>
    <row r="8188" spans="13:13" x14ac:dyDescent="0.25">
      <c r="M8188" s="34">
        <f t="shared" si="303"/>
        <v>0</v>
      </c>
    </row>
    <row r="8189" spans="13:13" x14ac:dyDescent="0.25">
      <c r="M8189" s="34">
        <f t="shared" si="303"/>
        <v>0</v>
      </c>
    </row>
    <row r="8190" spans="13:13" x14ac:dyDescent="0.25">
      <c r="M8190" s="34">
        <f t="shared" si="303"/>
        <v>0</v>
      </c>
    </row>
    <row r="8191" spans="13:13" x14ac:dyDescent="0.25">
      <c r="M8191" s="34">
        <f t="shared" si="303"/>
        <v>0</v>
      </c>
    </row>
    <row r="8192" spans="13:13" x14ac:dyDescent="0.25">
      <c r="M8192" s="34">
        <f t="shared" si="303"/>
        <v>0</v>
      </c>
    </row>
    <row r="8193" spans="13:13" x14ac:dyDescent="0.25">
      <c r="M8193" s="34">
        <f t="shared" si="303"/>
        <v>0</v>
      </c>
    </row>
    <row r="8194" spans="13:13" x14ac:dyDescent="0.25">
      <c r="M8194" s="34">
        <f t="shared" si="303"/>
        <v>0</v>
      </c>
    </row>
    <row r="8195" spans="13:13" x14ac:dyDescent="0.25">
      <c r="M8195" s="34">
        <f t="shared" ref="M8195:M8258" si="304">IF(AND(E8195="Chèque",G8195="RECETTE"),F8195,0)</f>
        <v>0</v>
      </c>
    </row>
    <row r="8196" spans="13:13" x14ac:dyDescent="0.25">
      <c r="M8196" s="34">
        <f t="shared" si="304"/>
        <v>0</v>
      </c>
    </row>
    <row r="8197" spans="13:13" x14ac:dyDescent="0.25">
      <c r="M8197" s="34">
        <f t="shared" si="304"/>
        <v>0</v>
      </c>
    </row>
    <row r="8198" spans="13:13" x14ac:dyDescent="0.25">
      <c r="M8198" s="34">
        <f t="shared" si="304"/>
        <v>0</v>
      </c>
    </row>
    <row r="8199" spans="13:13" x14ac:dyDescent="0.25">
      <c r="M8199" s="34">
        <f t="shared" si="304"/>
        <v>0</v>
      </c>
    </row>
    <row r="8200" spans="13:13" x14ac:dyDescent="0.25">
      <c r="M8200" s="34">
        <f t="shared" si="304"/>
        <v>0</v>
      </c>
    </row>
    <row r="8201" spans="13:13" x14ac:dyDescent="0.25">
      <c r="M8201" s="34">
        <f t="shared" si="304"/>
        <v>0</v>
      </c>
    </row>
    <row r="8202" spans="13:13" x14ac:dyDescent="0.25">
      <c r="M8202" s="34">
        <f t="shared" si="304"/>
        <v>0</v>
      </c>
    </row>
    <row r="8203" spans="13:13" x14ac:dyDescent="0.25">
      <c r="M8203" s="34">
        <f t="shared" si="304"/>
        <v>0</v>
      </c>
    </row>
    <row r="8204" spans="13:13" x14ac:dyDescent="0.25">
      <c r="M8204" s="34">
        <f t="shared" si="304"/>
        <v>0</v>
      </c>
    </row>
    <row r="8205" spans="13:13" x14ac:dyDescent="0.25">
      <c r="M8205" s="34">
        <f t="shared" si="304"/>
        <v>0</v>
      </c>
    </row>
    <row r="8206" spans="13:13" x14ac:dyDescent="0.25">
      <c r="M8206" s="34">
        <f t="shared" si="304"/>
        <v>0</v>
      </c>
    </row>
    <row r="8207" spans="13:13" x14ac:dyDescent="0.25">
      <c r="M8207" s="34">
        <f t="shared" si="304"/>
        <v>0</v>
      </c>
    </row>
    <row r="8208" spans="13:13" x14ac:dyDescent="0.25">
      <c r="M8208" s="34">
        <f t="shared" si="304"/>
        <v>0</v>
      </c>
    </row>
    <row r="8209" spans="13:13" x14ac:dyDescent="0.25">
      <c r="M8209" s="34">
        <f t="shared" si="304"/>
        <v>0</v>
      </c>
    </row>
    <row r="8210" spans="13:13" x14ac:dyDescent="0.25">
      <c r="M8210" s="34">
        <f t="shared" si="304"/>
        <v>0</v>
      </c>
    </row>
    <row r="8211" spans="13:13" x14ac:dyDescent="0.25">
      <c r="M8211" s="34">
        <f t="shared" si="304"/>
        <v>0</v>
      </c>
    </row>
    <row r="8212" spans="13:13" x14ac:dyDescent="0.25">
      <c r="M8212" s="34">
        <f t="shared" si="304"/>
        <v>0</v>
      </c>
    </row>
    <row r="8213" spans="13:13" x14ac:dyDescent="0.25">
      <c r="M8213" s="34">
        <f t="shared" si="304"/>
        <v>0</v>
      </c>
    </row>
    <row r="8214" spans="13:13" x14ac:dyDescent="0.25">
      <c r="M8214" s="34">
        <f t="shared" si="304"/>
        <v>0</v>
      </c>
    </row>
    <row r="8215" spans="13:13" x14ac:dyDescent="0.25">
      <c r="M8215" s="34">
        <f t="shared" si="304"/>
        <v>0</v>
      </c>
    </row>
    <row r="8216" spans="13:13" x14ac:dyDescent="0.25">
      <c r="M8216" s="34">
        <f t="shared" si="304"/>
        <v>0</v>
      </c>
    </row>
    <row r="8217" spans="13:13" x14ac:dyDescent="0.25">
      <c r="M8217" s="34">
        <f t="shared" si="304"/>
        <v>0</v>
      </c>
    </row>
    <row r="8218" spans="13:13" x14ac:dyDescent="0.25">
      <c r="M8218" s="34">
        <f t="shared" si="304"/>
        <v>0</v>
      </c>
    </row>
    <row r="8219" spans="13:13" x14ac:dyDescent="0.25">
      <c r="M8219" s="34">
        <f t="shared" si="304"/>
        <v>0</v>
      </c>
    </row>
    <row r="8220" spans="13:13" x14ac:dyDescent="0.25">
      <c r="M8220" s="34">
        <f t="shared" si="304"/>
        <v>0</v>
      </c>
    </row>
    <row r="8221" spans="13:13" x14ac:dyDescent="0.25">
      <c r="M8221" s="34">
        <f t="shared" si="304"/>
        <v>0</v>
      </c>
    </row>
    <row r="8222" spans="13:13" x14ac:dyDescent="0.25">
      <c r="M8222" s="34">
        <f t="shared" si="304"/>
        <v>0</v>
      </c>
    </row>
    <row r="8223" spans="13:13" x14ac:dyDescent="0.25">
      <c r="M8223" s="34">
        <f t="shared" si="304"/>
        <v>0</v>
      </c>
    </row>
    <row r="8224" spans="13:13" x14ac:dyDescent="0.25">
      <c r="M8224" s="34">
        <f t="shared" si="304"/>
        <v>0</v>
      </c>
    </row>
    <row r="8225" spans="13:13" x14ac:dyDescent="0.25">
      <c r="M8225" s="34">
        <f t="shared" si="304"/>
        <v>0</v>
      </c>
    </row>
    <row r="8226" spans="13:13" x14ac:dyDescent="0.25">
      <c r="M8226" s="34">
        <f t="shared" si="304"/>
        <v>0</v>
      </c>
    </row>
    <row r="8227" spans="13:13" x14ac:dyDescent="0.25">
      <c r="M8227" s="34">
        <f t="shared" si="304"/>
        <v>0</v>
      </c>
    </row>
    <row r="8228" spans="13:13" x14ac:dyDescent="0.25">
      <c r="M8228" s="34">
        <f t="shared" si="304"/>
        <v>0</v>
      </c>
    </row>
    <row r="8229" spans="13:13" x14ac:dyDescent="0.25">
      <c r="M8229" s="34">
        <f t="shared" si="304"/>
        <v>0</v>
      </c>
    </row>
    <row r="8230" spans="13:13" x14ac:dyDescent="0.25">
      <c r="M8230" s="34">
        <f t="shared" si="304"/>
        <v>0</v>
      </c>
    </row>
    <row r="8231" spans="13:13" x14ac:dyDescent="0.25">
      <c r="M8231" s="34">
        <f t="shared" si="304"/>
        <v>0</v>
      </c>
    </row>
    <row r="8232" spans="13:13" x14ac:dyDescent="0.25">
      <c r="M8232" s="34">
        <f t="shared" si="304"/>
        <v>0</v>
      </c>
    </row>
    <row r="8233" spans="13:13" x14ac:dyDescent="0.25">
      <c r="M8233" s="34">
        <f t="shared" si="304"/>
        <v>0</v>
      </c>
    </row>
    <row r="8234" spans="13:13" x14ac:dyDescent="0.25">
      <c r="M8234" s="34">
        <f t="shared" si="304"/>
        <v>0</v>
      </c>
    </row>
    <row r="8235" spans="13:13" x14ac:dyDescent="0.25">
      <c r="M8235" s="34">
        <f t="shared" si="304"/>
        <v>0</v>
      </c>
    </row>
    <row r="8236" spans="13:13" x14ac:dyDescent="0.25">
      <c r="M8236" s="34">
        <f t="shared" si="304"/>
        <v>0</v>
      </c>
    </row>
    <row r="8237" spans="13:13" x14ac:dyDescent="0.25">
      <c r="M8237" s="34">
        <f t="shared" si="304"/>
        <v>0</v>
      </c>
    </row>
    <row r="8238" spans="13:13" x14ac:dyDescent="0.25">
      <c r="M8238" s="34">
        <f t="shared" si="304"/>
        <v>0</v>
      </c>
    </row>
    <row r="8239" spans="13:13" x14ac:dyDescent="0.25">
      <c r="M8239" s="34">
        <f t="shared" si="304"/>
        <v>0</v>
      </c>
    </row>
    <row r="8240" spans="13:13" x14ac:dyDescent="0.25">
      <c r="M8240" s="34">
        <f t="shared" si="304"/>
        <v>0</v>
      </c>
    </row>
    <row r="8241" spans="13:13" x14ac:dyDescent="0.25">
      <c r="M8241" s="34">
        <f t="shared" si="304"/>
        <v>0</v>
      </c>
    </row>
    <row r="8242" spans="13:13" x14ac:dyDescent="0.25">
      <c r="M8242" s="34">
        <f t="shared" si="304"/>
        <v>0</v>
      </c>
    </row>
    <row r="8243" spans="13:13" x14ac:dyDescent="0.25">
      <c r="M8243" s="34">
        <f t="shared" si="304"/>
        <v>0</v>
      </c>
    </row>
    <row r="8244" spans="13:13" x14ac:dyDescent="0.25">
      <c r="M8244" s="34">
        <f t="shared" si="304"/>
        <v>0</v>
      </c>
    </row>
    <row r="8245" spans="13:13" x14ac:dyDescent="0.25">
      <c r="M8245" s="34">
        <f t="shared" si="304"/>
        <v>0</v>
      </c>
    </row>
    <row r="8246" spans="13:13" x14ac:dyDescent="0.25">
      <c r="M8246" s="34">
        <f t="shared" si="304"/>
        <v>0</v>
      </c>
    </row>
    <row r="8247" spans="13:13" x14ac:dyDescent="0.25">
      <c r="M8247" s="34">
        <f t="shared" si="304"/>
        <v>0</v>
      </c>
    </row>
    <row r="8248" spans="13:13" x14ac:dyDescent="0.25">
      <c r="M8248" s="34">
        <f t="shared" si="304"/>
        <v>0</v>
      </c>
    </row>
    <row r="8249" spans="13:13" x14ac:dyDescent="0.25">
      <c r="M8249" s="34">
        <f t="shared" si="304"/>
        <v>0</v>
      </c>
    </row>
    <row r="8250" spans="13:13" x14ac:dyDescent="0.25">
      <c r="M8250" s="34">
        <f t="shared" si="304"/>
        <v>0</v>
      </c>
    </row>
    <row r="8251" spans="13:13" x14ac:dyDescent="0.25">
      <c r="M8251" s="34">
        <f t="shared" si="304"/>
        <v>0</v>
      </c>
    </row>
    <row r="8252" spans="13:13" x14ac:dyDescent="0.25">
      <c r="M8252" s="34">
        <f t="shared" si="304"/>
        <v>0</v>
      </c>
    </row>
    <row r="8253" spans="13:13" x14ac:dyDescent="0.25">
      <c r="M8253" s="34">
        <f t="shared" si="304"/>
        <v>0</v>
      </c>
    </row>
    <row r="8254" spans="13:13" x14ac:dyDescent="0.25">
      <c r="M8254" s="34">
        <f t="shared" si="304"/>
        <v>0</v>
      </c>
    </row>
    <row r="8255" spans="13:13" x14ac:dyDescent="0.25">
      <c r="M8255" s="34">
        <f t="shared" si="304"/>
        <v>0</v>
      </c>
    </row>
    <row r="8256" spans="13:13" x14ac:dyDescent="0.25">
      <c r="M8256" s="34">
        <f t="shared" si="304"/>
        <v>0</v>
      </c>
    </row>
    <row r="8257" spans="13:13" x14ac:dyDescent="0.25">
      <c r="M8257" s="34">
        <f t="shared" si="304"/>
        <v>0</v>
      </c>
    </row>
    <row r="8258" spans="13:13" x14ac:dyDescent="0.25">
      <c r="M8258" s="34">
        <f t="shared" si="304"/>
        <v>0</v>
      </c>
    </row>
    <row r="8259" spans="13:13" x14ac:dyDescent="0.25">
      <c r="M8259" s="34">
        <f t="shared" ref="M8259:M8322" si="305">IF(AND(E8259="Chèque",G8259="RECETTE"),F8259,0)</f>
        <v>0</v>
      </c>
    </row>
    <row r="8260" spans="13:13" x14ac:dyDescent="0.25">
      <c r="M8260" s="34">
        <f t="shared" si="305"/>
        <v>0</v>
      </c>
    </row>
    <row r="8261" spans="13:13" x14ac:dyDescent="0.25">
      <c r="M8261" s="34">
        <f t="shared" si="305"/>
        <v>0</v>
      </c>
    </row>
    <row r="8262" spans="13:13" x14ac:dyDescent="0.25">
      <c r="M8262" s="34">
        <f t="shared" si="305"/>
        <v>0</v>
      </c>
    </row>
    <row r="8263" spans="13:13" x14ac:dyDescent="0.25">
      <c r="M8263" s="34">
        <f t="shared" si="305"/>
        <v>0</v>
      </c>
    </row>
    <row r="8264" spans="13:13" x14ac:dyDescent="0.25">
      <c r="M8264" s="34">
        <f t="shared" si="305"/>
        <v>0</v>
      </c>
    </row>
    <row r="8265" spans="13:13" x14ac:dyDescent="0.25">
      <c r="M8265" s="34">
        <f t="shared" si="305"/>
        <v>0</v>
      </c>
    </row>
    <row r="8266" spans="13:13" x14ac:dyDescent="0.25">
      <c r="M8266" s="34">
        <f t="shared" si="305"/>
        <v>0</v>
      </c>
    </row>
    <row r="8267" spans="13:13" x14ac:dyDescent="0.25">
      <c r="M8267" s="34">
        <f t="shared" si="305"/>
        <v>0</v>
      </c>
    </row>
    <row r="8268" spans="13:13" x14ac:dyDescent="0.25">
      <c r="M8268" s="34">
        <f t="shared" si="305"/>
        <v>0</v>
      </c>
    </row>
    <row r="8269" spans="13:13" x14ac:dyDescent="0.25">
      <c r="M8269" s="34">
        <f t="shared" si="305"/>
        <v>0</v>
      </c>
    </row>
    <row r="8270" spans="13:13" x14ac:dyDescent="0.25">
      <c r="M8270" s="34">
        <f t="shared" si="305"/>
        <v>0</v>
      </c>
    </row>
    <row r="8271" spans="13:13" x14ac:dyDescent="0.25">
      <c r="M8271" s="34">
        <f t="shared" si="305"/>
        <v>0</v>
      </c>
    </row>
    <row r="8272" spans="13:13" x14ac:dyDescent="0.25">
      <c r="M8272" s="34">
        <f t="shared" si="305"/>
        <v>0</v>
      </c>
    </row>
    <row r="8273" spans="13:13" x14ac:dyDescent="0.25">
      <c r="M8273" s="34">
        <f t="shared" si="305"/>
        <v>0</v>
      </c>
    </row>
    <row r="8274" spans="13:13" x14ac:dyDescent="0.25">
      <c r="M8274" s="34">
        <f t="shared" si="305"/>
        <v>0</v>
      </c>
    </row>
    <row r="8275" spans="13:13" x14ac:dyDescent="0.25">
      <c r="M8275" s="34">
        <f t="shared" si="305"/>
        <v>0</v>
      </c>
    </row>
    <row r="8276" spans="13:13" x14ac:dyDescent="0.25">
      <c r="M8276" s="34">
        <f t="shared" si="305"/>
        <v>0</v>
      </c>
    </row>
    <row r="8277" spans="13:13" x14ac:dyDescent="0.25">
      <c r="M8277" s="34">
        <f t="shared" si="305"/>
        <v>0</v>
      </c>
    </row>
    <row r="8278" spans="13:13" x14ac:dyDescent="0.25">
      <c r="M8278" s="34">
        <f t="shared" si="305"/>
        <v>0</v>
      </c>
    </row>
    <row r="8279" spans="13:13" x14ac:dyDescent="0.25">
      <c r="M8279" s="34">
        <f t="shared" si="305"/>
        <v>0</v>
      </c>
    </row>
    <row r="8280" spans="13:13" x14ac:dyDescent="0.25">
      <c r="M8280" s="34">
        <f t="shared" si="305"/>
        <v>0</v>
      </c>
    </row>
    <row r="8281" spans="13:13" x14ac:dyDescent="0.25">
      <c r="M8281" s="34">
        <f t="shared" si="305"/>
        <v>0</v>
      </c>
    </row>
    <row r="8282" spans="13:13" x14ac:dyDescent="0.25">
      <c r="M8282" s="34">
        <f t="shared" si="305"/>
        <v>0</v>
      </c>
    </row>
    <row r="8283" spans="13:13" x14ac:dyDescent="0.25">
      <c r="M8283" s="34">
        <f t="shared" si="305"/>
        <v>0</v>
      </c>
    </row>
    <row r="8284" spans="13:13" x14ac:dyDescent="0.25">
      <c r="M8284" s="34">
        <f t="shared" si="305"/>
        <v>0</v>
      </c>
    </row>
    <row r="8285" spans="13:13" x14ac:dyDescent="0.25">
      <c r="M8285" s="34">
        <f t="shared" si="305"/>
        <v>0</v>
      </c>
    </row>
    <row r="8286" spans="13:13" x14ac:dyDescent="0.25">
      <c r="M8286" s="34">
        <f t="shared" si="305"/>
        <v>0</v>
      </c>
    </row>
    <row r="8287" spans="13:13" x14ac:dyDescent="0.25">
      <c r="M8287" s="34">
        <f t="shared" si="305"/>
        <v>0</v>
      </c>
    </row>
    <row r="8288" spans="13:13" x14ac:dyDescent="0.25">
      <c r="M8288" s="34">
        <f t="shared" si="305"/>
        <v>0</v>
      </c>
    </row>
    <row r="8289" spans="13:13" x14ac:dyDescent="0.25">
      <c r="M8289" s="34">
        <f t="shared" si="305"/>
        <v>0</v>
      </c>
    </row>
    <row r="8290" spans="13:13" x14ac:dyDescent="0.25">
      <c r="M8290" s="34">
        <f t="shared" si="305"/>
        <v>0</v>
      </c>
    </row>
    <row r="8291" spans="13:13" x14ac:dyDescent="0.25">
      <c r="M8291" s="34">
        <f t="shared" si="305"/>
        <v>0</v>
      </c>
    </row>
    <row r="8292" spans="13:13" x14ac:dyDescent="0.25">
      <c r="M8292" s="34">
        <f t="shared" si="305"/>
        <v>0</v>
      </c>
    </row>
    <row r="8293" spans="13:13" x14ac:dyDescent="0.25">
      <c r="M8293" s="34">
        <f t="shared" si="305"/>
        <v>0</v>
      </c>
    </row>
    <row r="8294" spans="13:13" x14ac:dyDescent="0.25">
      <c r="M8294" s="34">
        <f t="shared" si="305"/>
        <v>0</v>
      </c>
    </row>
    <row r="8295" spans="13:13" x14ac:dyDescent="0.25">
      <c r="M8295" s="34">
        <f t="shared" si="305"/>
        <v>0</v>
      </c>
    </row>
    <row r="8296" spans="13:13" x14ac:dyDescent="0.25">
      <c r="M8296" s="34">
        <f t="shared" si="305"/>
        <v>0</v>
      </c>
    </row>
    <row r="8297" spans="13:13" x14ac:dyDescent="0.25">
      <c r="M8297" s="34">
        <f t="shared" si="305"/>
        <v>0</v>
      </c>
    </row>
    <row r="8298" spans="13:13" x14ac:dyDescent="0.25">
      <c r="M8298" s="34">
        <f t="shared" si="305"/>
        <v>0</v>
      </c>
    </row>
    <row r="8299" spans="13:13" x14ac:dyDescent="0.25">
      <c r="M8299" s="34">
        <f t="shared" si="305"/>
        <v>0</v>
      </c>
    </row>
    <row r="8300" spans="13:13" x14ac:dyDescent="0.25">
      <c r="M8300" s="34">
        <f t="shared" si="305"/>
        <v>0</v>
      </c>
    </row>
    <row r="8301" spans="13:13" x14ac:dyDescent="0.25">
      <c r="M8301" s="34">
        <f t="shared" si="305"/>
        <v>0</v>
      </c>
    </row>
    <row r="8302" spans="13:13" x14ac:dyDescent="0.25">
      <c r="M8302" s="34">
        <f t="shared" si="305"/>
        <v>0</v>
      </c>
    </row>
    <row r="8303" spans="13:13" x14ac:dyDescent="0.25">
      <c r="M8303" s="34">
        <f t="shared" si="305"/>
        <v>0</v>
      </c>
    </row>
    <row r="8304" spans="13:13" x14ac:dyDescent="0.25">
      <c r="M8304" s="34">
        <f t="shared" si="305"/>
        <v>0</v>
      </c>
    </row>
    <row r="8305" spans="13:13" x14ac:dyDescent="0.25">
      <c r="M8305" s="34">
        <f t="shared" si="305"/>
        <v>0</v>
      </c>
    </row>
    <row r="8306" spans="13:13" x14ac:dyDescent="0.25">
      <c r="M8306" s="34">
        <f t="shared" si="305"/>
        <v>0</v>
      </c>
    </row>
    <row r="8307" spans="13:13" x14ac:dyDescent="0.25">
      <c r="M8307" s="34">
        <f t="shared" si="305"/>
        <v>0</v>
      </c>
    </row>
    <row r="8308" spans="13:13" x14ac:dyDescent="0.25">
      <c r="M8308" s="34">
        <f t="shared" si="305"/>
        <v>0</v>
      </c>
    </row>
    <row r="8309" spans="13:13" x14ac:dyDescent="0.25">
      <c r="M8309" s="34">
        <f t="shared" si="305"/>
        <v>0</v>
      </c>
    </row>
    <row r="8310" spans="13:13" x14ac:dyDescent="0.25">
      <c r="M8310" s="34">
        <f t="shared" si="305"/>
        <v>0</v>
      </c>
    </row>
    <row r="8311" spans="13:13" x14ac:dyDescent="0.25">
      <c r="M8311" s="34">
        <f t="shared" si="305"/>
        <v>0</v>
      </c>
    </row>
    <row r="8312" spans="13:13" x14ac:dyDescent="0.25">
      <c r="M8312" s="34">
        <f t="shared" si="305"/>
        <v>0</v>
      </c>
    </row>
    <row r="8313" spans="13:13" x14ac:dyDescent="0.25">
      <c r="M8313" s="34">
        <f t="shared" si="305"/>
        <v>0</v>
      </c>
    </row>
    <row r="8314" spans="13:13" x14ac:dyDescent="0.25">
      <c r="M8314" s="34">
        <f t="shared" si="305"/>
        <v>0</v>
      </c>
    </row>
    <row r="8315" spans="13:13" x14ac:dyDescent="0.25">
      <c r="M8315" s="34">
        <f t="shared" si="305"/>
        <v>0</v>
      </c>
    </row>
    <row r="8316" spans="13:13" x14ac:dyDescent="0.25">
      <c r="M8316" s="34">
        <f t="shared" si="305"/>
        <v>0</v>
      </c>
    </row>
    <row r="8317" spans="13:13" x14ac:dyDescent="0.25">
      <c r="M8317" s="34">
        <f t="shared" si="305"/>
        <v>0</v>
      </c>
    </row>
    <row r="8318" spans="13:13" x14ac:dyDescent="0.25">
      <c r="M8318" s="34">
        <f t="shared" si="305"/>
        <v>0</v>
      </c>
    </row>
    <row r="8319" spans="13:13" x14ac:dyDescent="0.25">
      <c r="M8319" s="34">
        <f t="shared" si="305"/>
        <v>0</v>
      </c>
    </row>
    <row r="8320" spans="13:13" x14ac:dyDescent="0.25">
      <c r="M8320" s="34">
        <f t="shared" si="305"/>
        <v>0</v>
      </c>
    </row>
    <row r="8321" spans="13:13" x14ac:dyDescent="0.25">
      <c r="M8321" s="34">
        <f t="shared" si="305"/>
        <v>0</v>
      </c>
    </row>
    <row r="8322" spans="13:13" x14ac:dyDescent="0.25">
      <c r="M8322" s="34">
        <f t="shared" si="305"/>
        <v>0</v>
      </c>
    </row>
    <row r="8323" spans="13:13" x14ac:dyDescent="0.25">
      <c r="M8323" s="34">
        <f t="shared" ref="M8323:M8386" si="306">IF(AND(E8323="Chèque",G8323="RECETTE"),F8323,0)</f>
        <v>0</v>
      </c>
    </row>
    <row r="8324" spans="13:13" x14ac:dyDescent="0.25">
      <c r="M8324" s="34">
        <f t="shared" si="306"/>
        <v>0</v>
      </c>
    </row>
    <row r="8325" spans="13:13" x14ac:dyDescent="0.25">
      <c r="M8325" s="34">
        <f t="shared" si="306"/>
        <v>0</v>
      </c>
    </row>
    <row r="8326" spans="13:13" x14ac:dyDescent="0.25">
      <c r="M8326" s="34">
        <f t="shared" si="306"/>
        <v>0</v>
      </c>
    </row>
    <row r="8327" spans="13:13" x14ac:dyDescent="0.25">
      <c r="M8327" s="34">
        <f t="shared" si="306"/>
        <v>0</v>
      </c>
    </row>
    <row r="8328" spans="13:13" x14ac:dyDescent="0.25">
      <c r="M8328" s="34">
        <f t="shared" si="306"/>
        <v>0</v>
      </c>
    </row>
    <row r="8329" spans="13:13" x14ac:dyDescent="0.25">
      <c r="M8329" s="34">
        <f t="shared" si="306"/>
        <v>0</v>
      </c>
    </row>
    <row r="8330" spans="13:13" x14ac:dyDescent="0.25">
      <c r="M8330" s="34">
        <f t="shared" si="306"/>
        <v>0</v>
      </c>
    </row>
    <row r="8331" spans="13:13" x14ac:dyDescent="0.25">
      <c r="M8331" s="34">
        <f t="shared" si="306"/>
        <v>0</v>
      </c>
    </row>
    <row r="8332" spans="13:13" x14ac:dyDescent="0.25">
      <c r="M8332" s="34">
        <f t="shared" si="306"/>
        <v>0</v>
      </c>
    </row>
    <row r="8333" spans="13:13" x14ac:dyDescent="0.25">
      <c r="M8333" s="34">
        <f t="shared" si="306"/>
        <v>0</v>
      </c>
    </row>
    <row r="8334" spans="13:13" x14ac:dyDescent="0.25">
      <c r="M8334" s="34">
        <f t="shared" si="306"/>
        <v>0</v>
      </c>
    </row>
    <row r="8335" spans="13:13" x14ac:dyDescent="0.25">
      <c r="M8335" s="34">
        <f t="shared" si="306"/>
        <v>0</v>
      </c>
    </row>
    <row r="8336" spans="13:13" x14ac:dyDescent="0.25">
      <c r="M8336" s="34">
        <f t="shared" si="306"/>
        <v>0</v>
      </c>
    </row>
    <row r="8337" spans="13:13" x14ac:dyDescent="0.25">
      <c r="M8337" s="34">
        <f t="shared" si="306"/>
        <v>0</v>
      </c>
    </row>
    <row r="8338" spans="13:13" x14ac:dyDescent="0.25">
      <c r="M8338" s="34">
        <f t="shared" si="306"/>
        <v>0</v>
      </c>
    </row>
    <row r="8339" spans="13:13" x14ac:dyDescent="0.25">
      <c r="M8339" s="34">
        <f t="shared" si="306"/>
        <v>0</v>
      </c>
    </row>
    <row r="8340" spans="13:13" x14ac:dyDescent="0.25">
      <c r="M8340" s="34">
        <f t="shared" si="306"/>
        <v>0</v>
      </c>
    </row>
    <row r="8341" spans="13:13" x14ac:dyDescent="0.25">
      <c r="M8341" s="34">
        <f t="shared" si="306"/>
        <v>0</v>
      </c>
    </row>
    <row r="8342" spans="13:13" x14ac:dyDescent="0.25">
      <c r="M8342" s="34">
        <f t="shared" si="306"/>
        <v>0</v>
      </c>
    </row>
    <row r="8343" spans="13:13" x14ac:dyDescent="0.25">
      <c r="M8343" s="34">
        <f t="shared" si="306"/>
        <v>0</v>
      </c>
    </row>
    <row r="8344" spans="13:13" x14ac:dyDescent="0.25">
      <c r="M8344" s="34">
        <f t="shared" si="306"/>
        <v>0</v>
      </c>
    </row>
    <row r="8345" spans="13:13" x14ac:dyDescent="0.25">
      <c r="M8345" s="34">
        <f t="shared" si="306"/>
        <v>0</v>
      </c>
    </row>
    <row r="8346" spans="13:13" x14ac:dyDescent="0.25">
      <c r="M8346" s="34">
        <f t="shared" si="306"/>
        <v>0</v>
      </c>
    </row>
    <row r="8347" spans="13:13" x14ac:dyDescent="0.25">
      <c r="M8347" s="34">
        <f t="shared" si="306"/>
        <v>0</v>
      </c>
    </row>
    <row r="8348" spans="13:13" x14ac:dyDescent="0.25">
      <c r="M8348" s="34">
        <f t="shared" si="306"/>
        <v>0</v>
      </c>
    </row>
    <row r="8349" spans="13:13" x14ac:dyDescent="0.25">
      <c r="M8349" s="34">
        <f t="shared" si="306"/>
        <v>0</v>
      </c>
    </row>
    <row r="8350" spans="13:13" x14ac:dyDescent="0.25">
      <c r="M8350" s="34">
        <f t="shared" si="306"/>
        <v>0</v>
      </c>
    </row>
    <row r="8351" spans="13:13" x14ac:dyDescent="0.25">
      <c r="M8351" s="34">
        <f t="shared" si="306"/>
        <v>0</v>
      </c>
    </row>
    <row r="8352" spans="13:13" x14ac:dyDescent="0.25">
      <c r="M8352" s="34">
        <f t="shared" si="306"/>
        <v>0</v>
      </c>
    </row>
    <row r="8353" spans="13:13" x14ac:dyDescent="0.25">
      <c r="M8353" s="34">
        <f t="shared" si="306"/>
        <v>0</v>
      </c>
    </row>
    <row r="8354" spans="13:13" x14ac:dyDescent="0.25">
      <c r="M8354" s="34">
        <f t="shared" si="306"/>
        <v>0</v>
      </c>
    </row>
    <row r="8355" spans="13:13" x14ac:dyDescent="0.25">
      <c r="M8355" s="34">
        <f t="shared" si="306"/>
        <v>0</v>
      </c>
    </row>
    <row r="8356" spans="13:13" x14ac:dyDescent="0.25">
      <c r="M8356" s="34">
        <f t="shared" si="306"/>
        <v>0</v>
      </c>
    </row>
    <row r="8357" spans="13:13" x14ac:dyDescent="0.25">
      <c r="M8357" s="34">
        <f t="shared" si="306"/>
        <v>0</v>
      </c>
    </row>
    <row r="8358" spans="13:13" x14ac:dyDescent="0.25">
      <c r="M8358" s="34">
        <f t="shared" si="306"/>
        <v>0</v>
      </c>
    </row>
    <row r="8359" spans="13:13" x14ac:dyDescent="0.25">
      <c r="M8359" s="34">
        <f t="shared" si="306"/>
        <v>0</v>
      </c>
    </row>
    <row r="8360" spans="13:13" x14ac:dyDescent="0.25">
      <c r="M8360" s="34">
        <f t="shared" si="306"/>
        <v>0</v>
      </c>
    </row>
    <row r="8361" spans="13:13" x14ac:dyDescent="0.25">
      <c r="M8361" s="34">
        <f t="shared" si="306"/>
        <v>0</v>
      </c>
    </row>
    <row r="8362" spans="13:13" x14ac:dyDescent="0.25">
      <c r="M8362" s="34">
        <f t="shared" si="306"/>
        <v>0</v>
      </c>
    </row>
    <row r="8363" spans="13:13" x14ac:dyDescent="0.25">
      <c r="M8363" s="34">
        <f t="shared" si="306"/>
        <v>0</v>
      </c>
    </row>
    <row r="8364" spans="13:13" x14ac:dyDescent="0.25">
      <c r="M8364" s="34">
        <f t="shared" si="306"/>
        <v>0</v>
      </c>
    </row>
    <row r="8365" spans="13:13" x14ac:dyDescent="0.25">
      <c r="M8365" s="34">
        <f t="shared" si="306"/>
        <v>0</v>
      </c>
    </row>
    <row r="8366" spans="13:13" x14ac:dyDescent="0.25">
      <c r="M8366" s="34">
        <f t="shared" si="306"/>
        <v>0</v>
      </c>
    </row>
    <row r="8367" spans="13:13" x14ac:dyDescent="0.25">
      <c r="M8367" s="34">
        <f t="shared" si="306"/>
        <v>0</v>
      </c>
    </row>
    <row r="8368" spans="13:13" x14ac:dyDescent="0.25">
      <c r="M8368" s="34">
        <f t="shared" si="306"/>
        <v>0</v>
      </c>
    </row>
    <row r="8369" spans="13:13" x14ac:dyDescent="0.25">
      <c r="M8369" s="34">
        <f t="shared" si="306"/>
        <v>0</v>
      </c>
    </row>
    <row r="8370" spans="13:13" x14ac:dyDescent="0.25">
      <c r="M8370" s="34">
        <f t="shared" si="306"/>
        <v>0</v>
      </c>
    </row>
    <row r="8371" spans="13:13" x14ac:dyDescent="0.25">
      <c r="M8371" s="34">
        <f t="shared" si="306"/>
        <v>0</v>
      </c>
    </row>
    <row r="8372" spans="13:13" x14ac:dyDescent="0.25">
      <c r="M8372" s="34">
        <f t="shared" si="306"/>
        <v>0</v>
      </c>
    </row>
    <row r="8373" spans="13:13" x14ac:dyDescent="0.25">
      <c r="M8373" s="34">
        <f t="shared" si="306"/>
        <v>0</v>
      </c>
    </row>
    <row r="8374" spans="13:13" x14ac:dyDescent="0.25">
      <c r="M8374" s="34">
        <f t="shared" si="306"/>
        <v>0</v>
      </c>
    </row>
    <row r="8375" spans="13:13" x14ac:dyDescent="0.25">
      <c r="M8375" s="34">
        <f t="shared" si="306"/>
        <v>0</v>
      </c>
    </row>
    <row r="8376" spans="13:13" x14ac:dyDescent="0.25">
      <c r="M8376" s="34">
        <f t="shared" si="306"/>
        <v>0</v>
      </c>
    </row>
    <row r="8377" spans="13:13" x14ac:dyDescent="0.25">
      <c r="M8377" s="34">
        <f t="shared" si="306"/>
        <v>0</v>
      </c>
    </row>
    <row r="8378" spans="13:13" x14ac:dyDescent="0.25">
      <c r="M8378" s="34">
        <f t="shared" si="306"/>
        <v>0</v>
      </c>
    </row>
    <row r="8379" spans="13:13" x14ac:dyDescent="0.25">
      <c r="M8379" s="34">
        <f t="shared" si="306"/>
        <v>0</v>
      </c>
    </row>
    <row r="8380" spans="13:13" x14ac:dyDescent="0.25">
      <c r="M8380" s="34">
        <f t="shared" si="306"/>
        <v>0</v>
      </c>
    </row>
    <row r="8381" spans="13:13" x14ac:dyDescent="0.25">
      <c r="M8381" s="34">
        <f t="shared" si="306"/>
        <v>0</v>
      </c>
    </row>
    <row r="8382" spans="13:13" x14ac:dyDescent="0.25">
      <c r="M8382" s="34">
        <f t="shared" si="306"/>
        <v>0</v>
      </c>
    </row>
    <row r="8383" spans="13:13" x14ac:dyDescent="0.25">
      <c r="M8383" s="34">
        <f t="shared" si="306"/>
        <v>0</v>
      </c>
    </row>
    <row r="8384" spans="13:13" x14ac:dyDescent="0.25">
      <c r="M8384" s="34">
        <f t="shared" si="306"/>
        <v>0</v>
      </c>
    </row>
    <row r="8385" spans="13:13" x14ac:dyDescent="0.25">
      <c r="M8385" s="34">
        <f t="shared" si="306"/>
        <v>0</v>
      </c>
    </row>
    <row r="8386" spans="13:13" x14ac:dyDescent="0.25">
      <c r="M8386" s="34">
        <f t="shared" si="306"/>
        <v>0</v>
      </c>
    </row>
    <row r="8387" spans="13:13" x14ac:dyDescent="0.25">
      <c r="M8387" s="34">
        <f t="shared" ref="M8387:M8450" si="307">IF(AND(E8387="Chèque",G8387="RECETTE"),F8387,0)</f>
        <v>0</v>
      </c>
    </row>
    <row r="8388" spans="13:13" x14ac:dyDescent="0.25">
      <c r="M8388" s="34">
        <f t="shared" si="307"/>
        <v>0</v>
      </c>
    </row>
    <row r="8389" spans="13:13" x14ac:dyDescent="0.25">
      <c r="M8389" s="34">
        <f t="shared" si="307"/>
        <v>0</v>
      </c>
    </row>
    <row r="8390" spans="13:13" x14ac:dyDescent="0.25">
      <c r="M8390" s="34">
        <f t="shared" si="307"/>
        <v>0</v>
      </c>
    </row>
    <row r="8391" spans="13:13" x14ac:dyDescent="0.25">
      <c r="M8391" s="34">
        <f t="shared" si="307"/>
        <v>0</v>
      </c>
    </row>
    <row r="8392" spans="13:13" x14ac:dyDescent="0.25">
      <c r="M8392" s="34">
        <f t="shared" si="307"/>
        <v>0</v>
      </c>
    </row>
    <row r="8393" spans="13:13" x14ac:dyDescent="0.25">
      <c r="M8393" s="34">
        <f t="shared" si="307"/>
        <v>0</v>
      </c>
    </row>
    <row r="8394" spans="13:13" x14ac:dyDescent="0.25">
      <c r="M8394" s="34">
        <f t="shared" si="307"/>
        <v>0</v>
      </c>
    </row>
    <row r="8395" spans="13:13" x14ac:dyDescent="0.25">
      <c r="M8395" s="34">
        <f t="shared" si="307"/>
        <v>0</v>
      </c>
    </row>
    <row r="8396" spans="13:13" x14ac:dyDescent="0.25">
      <c r="M8396" s="34">
        <f t="shared" si="307"/>
        <v>0</v>
      </c>
    </row>
    <row r="8397" spans="13:13" x14ac:dyDescent="0.25">
      <c r="M8397" s="34">
        <f t="shared" si="307"/>
        <v>0</v>
      </c>
    </row>
    <row r="8398" spans="13:13" x14ac:dyDescent="0.25">
      <c r="M8398" s="34">
        <f t="shared" si="307"/>
        <v>0</v>
      </c>
    </row>
    <row r="8399" spans="13:13" x14ac:dyDescent="0.25">
      <c r="M8399" s="34">
        <f t="shared" si="307"/>
        <v>0</v>
      </c>
    </row>
    <row r="8400" spans="13:13" x14ac:dyDescent="0.25">
      <c r="M8400" s="34">
        <f t="shared" si="307"/>
        <v>0</v>
      </c>
    </row>
    <row r="8401" spans="13:13" x14ac:dyDescent="0.25">
      <c r="M8401" s="34">
        <f t="shared" si="307"/>
        <v>0</v>
      </c>
    </row>
    <row r="8402" spans="13:13" x14ac:dyDescent="0.25">
      <c r="M8402" s="34">
        <f t="shared" si="307"/>
        <v>0</v>
      </c>
    </row>
    <row r="8403" spans="13:13" x14ac:dyDescent="0.25">
      <c r="M8403" s="34">
        <f t="shared" si="307"/>
        <v>0</v>
      </c>
    </row>
    <row r="8404" spans="13:13" x14ac:dyDescent="0.25">
      <c r="M8404" s="34">
        <f t="shared" si="307"/>
        <v>0</v>
      </c>
    </row>
    <row r="8405" spans="13:13" x14ac:dyDescent="0.25">
      <c r="M8405" s="34">
        <f t="shared" si="307"/>
        <v>0</v>
      </c>
    </row>
    <row r="8406" spans="13:13" x14ac:dyDescent="0.25">
      <c r="M8406" s="34">
        <f t="shared" si="307"/>
        <v>0</v>
      </c>
    </row>
    <row r="8407" spans="13:13" x14ac:dyDescent="0.25">
      <c r="M8407" s="34">
        <f t="shared" si="307"/>
        <v>0</v>
      </c>
    </row>
    <row r="8408" spans="13:13" x14ac:dyDescent="0.25">
      <c r="M8408" s="34">
        <f t="shared" si="307"/>
        <v>0</v>
      </c>
    </row>
    <row r="8409" spans="13:13" x14ac:dyDescent="0.25">
      <c r="M8409" s="34">
        <f t="shared" si="307"/>
        <v>0</v>
      </c>
    </row>
    <row r="8410" spans="13:13" x14ac:dyDescent="0.25">
      <c r="M8410" s="34">
        <f t="shared" si="307"/>
        <v>0</v>
      </c>
    </row>
    <row r="8411" spans="13:13" x14ac:dyDescent="0.25">
      <c r="M8411" s="34">
        <f t="shared" si="307"/>
        <v>0</v>
      </c>
    </row>
    <row r="8412" spans="13:13" x14ac:dyDescent="0.25">
      <c r="M8412" s="34">
        <f t="shared" si="307"/>
        <v>0</v>
      </c>
    </row>
    <row r="8413" spans="13:13" x14ac:dyDescent="0.25">
      <c r="M8413" s="34">
        <f t="shared" si="307"/>
        <v>0</v>
      </c>
    </row>
    <row r="8414" spans="13:13" x14ac:dyDescent="0.25">
      <c r="M8414" s="34">
        <f t="shared" si="307"/>
        <v>0</v>
      </c>
    </row>
    <row r="8415" spans="13:13" x14ac:dyDescent="0.25">
      <c r="M8415" s="34">
        <f t="shared" si="307"/>
        <v>0</v>
      </c>
    </row>
    <row r="8416" spans="13:13" x14ac:dyDescent="0.25">
      <c r="M8416" s="34">
        <f t="shared" si="307"/>
        <v>0</v>
      </c>
    </row>
    <row r="8417" spans="13:13" x14ac:dyDescent="0.25">
      <c r="M8417" s="34">
        <f t="shared" si="307"/>
        <v>0</v>
      </c>
    </row>
    <row r="8418" spans="13:13" x14ac:dyDescent="0.25">
      <c r="M8418" s="34">
        <f t="shared" si="307"/>
        <v>0</v>
      </c>
    </row>
    <row r="8419" spans="13:13" x14ac:dyDescent="0.25">
      <c r="M8419" s="34">
        <f t="shared" si="307"/>
        <v>0</v>
      </c>
    </row>
    <row r="8420" spans="13:13" x14ac:dyDescent="0.25">
      <c r="M8420" s="34">
        <f t="shared" si="307"/>
        <v>0</v>
      </c>
    </row>
    <row r="8421" spans="13:13" x14ac:dyDescent="0.25">
      <c r="M8421" s="34">
        <f t="shared" si="307"/>
        <v>0</v>
      </c>
    </row>
    <row r="8422" spans="13:13" x14ac:dyDescent="0.25">
      <c r="M8422" s="34">
        <f t="shared" si="307"/>
        <v>0</v>
      </c>
    </row>
    <row r="8423" spans="13:13" x14ac:dyDescent="0.25">
      <c r="M8423" s="34">
        <f t="shared" si="307"/>
        <v>0</v>
      </c>
    </row>
    <row r="8424" spans="13:13" x14ac:dyDescent="0.25">
      <c r="M8424" s="34">
        <f t="shared" si="307"/>
        <v>0</v>
      </c>
    </row>
    <row r="8425" spans="13:13" x14ac:dyDescent="0.25">
      <c r="M8425" s="34">
        <f t="shared" si="307"/>
        <v>0</v>
      </c>
    </row>
    <row r="8426" spans="13:13" x14ac:dyDescent="0.25">
      <c r="M8426" s="34">
        <f t="shared" si="307"/>
        <v>0</v>
      </c>
    </row>
    <row r="8427" spans="13:13" x14ac:dyDescent="0.25">
      <c r="M8427" s="34">
        <f t="shared" si="307"/>
        <v>0</v>
      </c>
    </row>
    <row r="8428" spans="13:13" x14ac:dyDescent="0.25">
      <c r="M8428" s="34">
        <f t="shared" si="307"/>
        <v>0</v>
      </c>
    </row>
    <row r="8429" spans="13:13" x14ac:dyDescent="0.25">
      <c r="M8429" s="34">
        <f t="shared" si="307"/>
        <v>0</v>
      </c>
    </row>
    <row r="8430" spans="13:13" x14ac:dyDescent="0.25">
      <c r="M8430" s="34">
        <f t="shared" si="307"/>
        <v>0</v>
      </c>
    </row>
    <row r="8431" spans="13:13" x14ac:dyDescent="0.25">
      <c r="M8431" s="34">
        <f t="shared" si="307"/>
        <v>0</v>
      </c>
    </row>
    <row r="8432" spans="13:13" x14ac:dyDescent="0.25">
      <c r="M8432" s="34">
        <f t="shared" si="307"/>
        <v>0</v>
      </c>
    </row>
    <row r="8433" spans="13:13" x14ac:dyDescent="0.25">
      <c r="M8433" s="34">
        <f t="shared" si="307"/>
        <v>0</v>
      </c>
    </row>
    <row r="8434" spans="13:13" x14ac:dyDescent="0.25">
      <c r="M8434" s="34">
        <f t="shared" si="307"/>
        <v>0</v>
      </c>
    </row>
    <row r="8435" spans="13:13" x14ac:dyDescent="0.25">
      <c r="M8435" s="34">
        <f t="shared" si="307"/>
        <v>0</v>
      </c>
    </row>
    <row r="8436" spans="13:13" x14ac:dyDescent="0.25">
      <c r="M8436" s="34">
        <f t="shared" si="307"/>
        <v>0</v>
      </c>
    </row>
    <row r="8437" spans="13:13" x14ac:dyDescent="0.25">
      <c r="M8437" s="34">
        <f t="shared" si="307"/>
        <v>0</v>
      </c>
    </row>
    <row r="8438" spans="13:13" x14ac:dyDescent="0.25">
      <c r="M8438" s="34">
        <f t="shared" si="307"/>
        <v>0</v>
      </c>
    </row>
    <row r="8439" spans="13:13" x14ac:dyDescent="0.25">
      <c r="M8439" s="34">
        <f t="shared" si="307"/>
        <v>0</v>
      </c>
    </row>
    <row r="8440" spans="13:13" x14ac:dyDescent="0.25">
      <c r="M8440" s="34">
        <f t="shared" si="307"/>
        <v>0</v>
      </c>
    </row>
    <row r="8441" spans="13:13" x14ac:dyDescent="0.25">
      <c r="M8441" s="34">
        <f t="shared" si="307"/>
        <v>0</v>
      </c>
    </row>
    <row r="8442" spans="13:13" x14ac:dyDescent="0.25">
      <c r="M8442" s="34">
        <f t="shared" si="307"/>
        <v>0</v>
      </c>
    </row>
    <row r="8443" spans="13:13" x14ac:dyDescent="0.25">
      <c r="M8443" s="34">
        <f t="shared" si="307"/>
        <v>0</v>
      </c>
    </row>
    <row r="8444" spans="13:13" x14ac:dyDescent="0.25">
      <c r="M8444" s="34">
        <f t="shared" si="307"/>
        <v>0</v>
      </c>
    </row>
    <row r="8445" spans="13:13" x14ac:dyDescent="0.25">
      <c r="M8445" s="34">
        <f t="shared" si="307"/>
        <v>0</v>
      </c>
    </row>
    <row r="8446" spans="13:13" x14ac:dyDescent="0.25">
      <c r="M8446" s="34">
        <f t="shared" si="307"/>
        <v>0</v>
      </c>
    </row>
    <row r="8447" spans="13:13" x14ac:dyDescent="0.25">
      <c r="M8447" s="34">
        <f t="shared" si="307"/>
        <v>0</v>
      </c>
    </row>
    <row r="8448" spans="13:13" x14ac:dyDescent="0.25">
      <c r="M8448" s="34">
        <f t="shared" si="307"/>
        <v>0</v>
      </c>
    </row>
    <row r="8449" spans="13:13" x14ac:dyDescent="0.25">
      <c r="M8449" s="34">
        <f t="shared" si="307"/>
        <v>0</v>
      </c>
    </row>
    <row r="8450" spans="13:13" x14ac:dyDescent="0.25">
      <c r="M8450" s="34">
        <f t="shared" si="307"/>
        <v>0</v>
      </c>
    </row>
    <row r="8451" spans="13:13" x14ac:dyDescent="0.25">
      <c r="M8451" s="34">
        <f t="shared" ref="M8451:M8514" si="308">IF(AND(E8451="Chèque",G8451="RECETTE"),F8451,0)</f>
        <v>0</v>
      </c>
    </row>
    <row r="8452" spans="13:13" x14ac:dyDescent="0.25">
      <c r="M8452" s="34">
        <f t="shared" si="308"/>
        <v>0</v>
      </c>
    </row>
    <row r="8453" spans="13:13" x14ac:dyDescent="0.25">
      <c r="M8453" s="34">
        <f t="shared" si="308"/>
        <v>0</v>
      </c>
    </row>
    <row r="8454" spans="13:13" x14ac:dyDescent="0.25">
      <c r="M8454" s="34">
        <f t="shared" si="308"/>
        <v>0</v>
      </c>
    </row>
    <row r="8455" spans="13:13" x14ac:dyDescent="0.25">
      <c r="M8455" s="34">
        <f t="shared" si="308"/>
        <v>0</v>
      </c>
    </row>
    <row r="8456" spans="13:13" x14ac:dyDescent="0.25">
      <c r="M8456" s="34">
        <f t="shared" si="308"/>
        <v>0</v>
      </c>
    </row>
    <row r="8457" spans="13:13" x14ac:dyDescent="0.25">
      <c r="M8457" s="34">
        <f t="shared" si="308"/>
        <v>0</v>
      </c>
    </row>
    <row r="8458" spans="13:13" x14ac:dyDescent="0.25">
      <c r="M8458" s="34">
        <f t="shared" si="308"/>
        <v>0</v>
      </c>
    </row>
    <row r="8459" spans="13:13" x14ac:dyDescent="0.25">
      <c r="M8459" s="34">
        <f t="shared" si="308"/>
        <v>0</v>
      </c>
    </row>
    <row r="8460" spans="13:13" x14ac:dyDescent="0.25">
      <c r="M8460" s="34">
        <f t="shared" si="308"/>
        <v>0</v>
      </c>
    </row>
    <row r="8461" spans="13:13" x14ac:dyDescent="0.25">
      <c r="M8461" s="34">
        <f t="shared" si="308"/>
        <v>0</v>
      </c>
    </row>
    <row r="8462" spans="13:13" x14ac:dyDescent="0.25">
      <c r="M8462" s="34">
        <f t="shared" si="308"/>
        <v>0</v>
      </c>
    </row>
    <row r="8463" spans="13:13" x14ac:dyDescent="0.25">
      <c r="M8463" s="34">
        <f t="shared" si="308"/>
        <v>0</v>
      </c>
    </row>
    <row r="8464" spans="13:13" x14ac:dyDescent="0.25">
      <c r="M8464" s="34">
        <f t="shared" si="308"/>
        <v>0</v>
      </c>
    </row>
    <row r="8465" spans="13:13" x14ac:dyDescent="0.25">
      <c r="M8465" s="34">
        <f t="shared" si="308"/>
        <v>0</v>
      </c>
    </row>
    <row r="8466" spans="13:13" x14ac:dyDescent="0.25">
      <c r="M8466" s="34">
        <f t="shared" si="308"/>
        <v>0</v>
      </c>
    </row>
    <row r="8467" spans="13:13" x14ac:dyDescent="0.25">
      <c r="M8467" s="34">
        <f t="shared" si="308"/>
        <v>0</v>
      </c>
    </row>
    <row r="8468" spans="13:13" x14ac:dyDescent="0.25">
      <c r="M8468" s="34">
        <f t="shared" si="308"/>
        <v>0</v>
      </c>
    </row>
    <row r="8469" spans="13:13" x14ac:dyDescent="0.25">
      <c r="M8469" s="34">
        <f t="shared" si="308"/>
        <v>0</v>
      </c>
    </row>
    <row r="8470" spans="13:13" x14ac:dyDescent="0.25">
      <c r="M8470" s="34">
        <f t="shared" si="308"/>
        <v>0</v>
      </c>
    </row>
    <row r="8471" spans="13:13" x14ac:dyDescent="0.25">
      <c r="M8471" s="34">
        <f t="shared" si="308"/>
        <v>0</v>
      </c>
    </row>
    <row r="8472" spans="13:13" x14ac:dyDescent="0.25">
      <c r="M8472" s="34">
        <f t="shared" si="308"/>
        <v>0</v>
      </c>
    </row>
    <row r="8473" spans="13:13" x14ac:dyDescent="0.25">
      <c r="M8473" s="34">
        <f t="shared" si="308"/>
        <v>0</v>
      </c>
    </row>
    <row r="8474" spans="13:13" x14ac:dyDescent="0.25">
      <c r="M8474" s="34">
        <f t="shared" si="308"/>
        <v>0</v>
      </c>
    </row>
    <row r="8475" spans="13:13" x14ac:dyDescent="0.25">
      <c r="M8475" s="34">
        <f t="shared" si="308"/>
        <v>0</v>
      </c>
    </row>
    <row r="8476" spans="13:13" x14ac:dyDescent="0.25">
      <c r="M8476" s="34">
        <f t="shared" si="308"/>
        <v>0</v>
      </c>
    </row>
    <row r="8477" spans="13:13" x14ac:dyDescent="0.25">
      <c r="M8477" s="34">
        <f t="shared" si="308"/>
        <v>0</v>
      </c>
    </row>
    <row r="8478" spans="13:13" x14ac:dyDescent="0.25">
      <c r="M8478" s="34">
        <f t="shared" si="308"/>
        <v>0</v>
      </c>
    </row>
    <row r="8479" spans="13:13" x14ac:dyDescent="0.25">
      <c r="M8479" s="34">
        <f t="shared" si="308"/>
        <v>0</v>
      </c>
    </row>
    <row r="8480" spans="13:13" x14ac:dyDescent="0.25">
      <c r="M8480" s="34">
        <f t="shared" si="308"/>
        <v>0</v>
      </c>
    </row>
    <row r="8481" spans="13:13" x14ac:dyDescent="0.25">
      <c r="M8481" s="34">
        <f t="shared" si="308"/>
        <v>0</v>
      </c>
    </row>
    <row r="8482" spans="13:13" x14ac:dyDescent="0.25">
      <c r="M8482" s="34">
        <f t="shared" si="308"/>
        <v>0</v>
      </c>
    </row>
    <row r="8483" spans="13:13" x14ac:dyDescent="0.25">
      <c r="M8483" s="34">
        <f t="shared" si="308"/>
        <v>0</v>
      </c>
    </row>
    <row r="8484" spans="13:13" x14ac:dyDescent="0.25">
      <c r="M8484" s="34">
        <f t="shared" si="308"/>
        <v>0</v>
      </c>
    </row>
    <row r="8485" spans="13:13" x14ac:dyDescent="0.25">
      <c r="M8485" s="34">
        <f t="shared" si="308"/>
        <v>0</v>
      </c>
    </row>
    <row r="8486" spans="13:13" x14ac:dyDescent="0.25">
      <c r="M8486" s="34">
        <f t="shared" si="308"/>
        <v>0</v>
      </c>
    </row>
    <row r="8487" spans="13:13" x14ac:dyDescent="0.25">
      <c r="M8487" s="34">
        <f t="shared" si="308"/>
        <v>0</v>
      </c>
    </row>
    <row r="8488" spans="13:13" x14ac:dyDescent="0.25">
      <c r="M8488" s="34">
        <f t="shared" si="308"/>
        <v>0</v>
      </c>
    </row>
    <row r="8489" spans="13:13" x14ac:dyDescent="0.25">
      <c r="M8489" s="34">
        <f t="shared" si="308"/>
        <v>0</v>
      </c>
    </row>
    <row r="8490" spans="13:13" x14ac:dyDescent="0.25">
      <c r="M8490" s="34">
        <f t="shared" si="308"/>
        <v>0</v>
      </c>
    </row>
    <row r="8491" spans="13:13" x14ac:dyDescent="0.25">
      <c r="M8491" s="34">
        <f t="shared" si="308"/>
        <v>0</v>
      </c>
    </row>
    <row r="8492" spans="13:13" x14ac:dyDescent="0.25">
      <c r="M8492" s="34">
        <f t="shared" si="308"/>
        <v>0</v>
      </c>
    </row>
    <row r="8493" spans="13:13" x14ac:dyDescent="0.25">
      <c r="M8493" s="34">
        <f t="shared" si="308"/>
        <v>0</v>
      </c>
    </row>
    <row r="8494" spans="13:13" x14ac:dyDescent="0.25">
      <c r="M8494" s="34">
        <f t="shared" si="308"/>
        <v>0</v>
      </c>
    </row>
    <row r="8495" spans="13:13" x14ac:dyDescent="0.25">
      <c r="M8495" s="34">
        <f t="shared" si="308"/>
        <v>0</v>
      </c>
    </row>
    <row r="8496" spans="13:13" x14ac:dyDescent="0.25">
      <c r="M8496" s="34">
        <f t="shared" si="308"/>
        <v>0</v>
      </c>
    </row>
    <row r="8497" spans="13:13" x14ac:dyDescent="0.25">
      <c r="M8497" s="34">
        <f t="shared" si="308"/>
        <v>0</v>
      </c>
    </row>
    <row r="8498" spans="13:13" x14ac:dyDescent="0.25">
      <c r="M8498" s="34">
        <f t="shared" si="308"/>
        <v>0</v>
      </c>
    </row>
    <row r="8499" spans="13:13" x14ac:dyDescent="0.25">
      <c r="M8499" s="34">
        <f t="shared" si="308"/>
        <v>0</v>
      </c>
    </row>
    <row r="8500" spans="13:13" x14ac:dyDescent="0.25">
      <c r="M8500" s="34">
        <f t="shared" si="308"/>
        <v>0</v>
      </c>
    </row>
    <row r="8501" spans="13:13" x14ac:dyDescent="0.25">
      <c r="M8501" s="34">
        <f t="shared" si="308"/>
        <v>0</v>
      </c>
    </row>
    <row r="8502" spans="13:13" x14ac:dyDescent="0.25">
      <c r="M8502" s="34">
        <f t="shared" si="308"/>
        <v>0</v>
      </c>
    </row>
    <row r="8503" spans="13:13" x14ac:dyDescent="0.25">
      <c r="M8503" s="34">
        <f t="shared" si="308"/>
        <v>0</v>
      </c>
    </row>
    <row r="8504" spans="13:13" x14ac:dyDescent="0.25">
      <c r="M8504" s="34">
        <f t="shared" si="308"/>
        <v>0</v>
      </c>
    </row>
    <row r="8505" spans="13:13" x14ac:dyDescent="0.25">
      <c r="M8505" s="34">
        <f t="shared" si="308"/>
        <v>0</v>
      </c>
    </row>
    <row r="8506" spans="13:13" x14ac:dyDescent="0.25">
      <c r="M8506" s="34">
        <f t="shared" si="308"/>
        <v>0</v>
      </c>
    </row>
    <row r="8507" spans="13:13" x14ac:dyDescent="0.25">
      <c r="M8507" s="34">
        <f t="shared" si="308"/>
        <v>0</v>
      </c>
    </row>
    <row r="8508" spans="13:13" x14ac:dyDescent="0.25">
      <c r="M8508" s="34">
        <f t="shared" si="308"/>
        <v>0</v>
      </c>
    </row>
    <row r="8509" spans="13:13" x14ac:dyDescent="0.25">
      <c r="M8509" s="34">
        <f t="shared" si="308"/>
        <v>0</v>
      </c>
    </row>
    <row r="8510" spans="13:13" x14ac:dyDescent="0.25">
      <c r="M8510" s="34">
        <f t="shared" si="308"/>
        <v>0</v>
      </c>
    </row>
    <row r="8511" spans="13:13" x14ac:dyDescent="0.25">
      <c r="M8511" s="34">
        <f t="shared" si="308"/>
        <v>0</v>
      </c>
    </row>
    <row r="8512" spans="13:13" x14ac:dyDescent="0.25">
      <c r="M8512" s="34">
        <f t="shared" si="308"/>
        <v>0</v>
      </c>
    </row>
    <row r="8513" spans="13:13" x14ac:dyDescent="0.25">
      <c r="M8513" s="34">
        <f t="shared" si="308"/>
        <v>0</v>
      </c>
    </row>
    <row r="8514" spans="13:13" x14ac:dyDescent="0.25">
      <c r="M8514" s="34">
        <f t="shared" si="308"/>
        <v>0</v>
      </c>
    </row>
    <row r="8515" spans="13:13" x14ac:dyDescent="0.25">
      <c r="M8515" s="34">
        <f t="shared" ref="M8515:M8578" si="309">IF(AND(E8515="Chèque",G8515="RECETTE"),F8515,0)</f>
        <v>0</v>
      </c>
    </row>
    <row r="8516" spans="13:13" x14ac:dyDescent="0.25">
      <c r="M8516" s="34">
        <f t="shared" si="309"/>
        <v>0</v>
      </c>
    </row>
    <row r="8517" spans="13:13" x14ac:dyDescent="0.25">
      <c r="M8517" s="34">
        <f t="shared" si="309"/>
        <v>0</v>
      </c>
    </row>
    <row r="8518" spans="13:13" x14ac:dyDescent="0.25">
      <c r="M8518" s="34">
        <f t="shared" si="309"/>
        <v>0</v>
      </c>
    </row>
    <row r="8519" spans="13:13" x14ac:dyDescent="0.25">
      <c r="M8519" s="34">
        <f t="shared" si="309"/>
        <v>0</v>
      </c>
    </row>
    <row r="8520" spans="13:13" x14ac:dyDescent="0.25">
      <c r="M8520" s="34">
        <f t="shared" si="309"/>
        <v>0</v>
      </c>
    </row>
    <row r="8521" spans="13:13" x14ac:dyDescent="0.25">
      <c r="M8521" s="34">
        <f t="shared" si="309"/>
        <v>0</v>
      </c>
    </row>
    <row r="8522" spans="13:13" x14ac:dyDescent="0.25">
      <c r="M8522" s="34">
        <f t="shared" si="309"/>
        <v>0</v>
      </c>
    </row>
    <row r="8523" spans="13:13" x14ac:dyDescent="0.25">
      <c r="M8523" s="34">
        <f t="shared" si="309"/>
        <v>0</v>
      </c>
    </row>
    <row r="8524" spans="13:13" x14ac:dyDescent="0.25">
      <c r="M8524" s="34">
        <f t="shared" si="309"/>
        <v>0</v>
      </c>
    </row>
    <row r="8525" spans="13:13" x14ac:dyDescent="0.25">
      <c r="M8525" s="34">
        <f t="shared" si="309"/>
        <v>0</v>
      </c>
    </row>
    <row r="8526" spans="13:13" x14ac:dyDescent="0.25">
      <c r="M8526" s="34">
        <f t="shared" si="309"/>
        <v>0</v>
      </c>
    </row>
    <row r="8527" spans="13:13" x14ac:dyDescent="0.25">
      <c r="M8527" s="34">
        <f t="shared" si="309"/>
        <v>0</v>
      </c>
    </row>
    <row r="8528" spans="13:13" x14ac:dyDescent="0.25">
      <c r="M8528" s="34">
        <f t="shared" si="309"/>
        <v>0</v>
      </c>
    </row>
    <row r="8529" spans="13:13" x14ac:dyDescent="0.25">
      <c r="M8529" s="34">
        <f t="shared" si="309"/>
        <v>0</v>
      </c>
    </row>
    <row r="8530" spans="13:13" x14ac:dyDescent="0.25">
      <c r="M8530" s="34">
        <f t="shared" si="309"/>
        <v>0</v>
      </c>
    </row>
    <row r="8531" spans="13:13" x14ac:dyDescent="0.25">
      <c r="M8531" s="34">
        <f t="shared" si="309"/>
        <v>0</v>
      </c>
    </row>
    <row r="8532" spans="13:13" x14ac:dyDescent="0.25">
      <c r="M8532" s="34">
        <f t="shared" si="309"/>
        <v>0</v>
      </c>
    </row>
    <row r="8533" spans="13:13" x14ac:dyDescent="0.25">
      <c r="M8533" s="34">
        <f t="shared" si="309"/>
        <v>0</v>
      </c>
    </row>
    <row r="8534" spans="13:13" x14ac:dyDescent="0.25">
      <c r="M8534" s="34">
        <f t="shared" si="309"/>
        <v>0</v>
      </c>
    </row>
    <row r="8535" spans="13:13" x14ac:dyDescent="0.25">
      <c r="M8535" s="34">
        <f t="shared" si="309"/>
        <v>0</v>
      </c>
    </row>
    <row r="8536" spans="13:13" x14ac:dyDescent="0.25">
      <c r="M8536" s="34">
        <f t="shared" si="309"/>
        <v>0</v>
      </c>
    </row>
    <row r="8537" spans="13:13" x14ac:dyDescent="0.25">
      <c r="M8537" s="34">
        <f t="shared" si="309"/>
        <v>0</v>
      </c>
    </row>
    <row r="8538" spans="13:13" x14ac:dyDescent="0.25">
      <c r="M8538" s="34">
        <f t="shared" si="309"/>
        <v>0</v>
      </c>
    </row>
    <row r="8539" spans="13:13" x14ac:dyDescent="0.25">
      <c r="M8539" s="34">
        <f t="shared" si="309"/>
        <v>0</v>
      </c>
    </row>
    <row r="8540" spans="13:13" x14ac:dyDescent="0.25">
      <c r="M8540" s="34">
        <f t="shared" si="309"/>
        <v>0</v>
      </c>
    </row>
    <row r="8541" spans="13:13" x14ac:dyDescent="0.25">
      <c r="M8541" s="34">
        <f t="shared" si="309"/>
        <v>0</v>
      </c>
    </row>
    <row r="8542" spans="13:13" x14ac:dyDescent="0.25">
      <c r="M8542" s="34">
        <f t="shared" si="309"/>
        <v>0</v>
      </c>
    </row>
    <row r="8543" spans="13:13" x14ac:dyDescent="0.25">
      <c r="M8543" s="34">
        <f t="shared" si="309"/>
        <v>0</v>
      </c>
    </row>
    <row r="8544" spans="13:13" x14ac:dyDescent="0.25">
      <c r="M8544" s="34">
        <f t="shared" si="309"/>
        <v>0</v>
      </c>
    </row>
    <row r="8545" spans="13:13" x14ac:dyDescent="0.25">
      <c r="M8545" s="34">
        <f t="shared" si="309"/>
        <v>0</v>
      </c>
    </row>
    <row r="8546" spans="13:13" x14ac:dyDescent="0.25">
      <c r="M8546" s="34">
        <f t="shared" si="309"/>
        <v>0</v>
      </c>
    </row>
    <row r="8547" spans="13:13" x14ac:dyDescent="0.25">
      <c r="M8547" s="34">
        <f t="shared" si="309"/>
        <v>0</v>
      </c>
    </row>
    <row r="8548" spans="13:13" x14ac:dyDescent="0.25">
      <c r="M8548" s="34">
        <f t="shared" si="309"/>
        <v>0</v>
      </c>
    </row>
    <row r="8549" spans="13:13" x14ac:dyDescent="0.25">
      <c r="M8549" s="34">
        <f t="shared" si="309"/>
        <v>0</v>
      </c>
    </row>
    <row r="8550" spans="13:13" x14ac:dyDescent="0.25">
      <c r="M8550" s="34">
        <f t="shared" si="309"/>
        <v>0</v>
      </c>
    </row>
    <row r="8551" spans="13:13" x14ac:dyDescent="0.25">
      <c r="M8551" s="34">
        <f t="shared" si="309"/>
        <v>0</v>
      </c>
    </row>
    <row r="8552" spans="13:13" x14ac:dyDescent="0.25">
      <c r="M8552" s="34">
        <f t="shared" si="309"/>
        <v>0</v>
      </c>
    </row>
    <row r="8553" spans="13:13" x14ac:dyDescent="0.25">
      <c r="M8553" s="34">
        <f t="shared" si="309"/>
        <v>0</v>
      </c>
    </row>
    <row r="8554" spans="13:13" x14ac:dyDescent="0.25">
      <c r="M8554" s="34">
        <f t="shared" si="309"/>
        <v>0</v>
      </c>
    </row>
    <row r="8555" spans="13:13" x14ac:dyDescent="0.25">
      <c r="M8555" s="34">
        <f t="shared" si="309"/>
        <v>0</v>
      </c>
    </row>
    <row r="8556" spans="13:13" x14ac:dyDescent="0.25">
      <c r="M8556" s="34">
        <f t="shared" si="309"/>
        <v>0</v>
      </c>
    </row>
    <row r="8557" spans="13:13" x14ac:dyDescent="0.25">
      <c r="M8557" s="34">
        <f t="shared" si="309"/>
        <v>0</v>
      </c>
    </row>
    <row r="8558" spans="13:13" x14ac:dyDescent="0.25">
      <c r="M8558" s="34">
        <f t="shared" si="309"/>
        <v>0</v>
      </c>
    </row>
    <row r="8559" spans="13:13" x14ac:dyDescent="0.25">
      <c r="M8559" s="34">
        <f t="shared" si="309"/>
        <v>0</v>
      </c>
    </row>
    <row r="8560" spans="13:13" x14ac:dyDescent="0.25">
      <c r="M8560" s="34">
        <f t="shared" si="309"/>
        <v>0</v>
      </c>
    </row>
    <row r="8561" spans="13:13" x14ac:dyDescent="0.25">
      <c r="M8561" s="34">
        <f t="shared" si="309"/>
        <v>0</v>
      </c>
    </row>
    <row r="8562" spans="13:13" x14ac:dyDescent="0.25">
      <c r="M8562" s="34">
        <f t="shared" si="309"/>
        <v>0</v>
      </c>
    </row>
    <row r="8563" spans="13:13" x14ac:dyDescent="0.25">
      <c r="M8563" s="34">
        <f t="shared" si="309"/>
        <v>0</v>
      </c>
    </row>
    <row r="8564" spans="13:13" x14ac:dyDescent="0.25">
      <c r="M8564" s="34">
        <f t="shared" si="309"/>
        <v>0</v>
      </c>
    </row>
    <row r="8565" spans="13:13" x14ac:dyDescent="0.25">
      <c r="M8565" s="34">
        <f t="shared" si="309"/>
        <v>0</v>
      </c>
    </row>
    <row r="8566" spans="13:13" x14ac:dyDescent="0.25">
      <c r="M8566" s="34">
        <f t="shared" si="309"/>
        <v>0</v>
      </c>
    </row>
    <row r="8567" spans="13:13" x14ac:dyDescent="0.25">
      <c r="M8567" s="34">
        <f t="shared" si="309"/>
        <v>0</v>
      </c>
    </row>
    <row r="8568" spans="13:13" x14ac:dyDescent="0.25">
      <c r="M8568" s="34">
        <f t="shared" si="309"/>
        <v>0</v>
      </c>
    </row>
    <row r="8569" spans="13:13" x14ac:dyDescent="0.25">
      <c r="M8569" s="34">
        <f t="shared" si="309"/>
        <v>0</v>
      </c>
    </row>
    <row r="8570" spans="13:13" x14ac:dyDescent="0.25">
      <c r="M8570" s="34">
        <f t="shared" si="309"/>
        <v>0</v>
      </c>
    </row>
    <row r="8571" spans="13:13" x14ac:dyDescent="0.25">
      <c r="M8571" s="34">
        <f t="shared" si="309"/>
        <v>0</v>
      </c>
    </row>
    <row r="8572" spans="13:13" x14ac:dyDescent="0.25">
      <c r="M8572" s="34">
        <f t="shared" si="309"/>
        <v>0</v>
      </c>
    </row>
    <row r="8573" spans="13:13" x14ac:dyDescent="0.25">
      <c r="M8573" s="34">
        <f t="shared" si="309"/>
        <v>0</v>
      </c>
    </row>
    <row r="8574" spans="13:13" x14ac:dyDescent="0.25">
      <c r="M8574" s="34">
        <f t="shared" si="309"/>
        <v>0</v>
      </c>
    </row>
    <row r="8575" spans="13:13" x14ac:dyDescent="0.25">
      <c r="M8575" s="34">
        <f t="shared" si="309"/>
        <v>0</v>
      </c>
    </row>
    <row r="8576" spans="13:13" x14ac:dyDescent="0.25">
      <c r="M8576" s="34">
        <f t="shared" si="309"/>
        <v>0</v>
      </c>
    </row>
    <row r="8577" spans="13:13" x14ac:dyDescent="0.25">
      <c r="M8577" s="34">
        <f t="shared" si="309"/>
        <v>0</v>
      </c>
    </row>
    <row r="8578" spans="13:13" x14ac:dyDescent="0.25">
      <c r="M8578" s="34">
        <f t="shared" si="309"/>
        <v>0</v>
      </c>
    </row>
    <row r="8579" spans="13:13" x14ac:dyDescent="0.25">
      <c r="M8579" s="34">
        <f t="shared" ref="M8579:M8642" si="310">IF(AND(E8579="Chèque",G8579="RECETTE"),F8579,0)</f>
        <v>0</v>
      </c>
    </row>
    <row r="8580" spans="13:13" x14ac:dyDescent="0.25">
      <c r="M8580" s="34">
        <f t="shared" si="310"/>
        <v>0</v>
      </c>
    </row>
    <row r="8581" spans="13:13" x14ac:dyDescent="0.25">
      <c r="M8581" s="34">
        <f t="shared" si="310"/>
        <v>0</v>
      </c>
    </row>
    <row r="8582" spans="13:13" x14ac:dyDescent="0.25">
      <c r="M8582" s="34">
        <f t="shared" si="310"/>
        <v>0</v>
      </c>
    </row>
    <row r="8583" spans="13:13" x14ac:dyDescent="0.25">
      <c r="M8583" s="34">
        <f t="shared" si="310"/>
        <v>0</v>
      </c>
    </row>
    <row r="8584" spans="13:13" x14ac:dyDescent="0.25">
      <c r="M8584" s="34">
        <f t="shared" si="310"/>
        <v>0</v>
      </c>
    </row>
    <row r="8585" spans="13:13" x14ac:dyDescent="0.25">
      <c r="M8585" s="34">
        <f t="shared" si="310"/>
        <v>0</v>
      </c>
    </row>
    <row r="8586" spans="13:13" x14ac:dyDescent="0.25">
      <c r="M8586" s="34">
        <f t="shared" si="310"/>
        <v>0</v>
      </c>
    </row>
    <row r="8587" spans="13:13" x14ac:dyDescent="0.25">
      <c r="M8587" s="34">
        <f t="shared" si="310"/>
        <v>0</v>
      </c>
    </row>
    <row r="8588" spans="13:13" x14ac:dyDescent="0.25">
      <c r="M8588" s="34">
        <f t="shared" si="310"/>
        <v>0</v>
      </c>
    </row>
    <row r="8589" spans="13:13" x14ac:dyDescent="0.25">
      <c r="M8589" s="34">
        <f t="shared" si="310"/>
        <v>0</v>
      </c>
    </row>
    <row r="8590" spans="13:13" x14ac:dyDescent="0.25">
      <c r="M8590" s="34">
        <f t="shared" si="310"/>
        <v>0</v>
      </c>
    </row>
    <row r="8591" spans="13:13" x14ac:dyDescent="0.25">
      <c r="M8591" s="34">
        <f t="shared" si="310"/>
        <v>0</v>
      </c>
    </row>
    <row r="8592" spans="13:13" x14ac:dyDescent="0.25">
      <c r="M8592" s="34">
        <f t="shared" si="310"/>
        <v>0</v>
      </c>
    </row>
    <row r="8593" spans="13:13" x14ac:dyDescent="0.25">
      <c r="M8593" s="34">
        <f t="shared" si="310"/>
        <v>0</v>
      </c>
    </row>
    <row r="8594" spans="13:13" x14ac:dyDescent="0.25">
      <c r="M8594" s="34">
        <f t="shared" si="310"/>
        <v>0</v>
      </c>
    </row>
    <row r="8595" spans="13:13" x14ac:dyDescent="0.25">
      <c r="M8595" s="34">
        <f t="shared" si="310"/>
        <v>0</v>
      </c>
    </row>
    <row r="8596" spans="13:13" x14ac:dyDescent="0.25">
      <c r="M8596" s="34">
        <f t="shared" si="310"/>
        <v>0</v>
      </c>
    </row>
    <row r="8597" spans="13:13" x14ac:dyDescent="0.25">
      <c r="M8597" s="34">
        <f t="shared" si="310"/>
        <v>0</v>
      </c>
    </row>
    <row r="8598" spans="13:13" x14ac:dyDescent="0.25">
      <c r="M8598" s="34">
        <f t="shared" si="310"/>
        <v>0</v>
      </c>
    </row>
    <row r="8599" spans="13:13" x14ac:dyDescent="0.25">
      <c r="M8599" s="34">
        <f t="shared" si="310"/>
        <v>0</v>
      </c>
    </row>
    <row r="8600" spans="13:13" x14ac:dyDescent="0.25">
      <c r="M8600" s="34">
        <f t="shared" si="310"/>
        <v>0</v>
      </c>
    </row>
    <row r="8601" spans="13:13" x14ac:dyDescent="0.25">
      <c r="M8601" s="34">
        <f t="shared" si="310"/>
        <v>0</v>
      </c>
    </row>
    <row r="8602" spans="13:13" x14ac:dyDescent="0.25">
      <c r="M8602" s="34">
        <f t="shared" si="310"/>
        <v>0</v>
      </c>
    </row>
    <row r="8603" spans="13:13" x14ac:dyDescent="0.25">
      <c r="M8603" s="34">
        <f t="shared" si="310"/>
        <v>0</v>
      </c>
    </row>
    <row r="8604" spans="13:13" x14ac:dyDescent="0.25">
      <c r="M8604" s="34">
        <f t="shared" si="310"/>
        <v>0</v>
      </c>
    </row>
    <row r="8605" spans="13:13" x14ac:dyDescent="0.25">
      <c r="M8605" s="34">
        <f t="shared" si="310"/>
        <v>0</v>
      </c>
    </row>
    <row r="8606" spans="13:13" x14ac:dyDescent="0.25">
      <c r="M8606" s="34">
        <f t="shared" si="310"/>
        <v>0</v>
      </c>
    </row>
    <row r="8607" spans="13:13" x14ac:dyDescent="0.25">
      <c r="M8607" s="34">
        <f t="shared" si="310"/>
        <v>0</v>
      </c>
    </row>
    <row r="8608" spans="13:13" x14ac:dyDescent="0.25">
      <c r="M8608" s="34">
        <f t="shared" si="310"/>
        <v>0</v>
      </c>
    </row>
    <row r="8609" spans="13:13" x14ac:dyDescent="0.25">
      <c r="M8609" s="34">
        <f t="shared" si="310"/>
        <v>0</v>
      </c>
    </row>
    <row r="8610" spans="13:13" x14ac:dyDescent="0.25">
      <c r="M8610" s="34">
        <f t="shared" si="310"/>
        <v>0</v>
      </c>
    </row>
    <row r="8611" spans="13:13" x14ac:dyDescent="0.25">
      <c r="M8611" s="34">
        <f t="shared" si="310"/>
        <v>0</v>
      </c>
    </row>
    <row r="8612" spans="13:13" x14ac:dyDescent="0.25">
      <c r="M8612" s="34">
        <f t="shared" si="310"/>
        <v>0</v>
      </c>
    </row>
    <row r="8613" spans="13:13" x14ac:dyDescent="0.25">
      <c r="M8613" s="34">
        <f t="shared" si="310"/>
        <v>0</v>
      </c>
    </row>
    <row r="8614" spans="13:13" x14ac:dyDescent="0.25">
      <c r="M8614" s="34">
        <f t="shared" si="310"/>
        <v>0</v>
      </c>
    </row>
    <row r="8615" spans="13:13" x14ac:dyDescent="0.25">
      <c r="M8615" s="34">
        <f t="shared" si="310"/>
        <v>0</v>
      </c>
    </row>
    <row r="8616" spans="13:13" x14ac:dyDescent="0.25">
      <c r="M8616" s="34">
        <f t="shared" si="310"/>
        <v>0</v>
      </c>
    </row>
    <row r="8617" spans="13:13" x14ac:dyDescent="0.25">
      <c r="M8617" s="34">
        <f t="shared" si="310"/>
        <v>0</v>
      </c>
    </row>
    <row r="8618" spans="13:13" x14ac:dyDescent="0.25">
      <c r="M8618" s="34">
        <f t="shared" si="310"/>
        <v>0</v>
      </c>
    </row>
    <row r="8619" spans="13:13" x14ac:dyDescent="0.25">
      <c r="M8619" s="34">
        <f t="shared" si="310"/>
        <v>0</v>
      </c>
    </row>
    <row r="8620" spans="13:13" x14ac:dyDescent="0.25">
      <c r="M8620" s="34">
        <f t="shared" si="310"/>
        <v>0</v>
      </c>
    </row>
    <row r="8621" spans="13:13" x14ac:dyDescent="0.25">
      <c r="M8621" s="34">
        <f t="shared" si="310"/>
        <v>0</v>
      </c>
    </row>
    <row r="8622" spans="13:13" x14ac:dyDescent="0.25">
      <c r="M8622" s="34">
        <f t="shared" si="310"/>
        <v>0</v>
      </c>
    </row>
    <row r="8623" spans="13:13" x14ac:dyDescent="0.25">
      <c r="M8623" s="34">
        <f t="shared" si="310"/>
        <v>0</v>
      </c>
    </row>
    <row r="8624" spans="13:13" x14ac:dyDescent="0.25">
      <c r="M8624" s="34">
        <f t="shared" si="310"/>
        <v>0</v>
      </c>
    </row>
    <row r="8625" spans="13:13" x14ac:dyDescent="0.25">
      <c r="M8625" s="34">
        <f t="shared" si="310"/>
        <v>0</v>
      </c>
    </row>
    <row r="8626" spans="13:13" x14ac:dyDescent="0.25">
      <c r="M8626" s="34">
        <f t="shared" si="310"/>
        <v>0</v>
      </c>
    </row>
    <row r="8627" spans="13:13" x14ac:dyDescent="0.25">
      <c r="M8627" s="34">
        <f t="shared" si="310"/>
        <v>0</v>
      </c>
    </row>
    <row r="8628" spans="13:13" x14ac:dyDescent="0.25">
      <c r="M8628" s="34">
        <f t="shared" si="310"/>
        <v>0</v>
      </c>
    </row>
    <row r="8629" spans="13:13" x14ac:dyDescent="0.25">
      <c r="M8629" s="34">
        <f t="shared" si="310"/>
        <v>0</v>
      </c>
    </row>
    <row r="8630" spans="13:13" x14ac:dyDescent="0.25">
      <c r="M8630" s="34">
        <f t="shared" si="310"/>
        <v>0</v>
      </c>
    </row>
    <row r="8631" spans="13:13" x14ac:dyDescent="0.25">
      <c r="M8631" s="34">
        <f t="shared" si="310"/>
        <v>0</v>
      </c>
    </row>
    <row r="8632" spans="13:13" x14ac:dyDescent="0.25">
      <c r="M8632" s="34">
        <f t="shared" si="310"/>
        <v>0</v>
      </c>
    </row>
    <row r="8633" spans="13:13" x14ac:dyDescent="0.25">
      <c r="M8633" s="34">
        <f t="shared" si="310"/>
        <v>0</v>
      </c>
    </row>
    <row r="8634" spans="13:13" x14ac:dyDescent="0.25">
      <c r="M8634" s="34">
        <f t="shared" si="310"/>
        <v>0</v>
      </c>
    </row>
    <row r="8635" spans="13:13" x14ac:dyDescent="0.25">
      <c r="M8635" s="34">
        <f t="shared" si="310"/>
        <v>0</v>
      </c>
    </row>
    <row r="8636" spans="13:13" x14ac:dyDescent="0.25">
      <c r="M8636" s="34">
        <f t="shared" si="310"/>
        <v>0</v>
      </c>
    </row>
    <row r="8637" spans="13:13" x14ac:dyDescent="0.25">
      <c r="M8637" s="34">
        <f t="shared" si="310"/>
        <v>0</v>
      </c>
    </row>
    <row r="8638" spans="13:13" x14ac:dyDescent="0.25">
      <c r="M8638" s="34">
        <f t="shared" si="310"/>
        <v>0</v>
      </c>
    </row>
    <row r="8639" spans="13:13" x14ac:dyDescent="0.25">
      <c r="M8639" s="34">
        <f t="shared" si="310"/>
        <v>0</v>
      </c>
    </row>
    <row r="8640" spans="13:13" x14ac:dyDescent="0.25">
      <c r="M8640" s="34">
        <f t="shared" si="310"/>
        <v>0</v>
      </c>
    </row>
    <row r="8641" spans="13:13" x14ac:dyDescent="0.25">
      <c r="M8641" s="34">
        <f t="shared" si="310"/>
        <v>0</v>
      </c>
    </row>
    <row r="8642" spans="13:13" x14ac:dyDescent="0.25">
      <c r="M8642" s="34">
        <f t="shared" si="310"/>
        <v>0</v>
      </c>
    </row>
    <row r="8643" spans="13:13" x14ac:dyDescent="0.25">
      <c r="M8643" s="34">
        <f t="shared" ref="M8643:M8706" si="311">IF(AND(E8643="Chèque",G8643="RECETTE"),F8643,0)</f>
        <v>0</v>
      </c>
    </row>
    <row r="8644" spans="13:13" x14ac:dyDescent="0.25">
      <c r="M8644" s="34">
        <f t="shared" si="311"/>
        <v>0</v>
      </c>
    </row>
    <row r="8645" spans="13:13" x14ac:dyDescent="0.25">
      <c r="M8645" s="34">
        <f t="shared" si="311"/>
        <v>0</v>
      </c>
    </row>
    <row r="8646" spans="13:13" x14ac:dyDescent="0.25">
      <c r="M8646" s="34">
        <f t="shared" si="311"/>
        <v>0</v>
      </c>
    </row>
    <row r="8647" spans="13:13" x14ac:dyDescent="0.25">
      <c r="M8647" s="34">
        <f t="shared" si="311"/>
        <v>0</v>
      </c>
    </row>
    <row r="8648" spans="13:13" x14ac:dyDescent="0.25">
      <c r="M8648" s="34">
        <f t="shared" si="311"/>
        <v>0</v>
      </c>
    </row>
    <row r="8649" spans="13:13" x14ac:dyDescent="0.25">
      <c r="M8649" s="34">
        <f t="shared" si="311"/>
        <v>0</v>
      </c>
    </row>
    <row r="8650" spans="13:13" x14ac:dyDescent="0.25">
      <c r="M8650" s="34">
        <f t="shared" si="311"/>
        <v>0</v>
      </c>
    </row>
    <row r="8651" spans="13:13" x14ac:dyDescent="0.25">
      <c r="M8651" s="34">
        <f t="shared" si="311"/>
        <v>0</v>
      </c>
    </row>
    <row r="8652" spans="13:13" x14ac:dyDescent="0.25">
      <c r="M8652" s="34">
        <f t="shared" si="311"/>
        <v>0</v>
      </c>
    </row>
    <row r="8653" spans="13:13" x14ac:dyDescent="0.25">
      <c r="M8653" s="34">
        <f t="shared" si="311"/>
        <v>0</v>
      </c>
    </row>
    <row r="8654" spans="13:13" x14ac:dyDescent="0.25">
      <c r="M8654" s="34">
        <f t="shared" si="311"/>
        <v>0</v>
      </c>
    </row>
    <row r="8655" spans="13:13" x14ac:dyDescent="0.25">
      <c r="M8655" s="34">
        <f t="shared" si="311"/>
        <v>0</v>
      </c>
    </row>
    <row r="8656" spans="13:13" x14ac:dyDescent="0.25">
      <c r="M8656" s="34">
        <f t="shared" si="311"/>
        <v>0</v>
      </c>
    </row>
    <row r="8657" spans="13:13" x14ac:dyDescent="0.25">
      <c r="M8657" s="34">
        <f t="shared" si="311"/>
        <v>0</v>
      </c>
    </row>
    <row r="8658" spans="13:13" x14ac:dyDescent="0.25">
      <c r="M8658" s="34">
        <f t="shared" si="311"/>
        <v>0</v>
      </c>
    </row>
    <row r="8659" spans="13:13" x14ac:dyDescent="0.25">
      <c r="M8659" s="34">
        <f t="shared" si="311"/>
        <v>0</v>
      </c>
    </row>
    <row r="8660" spans="13:13" x14ac:dyDescent="0.25">
      <c r="M8660" s="34">
        <f t="shared" si="311"/>
        <v>0</v>
      </c>
    </row>
    <row r="8661" spans="13:13" x14ac:dyDescent="0.25">
      <c r="M8661" s="34">
        <f t="shared" si="311"/>
        <v>0</v>
      </c>
    </row>
    <row r="8662" spans="13:13" x14ac:dyDescent="0.25">
      <c r="M8662" s="34">
        <f t="shared" si="311"/>
        <v>0</v>
      </c>
    </row>
    <row r="8663" spans="13:13" x14ac:dyDescent="0.25">
      <c r="M8663" s="34">
        <f t="shared" si="311"/>
        <v>0</v>
      </c>
    </row>
    <row r="8664" spans="13:13" x14ac:dyDescent="0.25">
      <c r="M8664" s="34">
        <f t="shared" si="311"/>
        <v>0</v>
      </c>
    </row>
    <row r="8665" spans="13:13" x14ac:dyDescent="0.25">
      <c r="M8665" s="34">
        <f t="shared" si="311"/>
        <v>0</v>
      </c>
    </row>
    <row r="8666" spans="13:13" x14ac:dyDescent="0.25">
      <c r="M8666" s="34">
        <f t="shared" si="311"/>
        <v>0</v>
      </c>
    </row>
    <row r="8667" spans="13:13" x14ac:dyDescent="0.25">
      <c r="M8667" s="34">
        <f t="shared" si="311"/>
        <v>0</v>
      </c>
    </row>
    <row r="8668" spans="13:13" x14ac:dyDescent="0.25">
      <c r="M8668" s="34">
        <f t="shared" si="311"/>
        <v>0</v>
      </c>
    </row>
    <row r="8669" spans="13:13" x14ac:dyDescent="0.25">
      <c r="M8669" s="34">
        <f t="shared" si="311"/>
        <v>0</v>
      </c>
    </row>
    <row r="8670" spans="13:13" x14ac:dyDescent="0.25">
      <c r="M8670" s="34">
        <f t="shared" si="311"/>
        <v>0</v>
      </c>
    </row>
    <row r="8671" spans="13:13" x14ac:dyDescent="0.25">
      <c r="M8671" s="34">
        <f t="shared" si="311"/>
        <v>0</v>
      </c>
    </row>
    <row r="8672" spans="13:13" x14ac:dyDescent="0.25">
      <c r="M8672" s="34">
        <f t="shared" si="311"/>
        <v>0</v>
      </c>
    </row>
    <row r="8673" spans="13:13" x14ac:dyDescent="0.25">
      <c r="M8673" s="34">
        <f t="shared" si="311"/>
        <v>0</v>
      </c>
    </row>
    <row r="8674" spans="13:13" x14ac:dyDescent="0.25">
      <c r="M8674" s="34">
        <f t="shared" si="311"/>
        <v>0</v>
      </c>
    </row>
    <row r="8675" spans="13:13" x14ac:dyDescent="0.25">
      <c r="M8675" s="34">
        <f t="shared" si="311"/>
        <v>0</v>
      </c>
    </row>
    <row r="8676" spans="13:13" x14ac:dyDescent="0.25">
      <c r="M8676" s="34">
        <f t="shared" si="311"/>
        <v>0</v>
      </c>
    </row>
    <row r="8677" spans="13:13" x14ac:dyDescent="0.25">
      <c r="M8677" s="34">
        <f t="shared" si="311"/>
        <v>0</v>
      </c>
    </row>
    <row r="8678" spans="13:13" x14ac:dyDescent="0.25">
      <c r="M8678" s="34">
        <f t="shared" si="311"/>
        <v>0</v>
      </c>
    </row>
    <row r="8679" spans="13:13" x14ac:dyDescent="0.25">
      <c r="M8679" s="34">
        <f t="shared" si="311"/>
        <v>0</v>
      </c>
    </row>
    <row r="8680" spans="13:13" x14ac:dyDescent="0.25">
      <c r="M8680" s="34">
        <f t="shared" si="311"/>
        <v>0</v>
      </c>
    </row>
    <row r="8681" spans="13:13" x14ac:dyDescent="0.25">
      <c r="M8681" s="34">
        <f t="shared" si="311"/>
        <v>0</v>
      </c>
    </row>
    <row r="8682" spans="13:13" x14ac:dyDescent="0.25">
      <c r="M8682" s="34">
        <f t="shared" si="311"/>
        <v>0</v>
      </c>
    </row>
    <row r="8683" spans="13:13" x14ac:dyDescent="0.25">
      <c r="M8683" s="34">
        <f t="shared" si="311"/>
        <v>0</v>
      </c>
    </row>
    <row r="8684" spans="13:13" x14ac:dyDescent="0.25">
      <c r="M8684" s="34">
        <f t="shared" si="311"/>
        <v>0</v>
      </c>
    </row>
    <row r="8685" spans="13:13" x14ac:dyDescent="0.25">
      <c r="M8685" s="34">
        <f t="shared" si="311"/>
        <v>0</v>
      </c>
    </row>
    <row r="8686" spans="13:13" x14ac:dyDescent="0.25">
      <c r="M8686" s="34">
        <f t="shared" si="311"/>
        <v>0</v>
      </c>
    </row>
    <row r="8687" spans="13:13" x14ac:dyDescent="0.25">
      <c r="M8687" s="34">
        <f t="shared" si="311"/>
        <v>0</v>
      </c>
    </row>
    <row r="8688" spans="13:13" x14ac:dyDescent="0.25">
      <c r="M8688" s="34">
        <f t="shared" si="311"/>
        <v>0</v>
      </c>
    </row>
    <row r="8689" spans="13:13" x14ac:dyDescent="0.25">
      <c r="M8689" s="34">
        <f t="shared" si="311"/>
        <v>0</v>
      </c>
    </row>
    <row r="8690" spans="13:13" x14ac:dyDescent="0.25">
      <c r="M8690" s="34">
        <f t="shared" si="311"/>
        <v>0</v>
      </c>
    </row>
    <row r="8691" spans="13:13" x14ac:dyDescent="0.25">
      <c r="M8691" s="34">
        <f t="shared" si="311"/>
        <v>0</v>
      </c>
    </row>
    <row r="8692" spans="13:13" x14ac:dyDescent="0.25">
      <c r="M8692" s="34">
        <f t="shared" si="311"/>
        <v>0</v>
      </c>
    </row>
    <row r="8693" spans="13:13" x14ac:dyDescent="0.25">
      <c r="M8693" s="34">
        <f t="shared" si="311"/>
        <v>0</v>
      </c>
    </row>
    <row r="8694" spans="13:13" x14ac:dyDescent="0.25">
      <c r="M8694" s="34">
        <f t="shared" si="311"/>
        <v>0</v>
      </c>
    </row>
    <row r="8695" spans="13:13" x14ac:dyDescent="0.25">
      <c r="M8695" s="34">
        <f t="shared" si="311"/>
        <v>0</v>
      </c>
    </row>
    <row r="8696" spans="13:13" x14ac:dyDescent="0.25">
      <c r="M8696" s="34">
        <f t="shared" si="311"/>
        <v>0</v>
      </c>
    </row>
    <row r="8697" spans="13:13" x14ac:dyDescent="0.25">
      <c r="M8697" s="34">
        <f t="shared" si="311"/>
        <v>0</v>
      </c>
    </row>
    <row r="8698" spans="13:13" x14ac:dyDescent="0.25">
      <c r="M8698" s="34">
        <f t="shared" si="311"/>
        <v>0</v>
      </c>
    </row>
    <row r="8699" spans="13:13" x14ac:dyDescent="0.25">
      <c r="M8699" s="34">
        <f t="shared" si="311"/>
        <v>0</v>
      </c>
    </row>
    <row r="8700" spans="13:13" x14ac:dyDescent="0.25">
      <c r="M8700" s="34">
        <f t="shared" si="311"/>
        <v>0</v>
      </c>
    </row>
    <row r="8701" spans="13:13" x14ac:dyDescent="0.25">
      <c r="M8701" s="34">
        <f t="shared" si="311"/>
        <v>0</v>
      </c>
    </row>
    <row r="8702" spans="13:13" x14ac:dyDescent="0.25">
      <c r="M8702" s="34">
        <f t="shared" si="311"/>
        <v>0</v>
      </c>
    </row>
    <row r="8703" spans="13:13" x14ac:dyDescent="0.25">
      <c r="M8703" s="34">
        <f t="shared" si="311"/>
        <v>0</v>
      </c>
    </row>
    <row r="8704" spans="13:13" x14ac:dyDescent="0.25">
      <c r="M8704" s="34">
        <f t="shared" si="311"/>
        <v>0</v>
      </c>
    </row>
    <row r="8705" spans="13:13" x14ac:dyDescent="0.25">
      <c r="M8705" s="34">
        <f t="shared" si="311"/>
        <v>0</v>
      </c>
    </row>
    <row r="8706" spans="13:13" x14ac:dyDescent="0.25">
      <c r="M8706" s="34">
        <f t="shared" si="311"/>
        <v>0</v>
      </c>
    </row>
    <row r="8707" spans="13:13" x14ac:dyDescent="0.25">
      <c r="M8707" s="34">
        <f t="shared" ref="M8707:M8770" si="312">IF(AND(E8707="Chèque",G8707="RECETTE"),F8707,0)</f>
        <v>0</v>
      </c>
    </row>
    <row r="8708" spans="13:13" x14ac:dyDescent="0.25">
      <c r="M8708" s="34">
        <f t="shared" si="312"/>
        <v>0</v>
      </c>
    </row>
    <row r="8709" spans="13:13" x14ac:dyDescent="0.25">
      <c r="M8709" s="34">
        <f t="shared" si="312"/>
        <v>0</v>
      </c>
    </row>
    <row r="8710" spans="13:13" x14ac:dyDescent="0.25">
      <c r="M8710" s="34">
        <f t="shared" si="312"/>
        <v>0</v>
      </c>
    </row>
    <row r="8711" spans="13:13" x14ac:dyDescent="0.25">
      <c r="M8711" s="34">
        <f t="shared" si="312"/>
        <v>0</v>
      </c>
    </row>
    <row r="8712" spans="13:13" x14ac:dyDescent="0.25">
      <c r="M8712" s="34">
        <f t="shared" si="312"/>
        <v>0</v>
      </c>
    </row>
    <row r="8713" spans="13:13" x14ac:dyDescent="0.25">
      <c r="M8713" s="34">
        <f t="shared" si="312"/>
        <v>0</v>
      </c>
    </row>
    <row r="8714" spans="13:13" x14ac:dyDescent="0.25">
      <c r="M8714" s="34">
        <f t="shared" si="312"/>
        <v>0</v>
      </c>
    </row>
    <row r="8715" spans="13:13" x14ac:dyDescent="0.25">
      <c r="M8715" s="34">
        <f t="shared" si="312"/>
        <v>0</v>
      </c>
    </row>
    <row r="8716" spans="13:13" x14ac:dyDescent="0.25">
      <c r="M8716" s="34">
        <f t="shared" si="312"/>
        <v>0</v>
      </c>
    </row>
    <row r="8717" spans="13:13" x14ac:dyDescent="0.25">
      <c r="M8717" s="34">
        <f t="shared" si="312"/>
        <v>0</v>
      </c>
    </row>
    <row r="8718" spans="13:13" x14ac:dyDescent="0.25">
      <c r="M8718" s="34">
        <f t="shared" si="312"/>
        <v>0</v>
      </c>
    </row>
    <row r="8719" spans="13:13" x14ac:dyDescent="0.25">
      <c r="M8719" s="34">
        <f t="shared" si="312"/>
        <v>0</v>
      </c>
    </row>
    <row r="8720" spans="13:13" x14ac:dyDescent="0.25">
      <c r="M8720" s="34">
        <f t="shared" si="312"/>
        <v>0</v>
      </c>
    </row>
    <row r="8721" spans="13:13" x14ac:dyDescent="0.25">
      <c r="M8721" s="34">
        <f t="shared" si="312"/>
        <v>0</v>
      </c>
    </row>
    <row r="8722" spans="13:13" x14ac:dyDescent="0.25">
      <c r="M8722" s="34">
        <f t="shared" si="312"/>
        <v>0</v>
      </c>
    </row>
    <row r="8723" spans="13:13" x14ac:dyDescent="0.25">
      <c r="M8723" s="34">
        <f t="shared" si="312"/>
        <v>0</v>
      </c>
    </row>
    <row r="8724" spans="13:13" x14ac:dyDescent="0.25">
      <c r="M8724" s="34">
        <f t="shared" si="312"/>
        <v>0</v>
      </c>
    </row>
    <row r="8725" spans="13:13" x14ac:dyDescent="0.25">
      <c r="M8725" s="34">
        <f t="shared" si="312"/>
        <v>0</v>
      </c>
    </row>
    <row r="8726" spans="13:13" x14ac:dyDescent="0.25">
      <c r="M8726" s="34">
        <f t="shared" si="312"/>
        <v>0</v>
      </c>
    </row>
    <row r="8727" spans="13:13" x14ac:dyDescent="0.25">
      <c r="M8727" s="34">
        <f t="shared" si="312"/>
        <v>0</v>
      </c>
    </row>
    <row r="8728" spans="13:13" x14ac:dyDescent="0.25">
      <c r="M8728" s="34">
        <f t="shared" si="312"/>
        <v>0</v>
      </c>
    </row>
    <row r="8729" spans="13:13" x14ac:dyDescent="0.25">
      <c r="M8729" s="34">
        <f t="shared" si="312"/>
        <v>0</v>
      </c>
    </row>
    <row r="8730" spans="13:13" x14ac:dyDescent="0.25">
      <c r="M8730" s="34">
        <f t="shared" si="312"/>
        <v>0</v>
      </c>
    </row>
    <row r="8731" spans="13:13" x14ac:dyDescent="0.25">
      <c r="M8731" s="34">
        <f t="shared" si="312"/>
        <v>0</v>
      </c>
    </row>
    <row r="8732" spans="13:13" x14ac:dyDescent="0.25">
      <c r="M8732" s="34">
        <f t="shared" si="312"/>
        <v>0</v>
      </c>
    </row>
    <row r="8733" spans="13:13" x14ac:dyDescent="0.25">
      <c r="M8733" s="34">
        <f t="shared" si="312"/>
        <v>0</v>
      </c>
    </row>
    <row r="8734" spans="13:13" x14ac:dyDescent="0.25">
      <c r="M8734" s="34">
        <f t="shared" si="312"/>
        <v>0</v>
      </c>
    </row>
    <row r="8735" spans="13:13" x14ac:dyDescent="0.25">
      <c r="M8735" s="34">
        <f t="shared" si="312"/>
        <v>0</v>
      </c>
    </row>
    <row r="8736" spans="13:13" x14ac:dyDescent="0.25">
      <c r="M8736" s="34">
        <f t="shared" si="312"/>
        <v>0</v>
      </c>
    </row>
    <row r="8737" spans="13:13" x14ac:dyDescent="0.25">
      <c r="M8737" s="34">
        <f t="shared" si="312"/>
        <v>0</v>
      </c>
    </row>
    <row r="8738" spans="13:13" x14ac:dyDescent="0.25">
      <c r="M8738" s="34">
        <f t="shared" si="312"/>
        <v>0</v>
      </c>
    </row>
    <row r="8739" spans="13:13" x14ac:dyDescent="0.25">
      <c r="M8739" s="34">
        <f t="shared" si="312"/>
        <v>0</v>
      </c>
    </row>
    <row r="8740" spans="13:13" x14ac:dyDescent="0.25">
      <c r="M8740" s="34">
        <f t="shared" si="312"/>
        <v>0</v>
      </c>
    </row>
    <row r="8741" spans="13:13" x14ac:dyDescent="0.25">
      <c r="M8741" s="34">
        <f t="shared" si="312"/>
        <v>0</v>
      </c>
    </row>
    <row r="8742" spans="13:13" x14ac:dyDescent="0.25">
      <c r="M8742" s="34">
        <f t="shared" si="312"/>
        <v>0</v>
      </c>
    </row>
    <row r="8743" spans="13:13" x14ac:dyDescent="0.25">
      <c r="M8743" s="34">
        <f t="shared" si="312"/>
        <v>0</v>
      </c>
    </row>
    <row r="8744" spans="13:13" x14ac:dyDescent="0.25">
      <c r="M8744" s="34">
        <f t="shared" si="312"/>
        <v>0</v>
      </c>
    </row>
    <row r="8745" spans="13:13" x14ac:dyDescent="0.25">
      <c r="M8745" s="34">
        <f t="shared" si="312"/>
        <v>0</v>
      </c>
    </row>
    <row r="8746" spans="13:13" x14ac:dyDescent="0.25">
      <c r="M8746" s="34">
        <f t="shared" si="312"/>
        <v>0</v>
      </c>
    </row>
    <row r="8747" spans="13:13" x14ac:dyDescent="0.25">
      <c r="M8747" s="34">
        <f t="shared" si="312"/>
        <v>0</v>
      </c>
    </row>
    <row r="8748" spans="13:13" x14ac:dyDescent="0.25">
      <c r="M8748" s="34">
        <f t="shared" si="312"/>
        <v>0</v>
      </c>
    </row>
    <row r="8749" spans="13:13" x14ac:dyDescent="0.25">
      <c r="M8749" s="34">
        <f t="shared" si="312"/>
        <v>0</v>
      </c>
    </row>
    <row r="8750" spans="13:13" x14ac:dyDescent="0.25">
      <c r="M8750" s="34">
        <f t="shared" si="312"/>
        <v>0</v>
      </c>
    </row>
    <row r="8751" spans="13:13" x14ac:dyDescent="0.25">
      <c r="M8751" s="34">
        <f t="shared" si="312"/>
        <v>0</v>
      </c>
    </row>
    <row r="8752" spans="13:13" x14ac:dyDescent="0.25">
      <c r="M8752" s="34">
        <f t="shared" si="312"/>
        <v>0</v>
      </c>
    </row>
    <row r="8753" spans="13:13" x14ac:dyDescent="0.25">
      <c r="M8753" s="34">
        <f t="shared" si="312"/>
        <v>0</v>
      </c>
    </row>
    <row r="8754" spans="13:13" x14ac:dyDescent="0.25">
      <c r="M8754" s="34">
        <f t="shared" si="312"/>
        <v>0</v>
      </c>
    </row>
    <row r="8755" spans="13:13" x14ac:dyDescent="0.25">
      <c r="M8755" s="34">
        <f t="shared" si="312"/>
        <v>0</v>
      </c>
    </row>
    <row r="8756" spans="13:13" x14ac:dyDescent="0.25">
      <c r="M8756" s="34">
        <f t="shared" si="312"/>
        <v>0</v>
      </c>
    </row>
    <row r="8757" spans="13:13" x14ac:dyDescent="0.25">
      <c r="M8757" s="34">
        <f t="shared" si="312"/>
        <v>0</v>
      </c>
    </row>
    <row r="8758" spans="13:13" x14ac:dyDescent="0.25">
      <c r="M8758" s="34">
        <f t="shared" si="312"/>
        <v>0</v>
      </c>
    </row>
    <row r="8759" spans="13:13" x14ac:dyDescent="0.25">
      <c r="M8759" s="34">
        <f t="shared" si="312"/>
        <v>0</v>
      </c>
    </row>
    <row r="8760" spans="13:13" x14ac:dyDescent="0.25">
      <c r="M8760" s="34">
        <f t="shared" si="312"/>
        <v>0</v>
      </c>
    </row>
    <row r="8761" spans="13:13" x14ac:dyDescent="0.25">
      <c r="M8761" s="34">
        <f t="shared" si="312"/>
        <v>0</v>
      </c>
    </row>
    <row r="8762" spans="13:13" x14ac:dyDescent="0.25">
      <c r="M8762" s="34">
        <f t="shared" si="312"/>
        <v>0</v>
      </c>
    </row>
    <row r="8763" spans="13:13" x14ac:dyDescent="0.25">
      <c r="M8763" s="34">
        <f t="shared" si="312"/>
        <v>0</v>
      </c>
    </row>
    <row r="8764" spans="13:13" x14ac:dyDescent="0.25">
      <c r="M8764" s="34">
        <f t="shared" si="312"/>
        <v>0</v>
      </c>
    </row>
    <row r="8765" spans="13:13" x14ac:dyDescent="0.25">
      <c r="M8765" s="34">
        <f t="shared" si="312"/>
        <v>0</v>
      </c>
    </row>
    <row r="8766" spans="13:13" x14ac:dyDescent="0.25">
      <c r="M8766" s="34">
        <f t="shared" si="312"/>
        <v>0</v>
      </c>
    </row>
    <row r="8767" spans="13:13" x14ac:dyDescent="0.25">
      <c r="M8767" s="34">
        <f t="shared" si="312"/>
        <v>0</v>
      </c>
    </row>
    <row r="8768" spans="13:13" x14ac:dyDescent="0.25">
      <c r="M8768" s="34">
        <f t="shared" si="312"/>
        <v>0</v>
      </c>
    </row>
    <row r="8769" spans="13:13" x14ac:dyDescent="0.25">
      <c r="M8769" s="34">
        <f t="shared" si="312"/>
        <v>0</v>
      </c>
    </row>
    <row r="8770" spans="13:13" x14ac:dyDescent="0.25">
      <c r="M8770" s="34">
        <f t="shared" si="312"/>
        <v>0</v>
      </c>
    </row>
    <row r="8771" spans="13:13" x14ac:dyDescent="0.25">
      <c r="M8771" s="34">
        <f t="shared" ref="M8771:M8834" si="313">IF(AND(E8771="Chèque",G8771="RECETTE"),F8771,0)</f>
        <v>0</v>
      </c>
    </row>
    <row r="8772" spans="13:13" x14ac:dyDescent="0.25">
      <c r="M8772" s="34">
        <f t="shared" si="313"/>
        <v>0</v>
      </c>
    </row>
    <row r="8773" spans="13:13" x14ac:dyDescent="0.25">
      <c r="M8773" s="34">
        <f t="shared" si="313"/>
        <v>0</v>
      </c>
    </row>
    <row r="8774" spans="13:13" x14ac:dyDescent="0.25">
      <c r="M8774" s="34">
        <f t="shared" si="313"/>
        <v>0</v>
      </c>
    </row>
    <row r="8775" spans="13:13" x14ac:dyDescent="0.25">
      <c r="M8775" s="34">
        <f t="shared" si="313"/>
        <v>0</v>
      </c>
    </row>
    <row r="8776" spans="13:13" x14ac:dyDescent="0.25">
      <c r="M8776" s="34">
        <f t="shared" si="313"/>
        <v>0</v>
      </c>
    </row>
    <row r="8777" spans="13:13" x14ac:dyDescent="0.25">
      <c r="M8777" s="34">
        <f t="shared" si="313"/>
        <v>0</v>
      </c>
    </row>
    <row r="8778" spans="13:13" x14ac:dyDescent="0.25">
      <c r="M8778" s="34">
        <f t="shared" si="313"/>
        <v>0</v>
      </c>
    </row>
    <row r="8779" spans="13:13" x14ac:dyDescent="0.25">
      <c r="M8779" s="34">
        <f t="shared" si="313"/>
        <v>0</v>
      </c>
    </row>
    <row r="8780" spans="13:13" x14ac:dyDescent="0.25">
      <c r="M8780" s="34">
        <f t="shared" si="313"/>
        <v>0</v>
      </c>
    </row>
    <row r="8781" spans="13:13" x14ac:dyDescent="0.25">
      <c r="M8781" s="34">
        <f t="shared" si="313"/>
        <v>0</v>
      </c>
    </row>
    <row r="8782" spans="13:13" x14ac:dyDescent="0.25">
      <c r="M8782" s="34">
        <f t="shared" si="313"/>
        <v>0</v>
      </c>
    </row>
    <row r="8783" spans="13:13" x14ac:dyDescent="0.25">
      <c r="M8783" s="34">
        <f t="shared" si="313"/>
        <v>0</v>
      </c>
    </row>
    <row r="8784" spans="13:13" x14ac:dyDescent="0.25">
      <c r="M8784" s="34">
        <f t="shared" si="313"/>
        <v>0</v>
      </c>
    </row>
    <row r="8785" spans="13:13" x14ac:dyDescent="0.25">
      <c r="M8785" s="34">
        <f t="shared" si="313"/>
        <v>0</v>
      </c>
    </row>
    <row r="8786" spans="13:13" x14ac:dyDescent="0.25">
      <c r="M8786" s="34">
        <f t="shared" si="313"/>
        <v>0</v>
      </c>
    </row>
    <row r="8787" spans="13:13" x14ac:dyDescent="0.25">
      <c r="M8787" s="34">
        <f t="shared" si="313"/>
        <v>0</v>
      </c>
    </row>
    <row r="8788" spans="13:13" x14ac:dyDescent="0.25">
      <c r="M8788" s="34">
        <f t="shared" si="313"/>
        <v>0</v>
      </c>
    </row>
    <row r="8789" spans="13:13" x14ac:dyDescent="0.25">
      <c r="M8789" s="34">
        <f t="shared" si="313"/>
        <v>0</v>
      </c>
    </row>
    <row r="8790" spans="13:13" x14ac:dyDescent="0.25">
      <c r="M8790" s="34">
        <f t="shared" si="313"/>
        <v>0</v>
      </c>
    </row>
    <row r="8791" spans="13:13" x14ac:dyDescent="0.25">
      <c r="M8791" s="34">
        <f t="shared" si="313"/>
        <v>0</v>
      </c>
    </row>
    <row r="8792" spans="13:13" x14ac:dyDescent="0.25">
      <c r="M8792" s="34">
        <f t="shared" si="313"/>
        <v>0</v>
      </c>
    </row>
    <row r="8793" spans="13:13" x14ac:dyDescent="0.25">
      <c r="M8793" s="34">
        <f t="shared" si="313"/>
        <v>0</v>
      </c>
    </row>
    <row r="8794" spans="13:13" x14ac:dyDescent="0.25">
      <c r="M8794" s="34">
        <f t="shared" si="313"/>
        <v>0</v>
      </c>
    </row>
    <row r="8795" spans="13:13" x14ac:dyDescent="0.25">
      <c r="M8795" s="34">
        <f t="shared" si="313"/>
        <v>0</v>
      </c>
    </row>
    <row r="8796" spans="13:13" x14ac:dyDescent="0.25">
      <c r="M8796" s="34">
        <f t="shared" si="313"/>
        <v>0</v>
      </c>
    </row>
    <row r="8797" spans="13:13" x14ac:dyDescent="0.25">
      <c r="M8797" s="34">
        <f t="shared" si="313"/>
        <v>0</v>
      </c>
    </row>
    <row r="8798" spans="13:13" x14ac:dyDescent="0.25">
      <c r="M8798" s="34">
        <f t="shared" si="313"/>
        <v>0</v>
      </c>
    </row>
    <row r="8799" spans="13:13" x14ac:dyDescent="0.25">
      <c r="M8799" s="34">
        <f t="shared" si="313"/>
        <v>0</v>
      </c>
    </row>
    <row r="8800" spans="13:13" x14ac:dyDescent="0.25">
      <c r="M8800" s="34">
        <f t="shared" si="313"/>
        <v>0</v>
      </c>
    </row>
    <row r="8801" spans="13:13" x14ac:dyDescent="0.25">
      <c r="M8801" s="34">
        <f t="shared" si="313"/>
        <v>0</v>
      </c>
    </row>
    <row r="8802" spans="13:13" x14ac:dyDescent="0.25">
      <c r="M8802" s="34">
        <f t="shared" si="313"/>
        <v>0</v>
      </c>
    </row>
    <row r="8803" spans="13:13" x14ac:dyDescent="0.25">
      <c r="M8803" s="34">
        <f t="shared" si="313"/>
        <v>0</v>
      </c>
    </row>
    <row r="8804" spans="13:13" x14ac:dyDescent="0.25">
      <c r="M8804" s="34">
        <f t="shared" si="313"/>
        <v>0</v>
      </c>
    </row>
    <row r="8805" spans="13:13" x14ac:dyDescent="0.25">
      <c r="M8805" s="34">
        <f t="shared" si="313"/>
        <v>0</v>
      </c>
    </row>
    <row r="8806" spans="13:13" x14ac:dyDescent="0.25">
      <c r="M8806" s="34">
        <f t="shared" si="313"/>
        <v>0</v>
      </c>
    </row>
    <row r="8807" spans="13:13" x14ac:dyDescent="0.25">
      <c r="M8807" s="34">
        <f t="shared" si="313"/>
        <v>0</v>
      </c>
    </row>
    <row r="8808" spans="13:13" x14ac:dyDescent="0.25">
      <c r="M8808" s="34">
        <f t="shared" si="313"/>
        <v>0</v>
      </c>
    </row>
    <row r="8809" spans="13:13" x14ac:dyDescent="0.25">
      <c r="M8809" s="34">
        <f t="shared" si="313"/>
        <v>0</v>
      </c>
    </row>
    <row r="8810" spans="13:13" x14ac:dyDescent="0.25">
      <c r="M8810" s="34">
        <f t="shared" si="313"/>
        <v>0</v>
      </c>
    </row>
    <row r="8811" spans="13:13" x14ac:dyDescent="0.25">
      <c r="M8811" s="34">
        <f t="shared" si="313"/>
        <v>0</v>
      </c>
    </row>
    <row r="8812" spans="13:13" x14ac:dyDescent="0.25">
      <c r="M8812" s="34">
        <f t="shared" si="313"/>
        <v>0</v>
      </c>
    </row>
    <row r="8813" spans="13:13" x14ac:dyDescent="0.25">
      <c r="M8813" s="34">
        <f t="shared" si="313"/>
        <v>0</v>
      </c>
    </row>
    <row r="8814" spans="13:13" x14ac:dyDescent="0.25">
      <c r="M8814" s="34">
        <f t="shared" si="313"/>
        <v>0</v>
      </c>
    </row>
    <row r="8815" spans="13:13" x14ac:dyDescent="0.25">
      <c r="M8815" s="34">
        <f t="shared" si="313"/>
        <v>0</v>
      </c>
    </row>
    <row r="8816" spans="13:13" x14ac:dyDescent="0.25">
      <c r="M8816" s="34">
        <f t="shared" si="313"/>
        <v>0</v>
      </c>
    </row>
    <row r="8817" spans="13:13" x14ac:dyDescent="0.25">
      <c r="M8817" s="34">
        <f t="shared" si="313"/>
        <v>0</v>
      </c>
    </row>
    <row r="8818" spans="13:13" x14ac:dyDescent="0.25">
      <c r="M8818" s="34">
        <f t="shared" si="313"/>
        <v>0</v>
      </c>
    </row>
    <row r="8819" spans="13:13" x14ac:dyDescent="0.25">
      <c r="M8819" s="34">
        <f t="shared" si="313"/>
        <v>0</v>
      </c>
    </row>
    <row r="8820" spans="13:13" x14ac:dyDescent="0.25">
      <c r="M8820" s="34">
        <f t="shared" si="313"/>
        <v>0</v>
      </c>
    </row>
    <row r="8821" spans="13:13" x14ac:dyDescent="0.25">
      <c r="M8821" s="34">
        <f t="shared" si="313"/>
        <v>0</v>
      </c>
    </row>
    <row r="8822" spans="13:13" x14ac:dyDescent="0.25">
      <c r="M8822" s="34">
        <f t="shared" si="313"/>
        <v>0</v>
      </c>
    </row>
    <row r="8823" spans="13:13" x14ac:dyDescent="0.25">
      <c r="M8823" s="34">
        <f t="shared" si="313"/>
        <v>0</v>
      </c>
    </row>
    <row r="8824" spans="13:13" x14ac:dyDescent="0.25">
      <c r="M8824" s="34">
        <f t="shared" si="313"/>
        <v>0</v>
      </c>
    </row>
    <row r="8825" spans="13:13" x14ac:dyDescent="0.25">
      <c r="M8825" s="34">
        <f t="shared" si="313"/>
        <v>0</v>
      </c>
    </row>
    <row r="8826" spans="13:13" x14ac:dyDescent="0.25">
      <c r="M8826" s="34">
        <f t="shared" si="313"/>
        <v>0</v>
      </c>
    </row>
    <row r="8827" spans="13:13" x14ac:dyDescent="0.25">
      <c r="M8827" s="34">
        <f t="shared" si="313"/>
        <v>0</v>
      </c>
    </row>
    <row r="8828" spans="13:13" x14ac:dyDescent="0.25">
      <c r="M8828" s="34">
        <f t="shared" si="313"/>
        <v>0</v>
      </c>
    </row>
    <row r="8829" spans="13:13" x14ac:dyDescent="0.25">
      <c r="M8829" s="34">
        <f t="shared" si="313"/>
        <v>0</v>
      </c>
    </row>
    <row r="8830" spans="13:13" x14ac:dyDescent="0.25">
      <c r="M8830" s="34">
        <f t="shared" si="313"/>
        <v>0</v>
      </c>
    </row>
    <row r="8831" spans="13:13" x14ac:dyDescent="0.25">
      <c r="M8831" s="34">
        <f t="shared" si="313"/>
        <v>0</v>
      </c>
    </row>
    <row r="8832" spans="13:13" x14ac:dyDescent="0.25">
      <c r="M8832" s="34">
        <f t="shared" si="313"/>
        <v>0</v>
      </c>
    </row>
    <row r="8833" spans="13:13" x14ac:dyDescent="0.25">
      <c r="M8833" s="34">
        <f t="shared" si="313"/>
        <v>0</v>
      </c>
    </row>
    <row r="8834" spans="13:13" x14ac:dyDescent="0.25">
      <c r="M8834" s="34">
        <f t="shared" si="313"/>
        <v>0</v>
      </c>
    </row>
    <row r="8835" spans="13:13" x14ac:dyDescent="0.25">
      <c r="M8835" s="34">
        <f t="shared" ref="M8835:M8898" si="314">IF(AND(E8835="Chèque",G8835="RECETTE"),F8835,0)</f>
        <v>0</v>
      </c>
    </row>
    <row r="8836" spans="13:13" x14ac:dyDescent="0.25">
      <c r="M8836" s="34">
        <f t="shared" si="314"/>
        <v>0</v>
      </c>
    </row>
    <row r="8837" spans="13:13" x14ac:dyDescent="0.25">
      <c r="M8837" s="34">
        <f t="shared" si="314"/>
        <v>0</v>
      </c>
    </row>
    <row r="8838" spans="13:13" x14ac:dyDescent="0.25">
      <c r="M8838" s="34">
        <f t="shared" si="314"/>
        <v>0</v>
      </c>
    </row>
    <row r="8839" spans="13:13" x14ac:dyDescent="0.25">
      <c r="M8839" s="34">
        <f t="shared" si="314"/>
        <v>0</v>
      </c>
    </row>
    <row r="8840" spans="13:13" x14ac:dyDescent="0.25">
      <c r="M8840" s="34">
        <f t="shared" si="314"/>
        <v>0</v>
      </c>
    </row>
    <row r="8841" spans="13:13" x14ac:dyDescent="0.25">
      <c r="M8841" s="34">
        <f t="shared" si="314"/>
        <v>0</v>
      </c>
    </row>
    <row r="8842" spans="13:13" x14ac:dyDescent="0.25">
      <c r="M8842" s="34">
        <f t="shared" si="314"/>
        <v>0</v>
      </c>
    </row>
    <row r="8843" spans="13:13" x14ac:dyDescent="0.25">
      <c r="M8843" s="34">
        <f t="shared" si="314"/>
        <v>0</v>
      </c>
    </row>
    <row r="8844" spans="13:13" x14ac:dyDescent="0.25">
      <c r="M8844" s="34">
        <f t="shared" si="314"/>
        <v>0</v>
      </c>
    </row>
    <row r="8845" spans="13:13" x14ac:dyDescent="0.25">
      <c r="M8845" s="34">
        <f t="shared" si="314"/>
        <v>0</v>
      </c>
    </row>
    <row r="8846" spans="13:13" x14ac:dyDescent="0.25">
      <c r="M8846" s="34">
        <f t="shared" si="314"/>
        <v>0</v>
      </c>
    </row>
    <row r="8847" spans="13:13" x14ac:dyDescent="0.25">
      <c r="M8847" s="34">
        <f t="shared" si="314"/>
        <v>0</v>
      </c>
    </row>
    <row r="8848" spans="13:13" x14ac:dyDescent="0.25">
      <c r="M8848" s="34">
        <f t="shared" si="314"/>
        <v>0</v>
      </c>
    </row>
    <row r="8849" spans="13:13" x14ac:dyDescent="0.25">
      <c r="M8849" s="34">
        <f t="shared" si="314"/>
        <v>0</v>
      </c>
    </row>
    <row r="8850" spans="13:13" x14ac:dyDescent="0.25">
      <c r="M8850" s="34">
        <f t="shared" si="314"/>
        <v>0</v>
      </c>
    </row>
    <row r="8851" spans="13:13" x14ac:dyDescent="0.25">
      <c r="M8851" s="34">
        <f t="shared" si="314"/>
        <v>0</v>
      </c>
    </row>
    <row r="8852" spans="13:13" x14ac:dyDescent="0.25">
      <c r="M8852" s="34">
        <f t="shared" si="314"/>
        <v>0</v>
      </c>
    </row>
    <row r="8853" spans="13:13" x14ac:dyDescent="0.25">
      <c r="M8853" s="34">
        <f t="shared" si="314"/>
        <v>0</v>
      </c>
    </row>
    <row r="8854" spans="13:13" x14ac:dyDescent="0.25">
      <c r="M8854" s="34">
        <f t="shared" si="314"/>
        <v>0</v>
      </c>
    </row>
    <row r="8855" spans="13:13" x14ac:dyDescent="0.25">
      <c r="M8855" s="34">
        <f t="shared" si="314"/>
        <v>0</v>
      </c>
    </row>
    <row r="8856" spans="13:13" x14ac:dyDescent="0.25">
      <c r="M8856" s="34">
        <f t="shared" si="314"/>
        <v>0</v>
      </c>
    </row>
    <row r="8857" spans="13:13" x14ac:dyDescent="0.25">
      <c r="M8857" s="34">
        <f t="shared" si="314"/>
        <v>0</v>
      </c>
    </row>
    <row r="8858" spans="13:13" x14ac:dyDescent="0.25">
      <c r="M8858" s="34">
        <f t="shared" si="314"/>
        <v>0</v>
      </c>
    </row>
    <row r="8859" spans="13:13" x14ac:dyDescent="0.25">
      <c r="M8859" s="34">
        <f t="shared" si="314"/>
        <v>0</v>
      </c>
    </row>
    <row r="8860" spans="13:13" x14ac:dyDescent="0.25">
      <c r="M8860" s="34">
        <f t="shared" si="314"/>
        <v>0</v>
      </c>
    </row>
    <row r="8861" spans="13:13" x14ac:dyDescent="0.25">
      <c r="M8861" s="34">
        <f t="shared" si="314"/>
        <v>0</v>
      </c>
    </row>
    <row r="8862" spans="13:13" x14ac:dyDescent="0.25">
      <c r="M8862" s="34">
        <f t="shared" si="314"/>
        <v>0</v>
      </c>
    </row>
    <row r="8863" spans="13:13" x14ac:dyDescent="0.25">
      <c r="M8863" s="34">
        <f t="shared" si="314"/>
        <v>0</v>
      </c>
    </row>
    <row r="8864" spans="13:13" x14ac:dyDescent="0.25">
      <c r="M8864" s="34">
        <f t="shared" si="314"/>
        <v>0</v>
      </c>
    </row>
    <row r="8865" spans="13:13" x14ac:dyDescent="0.25">
      <c r="M8865" s="34">
        <f t="shared" si="314"/>
        <v>0</v>
      </c>
    </row>
    <row r="8866" spans="13:13" x14ac:dyDescent="0.25">
      <c r="M8866" s="34">
        <f t="shared" si="314"/>
        <v>0</v>
      </c>
    </row>
    <row r="8867" spans="13:13" x14ac:dyDescent="0.25">
      <c r="M8867" s="34">
        <f t="shared" si="314"/>
        <v>0</v>
      </c>
    </row>
    <row r="8868" spans="13:13" x14ac:dyDescent="0.25">
      <c r="M8868" s="34">
        <f t="shared" si="314"/>
        <v>0</v>
      </c>
    </row>
    <row r="8869" spans="13:13" x14ac:dyDescent="0.25">
      <c r="M8869" s="34">
        <f t="shared" si="314"/>
        <v>0</v>
      </c>
    </row>
    <row r="8870" spans="13:13" x14ac:dyDescent="0.25">
      <c r="M8870" s="34">
        <f t="shared" si="314"/>
        <v>0</v>
      </c>
    </row>
    <row r="8871" spans="13:13" x14ac:dyDescent="0.25">
      <c r="M8871" s="34">
        <f t="shared" si="314"/>
        <v>0</v>
      </c>
    </row>
    <row r="8872" spans="13:13" x14ac:dyDescent="0.25">
      <c r="M8872" s="34">
        <f t="shared" si="314"/>
        <v>0</v>
      </c>
    </row>
    <row r="8873" spans="13:13" x14ac:dyDescent="0.25">
      <c r="M8873" s="34">
        <f t="shared" si="314"/>
        <v>0</v>
      </c>
    </row>
    <row r="8874" spans="13:13" x14ac:dyDescent="0.25">
      <c r="M8874" s="34">
        <f t="shared" si="314"/>
        <v>0</v>
      </c>
    </row>
    <row r="8875" spans="13:13" x14ac:dyDescent="0.25">
      <c r="M8875" s="34">
        <f t="shared" si="314"/>
        <v>0</v>
      </c>
    </row>
    <row r="8876" spans="13:13" x14ac:dyDescent="0.25">
      <c r="M8876" s="34">
        <f t="shared" si="314"/>
        <v>0</v>
      </c>
    </row>
    <row r="8877" spans="13:13" x14ac:dyDescent="0.25">
      <c r="M8877" s="34">
        <f t="shared" si="314"/>
        <v>0</v>
      </c>
    </row>
    <row r="8878" spans="13:13" x14ac:dyDescent="0.25">
      <c r="M8878" s="34">
        <f t="shared" si="314"/>
        <v>0</v>
      </c>
    </row>
    <row r="8879" spans="13:13" x14ac:dyDescent="0.25">
      <c r="M8879" s="34">
        <f t="shared" si="314"/>
        <v>0</v>
      </c>
    </row>
    <row r="8880" spans="13:13" x14ac:dyDescent="0.25">
      <c r="M8880" s="34">
        <f t="shared" si="314"/>
        <v>0</v>
      </c>
    </row>
    <row r="8881" spans="13:13" x14ac:dyDescent="0.25">
      <c r="M8881" s="34">
        <f t="shared" si="314"/>
        <v>0</v>
      </c>
    </row>
    <row r="8882" spans="13:13" x14ac:dyDescent="0.25">
      <c r="M8882" s="34">
        <f t="shared" si="314"/>
        <v>0</v>
      </c>
    </row>
    <row r="8883" spans="13:13" x14ac:dyDescent="0.25">
      <c r="M8883" s="34">
        <f t="shared" si="314"/>
        <v>0</v>
      </c>
    </row>
    <row r="8884" spans="13:13" x14ac:dyDescent="0.25">
      <c r="M8884" s="34">
        <f t="shared" si="314"/>
        <v>0</v>
      </c>
    </row>
    <row r="8885" spans="13:13" x14ac:dyDescent="0.25">
      <c r="M8885" s="34">
        <f t="shared" si="314"/>
        <v>0</v>
      </c>
    </row>
    <row r="8886" spans="13:13" x14ac:dyDescent="0.25">
      <c r="M8886" s="34">
        <f t="shared" si="314"/>
        <v>0</v>
      </c>
    </row>
    <row r="8887" spans="13:13" x14ac:dyDescent="0.25">
      <c r="M8887" s="34">
        <f t="shared" si="314"/>
        <v>0</v>
      </c>
    </row>
    <row r="8888" spans="13:13" x14ac:dyDescent="0.25">
      <c r="M8888" s="34">
        <f t="shared" si="314"/>
        <v>0</v>
      </c>
    </row>
    <row r="8889" spans="13:13" x14ac:dyDescent="0.25">
      <c r="M8889" s="34">
        <f t="shared" si="314"/>
        <v>0</v>
      </c>
    </row>
    <row r="8890" spans="13:13" x14ac:dyDescent="0.25">
      <c r="M8890" s="34">
        <f t="shared" si="314"/>
        <v>0</v>
      </c>
    </row>
    <row r="8891" spans="13:13" x14ac:dyDescent="0.25">
      <c r="M8891" s="34">
        <f t="shared" si="314"/>
        <v>0</v>
      </c>
    </row>
    <row r="8892" spans="13:13" x14ac:dyDescent="0.25">
      <c r="M8892" s="34">
        <f t="shared" si="314"/>
        <v>0</v>
      </c>
    </row>
    <row r="8893" spans="13:13" x14ac:dyDescent="0.25">
      <c r="M8893" s="34">
        <f t="shared" si="314"/>
        <v>0</v>
      </c>
    </row>
    <row r="8894" spans="13:13" x14ac:dyDescent="0.25">
      <c r="M8894" s="34">
        <f t="shared" si="314"/>
        <v>0</v>
      </c>
    </row>
    <row r="8895" spans="13:13" x14ac:dyDescent="0.25">
      <c r="M8895" s="34">
        <f t="shared" si="314"/>
        <v>0</v>
      </c>
    </row>
    <row r="8896" spans="13:13" x14ac:dyDescent="0.25">
      <c r="M8896" s="34">
        <f t="shared" si="314"/>
        <v>0</v>
      </c>
    </row>
    <row r="8897" spans="13:13" x14ac:dyDescent="0.25">
      <c r="M8897" s="34">
        <f t="shared" si="314"/>
        <v>0</v>
      </c>
    </row>
    <row r="8898" spans="13:13" x14ac:dyDescent="0.25">
      <c r="M8898" s="34">
        <f t="shared" si="314"/>
        <v>0</v>
      </c>
    </row>
    <row r="8899" spans="13:13" x14ac:dyDescent="0.25">
      <c r="M8899" s="34">
        <f t="shared" ref="M8899:M8962" si="315">IF(AND(E8899="Chèque",G8899="RECETTE"),F8899,0)</f>
        <v>0</v>
      </c>
    </row>
    <row r="8900" spans="13:13" x14ac:dyDescent="0.25">
      <c r="M8900" s="34">
        <f t="shared" si="315"/>
        <v>0</v>
      </c>
    </row>
    <row r="8901" spans="13:13" x14ac:dyDescent="0.25">
      <c r="M8901" s="34">
        <f t="shared" si="315"/>
        <v>0</v>
      </c>
    </row>
    <row r="8902" spans="13:13" x14ac:dyDescent="0.25">
      <c r="M8902" s="34">
        <f t="shared" si="315"/>
        <v>0</v>
      </c>
    </row>
    <row r="8903" spans="13:13" x14ac:dyDescent="0.25">
      <c r="M8903" s="34">
        <f t="shared" si="315"/>
        <v>0</v>
      </c>
    </row>
    <row r="8904" spans="13:13" x14ac:dyDescent="0.25">
      <c r="M8904" s="34">
        <f t="shared" si="315"/>
        <v>0</v>
      </c>
    </row>
    <row r="8905" spans="13:13" x14ac:dyDescent="0.25">
      <c r="M8905" s="34">
        <f t="shared" si="315"/>
        <v>0</v>
      </c>
    </row>
    <row r="8906" spans="13:13" x14ac:dyDescent="0.25">
      <c r="M8906" s="34">
        <f t="shared" si="315"/>
        <v>0</v>
      </c>
    </row>
    <row r="8907" spans="13:13" x14ac:dyDescent="0.25">
      <c r="M8907" s="34">
        <f t="shared" si="315"/>
        <v>0</v>
      </c>
    </row>
    <row r="8908" spans="13:13" x14ac:dyDescent="0.25">
      <c r="M8908" s="34">
        <f t="shared" si="315"/>
        <v>0</v>
      </c>
    </row>
    <row r="8909" spans="13:13" x14ac:dyDescent="0.25">
      <c r="M8909" s="34">
        <f t="shared" si="315"/>
        <v>0</v>
      </c>
    </row>
    <row r="8910" spans="13:13" x14ac:dyDescent="0.25">
      <c r="M8910" s="34">
        <f t="shared" si="315"/>
        <v>0</v>
      </c>
    </row>
    <row r="8911" spans="13:13" x14ac:dyDescent="0.25">
      <c r="M8911" s="34">
        <f t="shared" si="315"/>
        <v>0</v>
      </c>
    </row>
    <row r="8912" spans="13:13" x14ac:dyDescent="0.25">
      <c r="M8912" s="34">
        <f t="shared" si="315"/>
        <v>0</v>
      </c>
    </row>
    <row r="8913" spans="13:13" x14ac:dyDescent="0.25">
      <c r="M8913" s="34">
        <f t="shared" si="315"/>
        <v>0</v>
      </c>
    </row>
    <row r="8914" spans="13:13" x14ac:dyDescent="0.25">
      <c r="M8914" s="34">
        <f t="shared" si="315"/>
        <v>0</v>
      </c>
    </row>
    <row r="8915" spans="13:13" x14ac:dyDescent="0.25">
      <c r="M8915" s="34">
        <f t="shared" si="315"/>
        <v>0</v>
      </c>
    </row>
    <row r="8916" spans="13:13" x14ac:dyDescent="0.25">
      <c r="M8916" s="34">
        <f t="shared" si="315"/>
        <v>0</v>
      </c>
    </row>
    <row r="8917" spans="13:13" x14ac:dyDescent="0.25">
      <c r="M8917" s="34">
        <f t="shared" si="315"/>
        <v>0</v>
      </c>
    </row>
    <row r="8918" spans="13:13" x14ac:dyDescent="0.25">
      <c r="M8918" s="34">
        <f t="shared" si="315"/>
        <v>0</v>
      </c>
    </row>
    <row r="8919" spans="13:13" x14ac:dyDescent="0.25">
      <c r="M8919" s="34">
        <f t="shared" si="315"/>
        <v>0</v>
      </c>
    </row>
    <row r="8920" spans="13:13" x14ac:dyDescent="0.25">
      <c r="M8920" s="34">
        <f t="shared" si="315"/>
        <v>0</v>
      </c>
    </row>
    <row r="8921" spans="13:13" x14ac:dyDescent="0.25">
      <c r="M8921" s="34">
        <f t="shared" si="315"/>
        <v>0</v>
      </c>
    </row>
    <row r="8922" spans="13:13" x14ac:dyDescent="0.25">
      <c r="M8922" s="34">
        <f t="shared" si="315"/>
        <v>0</v>
      </c>
    </row>
    <row r="8923" spans="13:13" x14ac:dyDescent="0.25">
      <c r="M8923" s="34">
        <f t="shared" si="315"/>
        <v>0</v>
      </c>
    </row>
    <row r="8924" spans="13:13" x14ac:dyDescent="0.25">
      <c r="M8924" s="34">
        <f t="shared" si="315"/>
        <v>0</v>
      </c>
    </row>
    <row r="8925" spans="13:13" x14ac:dyDescent="0.25">
      <c r="M8925" s="34">
        <f t="shared" si="315"/>
        <v>0</v>
      </c>
    </row>
    <row r="8926" spans="13:13" x14ac:dyDescent="0.25">
      <c r="M8926" s="34">
        <f t="shared" si="315"/>
        <v>0</v>
      </c>
    </row>
    <row r="8927" spans="13:13" x14ac:dyDescent="0.25">
      <c r="M8927" s="34">
        <f t="shared" si="315"/>
        <v>0</v>
      </c>
    </row>
    <row r="8928" spans="13:13" x14ac:dyDescent="0.25">
      <c r="M8928" s="34">
        <f t="shared" si="315"/>
        <v>0</v>
      </c>
    </row>
    <row r="8929" spans="13:13" x14ac:dyDescent="0.25">
      <c r="M8929" s="34">
        <f t="shared" si="315"/>
        <v>0</v>
      </c>
    </row>
    <row r="8930" spans="13:13" x14ac:dyDescent="0.25">
      <c r="M8930" s="34">
        <f t="shared" si="315"/>
        <v>0</v>
      </c>
    </row>
    <row r="8931" spans="13:13" x14ac:dyDescent="0.25">
      <c r="M8931" s="34">
        <f t="shared" si="315"/>
        <v>0</v>
      </c>
    </row>
    <row r="8932" spans="13:13" x14ac:dyDescent="0.25">
      <c r="M8932" s="34">
        <f t="shared" si="315"/>
        <v>0</v>
      </c>
    </row>
    <row r="8933" spans="13:13" x14ac:dyDescent="0.25">
      <c r="M8933" s="34">
        <f t="shared" si="315"/>
        <v>0</v>
      </c>
    </row>
    <row r="8934" spans="13:13" x14ac:dyDescent="0.25">
      <c r="M8934" s="34">
        <f t="shared" si="315"/>
        <v>0</v>
      </c>
    </row>
    <row r="8935" spans="13:13" x14ac:dyDescent="0.25">
      <c r="M8935" s="34">
        <f t="shared" si="315"/>
        <v>0</v>
      </c>
    </row>
    <row r="8936" spans="13:13" x14ac:dyDescent="0.25">
      <c r="M8936" s="34">
        <f t="shared" si="315"/>
        <v>0</v>
      </c>
    </row>
    <row r="8937" spans="13:13" x14ac:dyDescent="0.25">
      <c r="M8937" s="34">
        <f t="shared" si="315"/>
        <v>0</v>
      </c>
    </row>
    <row r="8938" spans="13:13" x14ac:dyDescent="0.25">
      <c r="M8938" s="34">
        <f t="shared" si="315"/>
        <v>0</v>
      </c>
    </row>
    <row r="8939" spans="13:13" x14ac:dyDescent="0.25">
      <c r="M8939" s="34">
        <f t="shared" si="315"/>
        <v>0</v>
      </c>
    </row>
    <row r="8940" spans="13:13" x14ac:dyDescent="0.25">
      <c r="M8940" s="34">
        <f t="shared" si="315"/>
        <v>0</v>
      </c>
    </row>
    <row r="8941" spans="13:13" x14ac:dyDescent="0.25">
      <c r="M8941" s="34">
        <f t="shared" si="315"/>
        <v>0</v>
      </c>
    </row>
    <row r="8942" spans="13:13" x14ac:dyDescent="0.25">
      <c r="M8942" s="34">
        <f t="shared" si="315"/>
        <v>0</v>
      </c>
    </row>
    <row r="8943" spans="13:13" x14ac:dyDescent="0.25">
      <c r="M8943" s="34">
        <f t="shared" si="315"/>
        <v>0</v>
      </c>
    </row>
    <row r="8944" spans="13:13" x14ac:dyDescent="0.25">
      <c r="M8944" s="34">
        <f t="shared" si="315"/>
        <v>0</v>
      </c>
    </row>
    <row r="8945" spans="13:13" x14ac:dyDescent="0.25">
      <c r="M8945" s="34">
        <f t="shared" si="315"/>
        <v>0</v>
      </c>
    </row>
    <row r="8946" spans="13:13" x14ac:dyDescent="0.25">
      <c r="M8946" s="34">
        <f t="shared" si="315"/>
        <v>0</v>
      </c>
    </row>
    <row r="8947" spans="13:13" x14ac:dyDescent="0.25">
      <c r="M8947" s="34">
        <f t="shared" si="315"/>
        <v>0</v>
      </c>
    </row>
    <row r="8948" spans="13:13" x14ac:dyDescent="0.25">
      <c r="M8948" s="34">
        <f t="shared" si="315"/>
        <v>0</v>
      </c>
    </row>
    <row r="8949" spans="13:13" x14ac:dyDescent="0.25">
      <c r="M8949" s="34">
        <f t="shared" si="315"/>
        <v>0</v>
      </c>
    </row>
    <row r="8950" spans="13:13" x14ac:dyDescent="0.25">
      <c r="M8950" s="34">
        <f t="shared" si="315"/>
        <v>0</v>
      </c>
    </row>
    <row r="8951" spans="13:13" x14ac:dyDescent="0.25">
      <c r="M8951" s="34">
        <f t="shared" si="315"/>
        <v>0</v>
      </c>
    </row>
    <row r="8952" spans="13:13" x14ac:dyDescent="0.25">
      <c r="M8952" s="34">
        <f t="shared" si="315"/>
        <v>0</v>
      </c>
    </row>
    <row r="8953" spans="13:13" x14ac:dyDescent="0.25">
      <c r="M8953" s="34">
        <f t="shared" si="315"/>
        <v>0</v>
      </c>
    </row>
    <row r="8954" spans="13:13" x14ac:dyDescent="0.25">
      <c r="M8954" s="34">
        <f t="shared" si="315"/>
        <v>0</v>
      </c>
    </row>
    <row r="8955" spans="13:13" x14ac:dyDescent="0.25">
      <c r="M8955" s="34">
        <f t="shared" si="315"/>
        <v>0</v>
      </c>
    </row>
    <row r="8956" spans="13:13" x14ac:dyDescent="0.25">
      <c r="M8956" s="34">
        <f t="shared" si="315"/>
        <v>0</v>
      </c>
    </row>
    <row r="8957" spans="13:13" x14ac:dyDescent="0.25">
      <c r="M8957" s="34">
        <f t="shared" si="315"/>
        <v>0</v>
      </c>
    </row>
    <row r="8958" spans="13:13" x14ac:dyDescent="0.25">
      <c r="M8958" s="34">
        <f t="shared" si="315"/>
        <v>0</v>
      </c>
    </row>
    <row r="8959" spans="13:13" x14ac:dyDescent="0.25">
      <c r="M8959" s="34">
        <f t="shared" si="315"/>
        <v>0</v>
      </c>
    </row>
    <row r="8960" spans="13:13" x14ac:dyDescent="0.25">
      <c r="M8960" s="34">
        <f t="shared" si="315"/>
        <v>0</v>
      </c>
    </row>
    <row r="8961" spans="13:13" x14ac:dyDescent="0.25">
      <c r="M8961" s="34">
        <f t="shared" si="315"/>
        <v>0</v>
      </c>
    </row>
    <row r="8962" spans="13:13" x14ac:dyDescent="0.25">
      <c r="M8962" s="34">
        <f t="shared" si="315"/>
        <v>0</v>
      </c>
    </row>
    <row r="8963" spans="13:13" x14ac:dyDescent="0.25">
      <c r="M8963" s="34">
        <f t="shared" ref="M8963:M9026" si="316">IF(AND(E8963="Chèque",G8963="RECETTE"),F8963,0)</f>
        <v>0</v>
      </c>
    </row>
    <row r="8964" spans="13:13" x14ac:dyDescent="0.25">
      <c r="M8964" s="34">
        <f t="shared" si="316"/>
        <v>0</v>
      </c>
    </row>
    <row r="8965" spans="13:13" x14ac:dyDescent="0.25">
      <c r="M8965" s="34">
        <f t="shared" si="316"/>
        <v>0</v>
      </c>
    </row>
    <row r="8966" spans="13:13" x14ac:dyDescent="0.25">
      <c r="M8966" s="34">
        <f t="shared" si="316"/>
        <v>0</v>
      </c>
    </row>
    <row r="8967" spans="13:13" x14ac:dyDescent="0.25">
      <c r="M8967" s="34">
        <f t="shared" si="316"/>
        <v>0</v>
      </c>
    </row>
    <row r="8968" spans="13:13" x14ac:dyDescent="0.25">
      <c r="M8968" s="34">
        <f t="shared" si="316"/>
        <v>0</v>
      </c>
    </row>
    <row r="8969" spans="13:13" x14ac:dyDescent="0.25">
      <c r="M8969" s="34">
        <f t="shared" si="316"/>
        <v>0</v>
      </c>
    </row>
    <row r="8970" spans="13:13" x14ac:dyDescent="0.25">
      <c r="M8970" s="34">
        <f t="shared" si="316"/>
        <v>0</v>
      </c>
    </row>
    <row r="8971" spans="13:13" x14ac:dyDescent="0.25">
      <c r="M8971" s="34">
        <f t="shared" si="316"/>
        <v>0</v>
      </c>
    </row>
    <row r="8972" spans="13:13" x14ac:dyDescent="0.25">
      <c r="M8972" s="34">
        <f t="shared" si="316"/>
        <v>0</v>
      </c>
    </row>
    <row r="8973" spans="13:13" x14ac:dyDescent="0.25">
      <c r="M8973" s="34">
        <f t="shared" si="316"/>
        <v>0</v>
      </c>
    </row>
    <row r="8974" spans="13:13" x14ac:dyDescent="0.25">
      <c r="M8974" s="34">
        <f t="shared" si="316"/>
        <v>0</v>
      </c>
    </row>
    <row r="8975" spans="13:13" x14ac:dyDescent="0.25">
      <c r="M8975" s="34">
        <f t="shared" si="316"/>
        <v>0</v>
      </c>
    </row>
    <row r="8976" spans="13:13" x14ac:dyDescent="0.25">
      <c r="M8976" s="34">
        <f t="shared" si="316"/>
        <v>0</v>
      </c>
    </row>
    <row r="8977" spans="13:13" x14ac:dyDescent="0.25">
      <c r="M8977" s="34">
        <f t="shared" si="316"/>
        <v>0</v>
      </c>
    </row>
    <row r="8978" spans="13:13" x14ac:dyDescent="0.25">
      <c r="M8978" s="34">
        <f t="shared" si="316"/>
        <v>0</v>
      </c>
    </row>
    <row r="8979" spans="13:13" x14ac:dyDescent="0.25">
      <c r="M8979" s="34">
        <f t="shared" si="316"/>
        <v>0</v>
      </c>
    </row>
    <row r="8980" spans="13:13" x14ac:dyDescent="0.25">
      <c r="M8980" s="34">
        <f t="shared" si="316"/>
        <v>0</v>
      </c>
    </row>
    <row r="8981" spans="13:13" x14ac:dyDescent="0.25">
      <c r="M8981" s="34">
        <f t="shared" si="316"/>
        <v>0</v>
      </c>
    </row>
    <row r="8982" spans="13:13" x14ac:dyDescent="0.25">
      <c r="M8982" s="34">
        <f t="shared" si="316"/>
        <v>0</v>
      </c>
    </row>
    <row r="8983" spans="13:13" x14ac:dyDescent="0.25">
      <c r="M8983" s="34">
        <f t="shared" si="316"/>
        <v>0</v>
      </c>
    </row>
    <row r="8984" spans="13:13" x14ac:dyDescent="0.25">
      <c r="M8984" s="34">
        <f t="shared" si="316"/>
        <v>0</v>
      </c>
    </row>
    <row r="8985" spans="13:13" x14ac:dyDescent="0.25">
      <c r="M8985" s="34">
        <f t="shared" si="316"/>
        <v>0</v>
      </c>
    </row>
    <row r="8986" spans="13:13" x14ac:dyDescent="0.25">
      <c r="M8986" s="34">
        <f t="shared" si="316"/>
        <v>0</v>
      </c>
    </row>
    <row r="8987" spans="13:13" x14ac:dyDescent="0.25">
      <c r="M8987" s="34">
        <f t="shared" si="316"/>
        <v>0</v>
      </c>
    </row>
    <row r="8988" spans="13:13" x14ac:dyDescent="0.25">
      <c r="M8988" s="34">
        <f t="shared" si="316"/>
        <v>0</v>
      </c>
    </row>
    <row r="8989" spans="13:13" x14ac:dyDescent="0.25">
      <c r="M8989" s="34">
        <f t="shared" si="316"/>
        <v>0</v>
      </c>
    </row>
    <row r="8990" spans="13:13" x14ac:dyDescent="0.25">
      <c r="M8990" s="34">
        <f t="shared" si="316"/>
        <v>0</v>
      </c>
    </row>
    <row r="8991" spans="13:13" x14ac:dyDescent="0.25">
      <c r="M8991" s="34">
        <f t="shared" si="316"/>
        <v>0</v>
      </c>
    </row>
    <row r="8992" spans="13:13" x14ac:dyDescent="0.25">
      <c r="M8992" s="34">
        <f t="shared" si="316"/>
        <v>0</v>
      </c>
    </row>
    <row r="8993" spans="13:13" x14ac:dyDescent="0.25">
      <c r="M8993" s="34">
        <f t="shared" si="316"/>
        <v>0</v>
      </c>
    </row>
    <row r="8994" spans="13:13" x14ac:dyDescent="0.25">
      <c r="M8994" s="34">
        <f t="shared" si="316"/>
        <v>0</v>
      </c>
    </row>
    <row r="8995" spans="13:13" x14ac:dyDescent="0.25">
      <c r="M8995" s="34">
        <f t="shared" si="316"/>
        <v>0</v>
      </c>
    </row>
    <row r="8996" spans="13:13" x14ac:dyDescent="0.25">
      <c r="M8996" s="34">
        <f t="shared" si="316"/>
        <v>0</v>
      </c>
    </row>
    <row r="8997" spans="13:13" x14ac:dyDescent="0.25">
      <c r="M8997" s="34">
        <f t="shared" si="316"/>
        <v>0</v>
      </c>
    </row>
    <row r="8998" spans="13:13" x14ac:dyDescent="0.25">
      <c r="M8998" s="34">
        <f t="shared" si="316"/>
        <v>0</v>
      </c>
    </row>
    <row r="8999" spans="13:13" x14ac:dyDescent="0.25">
      <c r="M8999" s="34">
        <f t="shared" si="316"/>
        <v>0</v>
      </c>
    </row>
    <row r="9000" spans="13:13" x14ac:dyDescent="0.25">
      <c r="M9000" s="34">
        <f t="shared" si="316"/>
        <v>0</v>
      </c>
    </row>
    <row r="9001" spans="13:13" x14ac:dyDescent="0.25">
      <c r="M9001" s="34">
        <f t="shared" si="316"/>
        <v>0</v>
      </c>
    </row>
    <row r="9002" spans="13:13" x14ac:dyDescent="0.25">
      <c r="M9002" s="34">
        <f t="shared" si="316"/>
        <v>0</v>
      </c>
    </row>
    <row r="9003" spans="13:13" x14ac:dyDescent="0.25">
      <c r="M9003" s="34">
        <f t="shared" si="316"/>
        <v>0</v>
      </c>
    </row>
    <row r="9004" spans="13:13" x14ac:dyDescent="0.25">
      <c r="M9004" s="34">
        <f t="shared" si="316"/>
        <v>0</v>
      </c>
    </row>
    <row r="9005" spans="13:13" x14ac:dyDescent="0.25">
      <c r="M9005" s="34">
        <f t="shared" si="316"/>
        <v>0</v>
      </c>
    </row>
    <row r="9006" spans="13:13" x14ac:dyDescent="0.25">
      <c r="M9006" s="34">
        <f t="shared" si="316"/>
        <v>0</v>
      </c>
    </row>
    <row r="9007" spans="13:13" x14ac:dyDescent="0.25">
      <c r="M9007" s="34">
        <f t="shared" si="316"/>
        <v>0</v>
      </c>
    </row>
    <row r="9008" spans="13:13" x14ac:dyDescent="0.25">
      <c r="M9008" s="34">
        <f t="shared" si="316"/>
        <v>0</v>
      </c>
    </row>
    <row r="9009" spans="13:13" x14ac:dyDescent="0.25">
      <c r="M9009" s="34">
        <f t="shared" si="316"/>
        <v>0</v>
      </c>
    </row>
    <row r="9010" spans="13:13" x14ac:dyDescent="0.25">
      <c r="M9010" s="34">
        <f t="shared" si="316"/>
        <v>0</v>
      </c>
    </row>
    <row r="9011" spans="13:13" x14ac:dyDescent="0.25">
      <c r="M9011" s="34">
        <f t="shared" si="316"/>
        <v>0</v>
      </c>
    </row>
    <row r="9012" spans="13:13" x14ac:dyDescent="0.25">
      <c r="M9012" s="34">
        <f t="shared" si="316"/>
        <v>0</v>
      </c>
    </row>
    <row r="9013" spans="13:13" x14ac:dyDescent="0.25">
      <c r="M9013" s="34">
        <f t="shared" si="316"/>
        <v>0</v>
      </c>
    </row>
    <row r="9014" spans="13:13" x14ac:dyDescent="0.25">
      <c r="M9014" s="34">
        <f t="shared" si="316"/>
        <v>0</v>
      </c>
    </row>
    <row r="9015" spans="13:13" x14ac:dyDescent="0.25">
      <c r="M9015" s="34">
        <f t="shared" si="316"/>
        <v>0</v>
      </c>
    </row>
    <row r="9016" spans="13:13" x14ac:dyDescent="0.25">
      <c r="M9016" s="34">
        <f t="shared" si="316"/>
        <v>0</v>
      </c>
    </row>
    <row r="9017" spans="13:13" x14ac:dyDescent="0.25">
      <c r="M9017" s="34">
        <f t="shared" si="316"/>
        <v>0</v>
      </c>
    </row>
    <row r="9018" spans="13:13" x14ac:dyDescent="0.25">
      <c r="M9018" s="34">
        <f t="shared" si="316"/>
        <v>0</v>
      </c>
    </row>
    <row r="9019" spans="13:13" x14ac:dyDescent="0.25">
      <c r="M9019" s="34">
        <f t="shared" si="316"/>
        <v>0</v>
      </c>
    </row>
    <row r="9020" spans="13:13" x14ac:dyDescent="0.25">
      <c r="M9020" s="34">
        <f t="shared" si="316"/>
        <v>0</v>
      </c>
    </row>
    <row r="9021" spans="13:13" x14ac:dyDescent="0.25">
      <c r="M9021" s="34">
        <f t="shared" si="316"/>
        <v>0</v>
      </c>
    </row>
    <row r="9022" spans="13:13" x14ac:dyDescent="0.25">
      <c r="M9022" s="34">
        <f t="shared" si="316"/>
        <v>0</v>
      </c>
    </row>
    <row r="9023" spans="13:13" x14ac:dyDescent="0.25">
      <c r="M9023" s="34">
        <f t="shared" si="316"/>
        <v>0</v>
      </c>
    </row>
    <row r="9024" spans="13:13" x14ac:dyDescent="0.25">
      <c r="M9024" s="34">
        <f t="shared" si="316"/>
        <v>0</v>
      </c>
    </row>
    <row r="9025" spans="13:13" x14ac:dyDescent="0.25">
      <c r="M9025" s="34">
        <f t="shared" si="316"/>
        <v>0</v>
      </c>
    </row>
    <row r="9026" spans="13:13" x14ac:dyDescent="0.25">
      <c r="M9026" s="34">
        <f t="shared" si="316"/>
        <v>0</v>
      </c>
    </row>
    <row r="9027" spans="13:13" x14ac:dyDescent="0.25">
      <c r="M9027" s="34">
        <f t="shared" ref="M9027:M9090" si="317">IF(AND(E9027="Chèque",G9027="RECETTE"),F9027,0)</f>
        <v>0</v>
      </c>
    </row>
    <row r="9028" spans="13:13" x14ac:dyDescent="0.25">
      <c r="M9028" s="34">
        <f t="shared" si="317"/>
        <v>0</v>
      </c>
    </row>
    <row r="9029" spans="13:13" x14ac:dyDescent="0.25">
      <c r="M9029" s="34">
        <f t="shared" si="317"/>
        <v>0</v>
      </c>
    </row>
    <row r="9030" spans="13:13" x14ac:dyDescent="0.25">
      <c r="M9030" s="34">
        <f t="shared" si="317"/>
        <v>0</v>
      </c>
    </row>
    <row r="9031" spans="13:13" x14ac:dyDescent="0.25">
      <c r="M9031" s="34">
        <f t="shared" si="317"/>
        <v>0</v>
      </c>
    </row>
    <row r="9032" spans="13:13" x14ac:dyDescent="0.25">
      <c r="M9032" s="34">
        <f t="shared" si="317"/>
        <v>0</v>
      </c>
    </row>
    <row r="9033" spans="13:13" x14ac:dyDescent="0.25">
      <c r="M9033" s="34">
        <f t="shared" si="317"/>
        <v>0</v>
      </c>
    </row>
    <row r="9034" spans="13:13" x14ac:dyDescent="0.25">
      <c r="M9034" s="34">
        <f t="shared" si="317"/>
        <v>0</v>
      </c>
    </row>
    <row r="9035" spans="13:13" x14ac:dyDescent="0.25">
      <c r="M9035" s="34">
        <f t="shared" si="317"/>
        <v>0</v>
      </c>
    </row>
    <row r="9036" spans="13:13" x14ac:dyDescent="0.25">
      <c r="M9036" s="34">
        <f t="shared" si="317"/>
        <v>0</v>
      </c>
    </row>
    <row r="9037" spans="13:13" x14ac:dyDescent="0.25">
      <c r="M9037" s="34">
        <f t="shared" si="317"/>
        <v>0</v>
      </c>
    </row>
    <row r="9038" spans="13:13" x14ac:dyDescent="0.25">
      <c r="M9038" s="34">
        <f t="shared" si="317"/>
        <v>0</v>
      </c>
    </row>
    <row r="9039" spans="13:13" x14ac:dyDescent="0.25">
      <c r="M9039" s="34">
        <f t="shared" si="317"/>
        <v>0</v>
      </c>
    </row>
    <row r="9040" spans="13:13" x14ac:dyDescent="0.25">
      <c r="M9040" s="34">
        <f t="shared" si="317"/>
        <v>0</v>
      </c>
    </row>
    <row r="9041" spans="13:13" x14ac:dyDescent="0.25">
      <c r="M9041" s="34">
        <f t="shared" si="317"/>
        <v>0</v>
      </c>
    </row>
    <row r="9042" spans="13:13" x14ac:dyDescent="0.25">
      <c r="M9042" s="34">
        <f t="shared" si="317"/>
        <v>0</v>
      </c>
    </row>
    <row r="9043" spans="13:13" x14ac:dyDescent="0.25">
      <c r="M9043" s="34">
        <f t="shared" si="317"/>
        <v>0</v>
      </c>
    </row>
    <row r="9044" spans="13:13" x14ac:dyDescent="0.25">
      <c r="M9044" s="34">
        <f t="shared" si="317"/>
        <v>0</v>
      </c>
    </row>
    <row r="9045" spans="13:13" x14ac:dyDescent="0.25">
      <c r="M9045" s="34">
        <f t="shared" si="317"/>
        <v>0</v>
      </c>
    </row>
    <row r="9046" spans="13:13" x14ac:dyDescent="0.25">
      <c r="M9046" s="34">
        <f t="shared" si="317"/>
        <v>0</v>
      </c>
    </row>
    <row r="9047" spans="13:13" x14ac:dyDescent="0.25">
      <c r="M9047" s="34">
        <f t="shared" si="317"/>
        <v>0</v>
      </c>
    </row>
    <row r="9048" spans="13:13" x14ac:dyDescent="0.25">
      <c r="M9048" s="34">
        <f t="shared" si="317"/>
        <v>0</v>
      </c>
    </row>
    <row r="9049" spans="13:13" x14ac:dyDescent="0.25">
      <c r="M9049" s="34">
        <f t="shared" si="317"/>
        <v>0</v>
      </c>
    </row>
    <row r="9050" spans="13:13" x14ac:dyDescent="0.25">
      <c r="M9050" s="34">
        <f t="shared" si="317"/>
        <v>0</v>
      </c>
    </row>
    <row r="9051" spans="13:13" x14ac:dyDescent="0.25">
      <c r="M9051" s="34">
        <f t="shared" si="317"/>
        <v>0</v>
      </c>
    </row>
    <row r="9052" spans="13:13" x14ac:dyDescent="0.25">
      <c r="M9052" s="34">
        <f t="shared" si="317"/>
        <v>0</v>
      </c>
    </row>
    <row r="9053" spans="13:13" x14ac:dyDescent="0.25">
      <c r="M9053" s="34">
        <f t="shared" si="317"/>
        <v>0</v>
      </c>
    </row>
    <row r="9054" spans="13:13" x14ac:dyDescent="0.25">
      <c r="M9054" s="34">
        <f t="shared" si="317"/>
        <v>0</v>
      </c>
    </row>
    <row r="9055" spans="13:13" x14ac:dyDescent="0.25">
      <c r="M9055" s="34">
        <f t="shared" si="317"/>
        <v>0</v>
      </c>
    </row>
    <row r="9056" spans="13:13" x14ac:dyDescent="0.25">
      <c r="M9056" s="34">
        <f t="shared" si="317"/>
        <v>0</v>
      </c>
    </row>
    <row r="9057" spans="13:13" x14ac:dyDescent="0.25">
      <c r="M9057" s="34">
        <f t="shared" si="317"/>
        <v>0</v>
      </c>
    </row>
    <row r="9058" spans="13:13" x14ac:dyDescent="0.25">
      <c r="M9058" s="34">
        <f t="shared" si="317"/>
        <v>0</v>
      </c>
    </row>
    <row r="9059" spans="13:13" x14ac:dyDescent="0.25">
      <c r="M9059" s="34">
        <f t="shared" si="317"/>
        <v>0</v>
      </c>
    </row>
    <row r="9060" spans="13:13" x14ac:dyDescent="0.25">
      <c r="M9060" s="34">
        <f t="shared" si="317"/>
        <v>0</v>
      </c>
    </row>
    <row r="9061" spans="13:13" x14ac:dyDescent="0.25">
      <c r="M9061" s="34">
        <f t="shared" si="317"/>
        <v>0</v>
      </c>
    </row>
    <row r="9062" spans="13:13" x14ac:dyDescent="0.25">
      <c r="M9062" s="34">
        <f t="shared" si="317"/>
        <v>0</v>
      </c>
    </row>
    <row r="9063" spans="13:13" x14ac:dyDescent="0.25">
      <c r="M9063" s="34">
        <f t="shared" si="317"/>
        <v>0</v>
      </c>
    </row>
    <row r="9064" spans="13:13" x14ac:dyDescent="0.25">
      <c r="M9064" s="34">
        <f t="shared" si="317"/>
        <v>0</v>
      </c>
    </row>
    <row r="9065" spans="13:13" x14ac:dyDescent="0.25">
      <c r="M9065" s="34">
        <f t="shared" si="317"/>
        <v>0</v>
      </c>
    </row>
    <row r="9066" spans="13:13" x14ac:dyDescent="0.25">
      <c r="M9066" s="34">
        <f t="shared" si="317"/>
        <v>0</v>
      </c>
    </row>
    <row r="9067" spans="13:13" x14ac:dyDescent="0.25">
      <c r="M9067" s="34">
        <f t="shared" si="317"/>
        <v>0</v>
      </c>
    </row>
    <row r="9068" spans="13:13" x14ac:dyDescent="0.25">
      <c r="M9068" s="34">
        <f t="shared" si="317"/>
        <v>0</v>
      </c>
    </row>
    <row r="9069" spans="13:13" x14ac:dyDescent="0.25">
      <c r="M9069" s="34">
        <f t="shared" si="317"/>
        <v>0</v>
      </c>
    </row>
    <row r="9070" spans="13:13" x14ac:dyDescent="0.25">
      <c r="M9070" s="34">
        <f t="shared" si="317"/>
        <v>0</v>
      </c>
    </row>
    <row r="9071" spans="13:13" x14ac:dyDescent="0.25">
      <c r="M9071" s="34">
        <f t="shared" si="317"/>
        <v>0</v>
      </c>
    </row>
    <row r="9072" spans="13:13" x14ac:dyDescent="0.25">
      <c r="M9072" s="34">
        <f t="shared" si="317"/>
        <v>0</v>
      </c>
    </row>
    <row r="9073" spans="13:13" x14ac:dyDescent="0.25">
      <c r="M9073" s="34">
        <f t="shared" si="317"/>
        <v>0</v>
      </c>
    </row>
    <row r="9074" spans="13:13" x14ac:dyDescent="0.25">
      <c r="M9074" s="34">
        <f t="shared" si="317"/>
        <v>0</v>
      </c>
    </row>
    <row r="9075" spans="13:13" x14ac:dyDescent="0.25">
      <c r="M9075" s="34">
        <f t="shared" si="317"/>
        <v>0</v>
      </c>
    </row>
    <row r="9076" spans="13:13" x14ac:dyDescent="0.25">
      <c r="M9076" s="34">
        <f t="shared" si="317"/>
        <v>0</v>
      </c>
    </row>
    <row r="9077" spans="13:13" x14ac:dyDescent="0.25">
      <c r="M9077" s="34">
        <f t="shared" si="317"/>
        <v>0</v>
      </c>
    </row>
    <row r="9078" spans="13:13" x14ac:dyDescent="0.25">
      <c r="M9078" s="34">
        <f t="shared" si="317"/>
        <v>0</v>
      </c>
    </row>
    <row r="9079" spans="13:13" x14ac:dyDescent="0.25">
      <c r="M9079" s="34">
        <f t="shared" si="317"/>
        <v>0</v>
      </c>
    </row>
    <row r="9080" spans="13:13" x14ac:dyDescent="0.25">
      <c r="M9080" s="34">
        <f t="shared" si="317"/>
        <v>0</v>
      </c>
    </row>
    <row r="9081" spans="13:13" x14ac:dyDescent="0.25">
      <c r="M9081" s="34">
        <f t="shared" si="317"/>
        <v>0</v>
      </c>
    </row>
    <row r="9082" spans="13:13" x14ac:dyDescent="0.25">
      <c r="M9082" s="34">
        <f t="shared" si="317"/>
        <v>0</v>
      </c>
    </row>
    <row r="9083" spans="13:13" x14ac:dyDescent="0.25">
      <c r="M9083" s="34">
        <f t="shared" si="317"/>
        <v>0</v>
      </c>
    </row>
    <row r="9084" spans="13:13" x14ac:dyDescent="0.25">
      <c r="M9084" s="34">
        <f t="shared" si="317"/>
        <v>0</v>
      </c>
    </row>
    <row r="9085" spans="13:13" x14ac:dyDescent="0.25">
      <c r="M9085" s="34">
        <f t="shared" si="317"/>
        <v>0</v>
      </c>
    </row>
    <row r="9086" spans="13:13" x14ac:dyDescent="0.25">
      <c r="M9086" s="34">
        <f t="shared" si="317"/>
        <v>0</v>
      </c>
    </row>
    <row r="9087" spans="13:13" x14ac:dyDescent="0.25">
      <c r="M9087" s="34">
        <f t="shared" si="317"/>
        <v>0</v>
      </c>
    </row>
    <row r="9088" spans="13:13" x14ac:dyDescent="0.25">
      <c r="M9088" s="34">
        <f t="shared" si="317"/>
        <v>0</v>
      </c>
    </row>
    <row r="9089" spans="13:13" x14ac:dyDescent="0.25">
      <c r="M9089" s="34">
        <f t="shared" si="317"/>
        <v>0</v>
      </c>
    </row>
    <row r="9090" spans="13:13" x14ac:dyDescent="0.25">
      <c r="M9090" s="34">
        <f t="shared" si="317"/>
        <v>0</v>
      </c>
    </row>
    <row r="9091" spans="13:13" x14ac:dyDescent="0.25">
      <c r="M9091" s="34">
        <f t="shared" ref="M9091:M9154" si="318">IF(AND(E9091="Chèque",G9091="RECETTE"),F9091,0)</f>
        <v>0</v>
      </c>
    </row>
    <row r="9092" spans="13:13" x14ac:dyDescent="0.25">
      <c r="M9092" s="34">
        <f t="shared" si="318"/>
        <v>0</v>
      </c>
    </row>
    <row r="9093" spans="13:13" x14ac:dyDescent="0.25">
      <c r="M9093" s="34">
        <f t="shared" si="318"/>
        <v>0</v>
      </c>
    </row>
    <row r="9094" spans="13:13" x14ac:dyDescent="0.25">
      <c r="M9094" s="34">
        <f t="shared" si="318"/>
        <v>0</v>
      </c>
    </row>
    <row r="9095" spans="13:13" x14ac:dyDescent="0.25">
      <c r="M9095" s="34">
        <f t="shared" si="318"/>
        <v>0</v>
      </c>
    </row>
    <row r="9096" spans="13:13" x14ac:dyDescent="0.25">
      <c r="M9096" s="34">
        <f t="shared" si="318"/>
        <v>0</v>
      </c>
    </row>
    <row r="9097" spans="13:13" x14ac:dyDescent="0.25">
      <c r="M9097" s="34">
        <f t="shared" si="318"/>
        <v>0</v>
      </c>
    </row>
    <row r="9098" spans="13:13" x14ac:dyDescent="0.25">
      <c r="M9098" s="34">
        <f t="shared" si="318"/>
        <v>0</v>
      </c>
    </row>
    <row r="9099" spans="13:13" x14ac:dyDescent="0.25">
      <c r="M9099" s="34">
        <f t="shared" si="318"/>
        <v>0</v>
      </c>
    </row>
    <row r="9100" spans="13:13" x14ac:dyDescent="0.25">
      <c r="M9100" s="34">
        <f t="shared" si="318"/>
        <v>0</v>
      </c>
    </row>
    <row r="9101" spans="13:13" x14ac:dyDescent="0.25">
      <c r="M9101" s="34">
        <f t="shared" si="318"/>
        <v>0</v>
      </c>
    </row>
    <row r="9102" spans="13:13" x14ac:dyDescent="0.25">
      <c r="M9102" s="34">
        <f t="shared" si="318"/>
        <v>0</v>
      </c>
    </row>
    <row r="9103" spans="13:13" x14ac:dyDescent="0.25">
      <c r="M9103" s="34">
        <f t="shared" si="318"/>
        <v>0</v>
      </c>
    </row>
    <row r="9104" spans="13:13" x14ac:dyDescent="0.25">
      <c r="M9104" s="34">
        <f t="shared" si="318"/>
        <v>0</v>
      </c>
    </row>
    <row r="9105" spans="13:13" x14ac:dyDescent="0.25">
      <c r="M9105" s="34">
        <f t="shared" si="318"/>
        <v>0</v>
      </c>
    </row>
    <row r="9106" spans="13:13" x14ac:dyDescent="0.25">
      <c r="M9106" s="34">
        <f t="shared" si="318"/>
        <v>0</v>
      </c>
    </row>
    <row r="9107" spans="13:13" x14ac:dyDescent="0.25">
      <c r="M9107" s="34">
        <f t="shared" si="318"/>
        <v>0</v>
      </c>
    </row>
    <row r="9108" spans="13:13" x14ac:dyDescent="0.25">
      <c r="M9108" s="34">
        <f t="shared" si="318"/>
        <v>0</v>
      </c>
    </row>
    <row r="9109" spans="13:13" x14ac:dyDescent="0.25">
      <c r="M9109" s="34">
        <f t="shared" si="318"/>
        <v>0</v>
      </c>
    </row>
    <row r="9110" spans="13:13" x14ac:dyDescent="0.25">
      <c r="M9110" s="34">
        <f t="shared" si="318"/>
        <v>0</v>
      </c>
    </row>
    <row r="9111" spans="13:13" x14ac:dyDescent="0.25">
      <c r="M9111" s="34">
        <f t="shared" si="318"/>
        <v>0</v>
      </c>
    </row>
    <row r="9112" spans="13:13" x14ac:dyDescent="0.25">
      <c r="M9112" s="34">
        <f t="shared" si="318"/>
        <v>0</v>
      </c>
    </row>
    <row r="9113" spans="13:13" x14ac:dyDescent="0.25">
      <c r="M9113" s="34">
        <f t="shared" si="318"/>
        <v>0</v>
      </c>
    </row>
    <row r="9114" spans="13:13" x14ac:dyDescent="0.25">
      <c r="M9114" s="34">
        <f t="shared" si="318"/>
        <v>0</v>
      </c>
    </row>
    <row r="9115" spans="13:13" x14ac:dyDescent="0.25">
      <c r="M9115" s="34">
        <f t="shared" si="318"/>
        <v>0</v>
      </c>
    </row>
    <row r="9116" spans="13:13" x14ac:dyDescent="0.25">
      <c r="M9116" s="34">
        <f t="shared" si="318"/>
        <v>0</v>
      </c>
    </row>
    <row r="9117" spans="13:13" x14ac:dyDescent="0.25">
      <c r="M9117" s="34">
        <f t="shared" si="318"/>
        <v>0</v>
      </c>
    </row>
    <row r="9118" spans="13:13" x14ac:dyDescent="0.25">
      <c r="M9118" s="34">
        <f t="shared" si="318"/>
        <v>0</v>
      </c>
    </row>
    <row r="9119" spans="13:13" x14ac:dyDescent="0.25">
      <c r="M9119" s="34">
        <f t="shared" si="318"/>
        <v>0</v>
      </c>
    </row>
    <row r="9120" spans="13:13" x14ac:dyDescent="0.25">
      <c r="M9120" s="34">
        <f t="shared" si="318"/>
        <v>0</v>
      </c>
    </row>
    <row r="9121" spans="13:13" x14ac:dyDescent="0.25">
      <c r="M9121" s="34">
        <f t="shared" si="318"/>
        <v>0</v>
      </c>
    </row>
    <row r="9122" spans="13:13" x14ac:dyDescent="0.25">
      <c r="M9122" s="34">
        <f t="shared" si="318"/>
        <v>0</v>
      </c>
    </row>
    <row r="9123" spans="13:13" x14ac:dyDescent="0.25">
      <c r="M9123" s="34">
        <f t="shared" si="318"/>
        <v>0</v>
      </c>
    </row>
    <row r="9124" spans="13:13" x14ac:dyDescent="0.25">
      <c r="M9124" s="34">
        <f t="shared" si="318"/>
        <v>0</v>
      </c>
    </row>
    <row r="9125" spans="13:13" x14ac:dyDescent="0.25">
      <c r="M9125" s="34">
        <f t="shared" si="318"/>
        <v>0</v>
      </c>
    </row>
    <row r="9126" spans="13:13" x14ac:dyDescent="0.25">
      <c r="M9126" s="34">
        <f t="shared" si="318"/>
        <v>0</v>
      </c>
    </row>
    <row r="9127" spans="13:13" x14ac:dyDescent="0.25">
      <c r="M9127" s="34">
        <f t="shared" si="318"/>
        <v>0</v>
      </c>
    </row>
    <row r="9128" spans="13:13" x14ac:dyDescent="0.25">
      <c r="M9128" s="34">
        <f t="shared" si="318"/>
        <v>0</v>
      </c>
    </row>
    <row r="9129" spans="13:13" x14ac:dyDescent="0.25">
      <c r="M9129" s="34">
        <f t="shared" si="318"/>
        <v>0</v>
      </c>
    </row>
    <row r="9130" spans="13:13" x14ac:dyDescent="0.25">
      <c r="M9130" s="34">
        <f t="shared" si="318"/>
        <v>0</v>
      </c>
    </row>
    <row r="9131" spans="13:13" x14ac:dyDescent="0.25">
      <c r="M9131" s="34">
        <f t="shared" si="318"/>
        <v>0</v>
      </c>
    </row>
    <row r="9132" spans="13:13" x14ac:dyDescent="0.25">
      <c r="M9132" s="34">
        <f t="shared" si="318"/>
        <v>0</v>
      </c>
    </row>
    <row r="9133" spans="13:13" x14ac:dyDescent="0.25">
      <c r="M9133" s="34">
        <f t="shared" si="318"/>
        <v>0</v>
      </c>
    </row>
    <row r="9134" spans="13:13" x14ac:dyDescent="0.25">
      <c r="M9134" s="34">
        <f t="shared" si="318"/>
        <v>0</v>
      </c>
    </row>
    <row r="9135" spans="13:13" x14ac:dyDescent="0.25">
      <c r="M9135" s="34">
        <f t="shared" si="318"/>
        <v>0</v>
      </c>
    </row>
    <row r="9136" spans="13:13" x14ac:dyDescent="0.25">
      <c r="M9136" s="34">
        <f t="shared" si="318"/>
        <v>0</v>
      </c>
    </row>
    <row r="9137" spans="13:13" x14ac:dyDescent="0.25">
      <c r="M9137" s="34">
        <f t="shared" si="318"/>
        <v>0</v>
      </c>
    </row>
    <row r="9138" spans="13:13" x14ac:dyDescent="0.25">
      <c r="M9138" s="34">
        <f t="shared" si="318"/>
        <v>0</v>
      </c>
    </row>
    <row r="9139" spans="13:13" x14ac:dyDescent="0.25">
      <c r="M9139" s="34">
        <f t="shared" si="318"/>
        <v>0</v>
      </c>
    </row>
    <row r="9140" spans="13:13" x14ac:dyDescent="0.25">
      <c r="M9140" s="34">
        <f t="shared" si="318"/>
        <v>0</v>
      </c>
    </row>
    <row r="9141" spans="13:13" x14ac:dyDescent="0.25">
      <c r="M9141" s="34">
        <f t="shared" si="318"/>
        <v>0</v>
      </c>
    </row>
    <row r="9142" spans="13:13" x14ac:dyDescent="0.25">
      <c r="M9142" s="34">
        <f t="shared" si="318"/>
        <v>0</v>
      </c>
    </row>
    <row r="9143" spans="13:13" x14ac:dyDescent="0.25">
      <c r="M9143" s="34">
        <f t="shared" si="318"/>
        <v>0</v>
      </c>
    </row>
    <row r="9144" spans="13:13" x14ac:dyDescent="0.25">
      <c r="M9144" s="34">
        <f t="shared" si="318"/>
        <v>0</v>
      </c>
    </row>
    <row r="9145" spans="13:13" x14ac:dyDescent="0.25">
      <c r="M9145" s="34">
        <f t="shared" si="318"/>
        <v>0</v>
      </c>
    </row>
    <row r="9146" spans="13:13" x14ac:dyDescent="0.25">
      <c r="M9146" s="34">
        <f t="shared" si="318"/>
        <v>0</v>
      </c>
    </row>
    <row r="9147" spans="13:13" x14ac:dyDescent="0.25">
      <c r="M9147" s="34">
        <f t="shared" si="318"/>
        <v>0</v>
      </c>
    </row>
    <row r="9148" spans="13:13" x14ac:dyDescent="0.25">
      <c r="M9148" s="34">
        <f t="shared" si="318"/>
        <v>0</v>
      </c>
    </row>
    <row r="9149" spans="13:13" x14ac:dyDescent="0.25">
      <c r="M9149" s="34">
        <f t="shared" si="318"/>
        <v>0</v>
      </c>
    </row>
    <row r="9150" spans="13:13" x14ac:dyDescent="0.25">
      <c r="M9150" s="34">
        <f t="shared" si="318"/>
        <v>0</v>
      </c>
    </row>
    <row r="9151" spans="13:13" x14ac:dyDescent="0.25">
      <c r="M9151" s="34">
        <f t="shared" si="318"/>
        <v>0</v>
      </c>
    </row>
    <row r="9152" spans="13:13" x14ac:dyDescent="0.25">
      <c r="M9152" s="34">
        <f t="shared" si="318"/>
        <v>0</v>
      </c>
    </row>
    <row r="9153" spans="13:13" x14ac:dyDescent="0.25">
      <c r="M9153" s="34">
        <f t="shared" si="318"/>
        <v>0</v>
      </c>
    </row>
    <row r="9154" spans="13:13" x14ac:dyDescent="0.25">
      <c r="M9154" s="34">
        <f t="shared" si="318"/>
        <v>0</v>
      </c>
    </row>
    <row r="9155" spans="13:13" x14ac:dyDescent="0.25">
      <c r="M9155" s="34">
        <f t="shared" ref="M9155:M9218" si="319">IF(AND(E9155="Chèque",G9155="RECETTE"),F9155,0)</f>
        <v>0</v>
      </c>
    </row>
    <row r="9156" spans="13:13" x14ac:dyDescent="0.25">
      <c r="M9156" s="34">
        <f t="shared" si="319"/>
        <v>0</v>
      </c>
    </row>
    <row r="9157" spans="13:13" x14ac:dyDescent="0.25">
      <c r="M9157" s="34">
        <f t="shared" si="319"/>
        <v>0</v>
      </c>
    </row>
    <row r="9158" spans="13:13" x14ac:dyDescent="0.25">
      <c r="M9158" s="34">
        <f t="shared" si="319"/>
        <v>0</v>
      </c>
    </row>
    <row r="9159" spans="13:13" x14ac:dyDescent="0.25">
      <c r="M9159" s="34">
        <f t="shared" si="319"/>
        <v>0</v>
      </c>
    </row>
    <row r="9160" spans="13:13" x14ac:dyDescent="0.25">
      <c r="M9160" s="34">
        <f t="shared" si="319"/>
        <v>0</v>
      </c>
    </row>
    <row r="9161" spans="13:13" x14ac:dyDescent="0.25">
      <c r="M9161" s="34">
        <f t="shared" si="319"/>
        <v>0</v>
      </c>
    </row>
    <row r="9162" spans="13:13" x14ac:dyDescent="0.25">
      <c r="M9162" s="34">
        <f t="shared" si="319"/>
        <v>0</v>
      </c>
    </row>
    <row r="9163" spans="13:13" x14ac:dyDescent="0.25">
      <c r="M9163" s="34">
        <f t="shared" si="319"/>
        <v>0</v>
      </c>
    </row>
    <row r="9164" spans="13:13" x14ac:dyDescent="0.25">
      <c r="M9164" s="34">
        <f t="shared" si="319"/>
        <v>0</v>
      </c>
    </row>
    <row r="9165" spans="13:13" x14ac:dyDescent="0.25">
      <c r="M9165" s="34">
        <f t="shared" si="319"/>
        <v>0</v>
      </c>
    </row>
    <row r="9166" spans="13:13" x14ac:dyDescent="0.25">
      <c r="M9166" s="34">
        <f t="shared" si="319"/>
        <v>0</v>
      </c>
    </row>
    <row r="9167" spans="13:13" x14ac:dyDescent="0.25">
      <c r="M9167" s="34">
        <f t="shared" si="319"/>
        <v>0</v>
      </c>
    </row>
    <row r="9168" spans="13:13" x14ac:dyDescent="0.25">
      <c r="M9168" s="34">
        <f t="shared" si="319"/>
        <v>0</v>
      </c>
    </row>
    <row r="9169" spans="13:13" x14ac:dyDescent="0.25">
      <c r="M9169" s="34">
        <f t="shared" si="319"/>
        <v>0</v>
      </c>
    </row>
    <row r="9170" spans="13:13" x14ac:dyDescent="0.25">
      <c r="M9170" s="34">
        <f t="shared" si="319"/>
        <v>0</v>
      </c>
    </row>
    <row r="9171" spans="13:13" x14ac:dyDescent="0.25">
      <c r="M9171" s="34">
        <f t="shared" si="319"/>
        <v>0</v>
      </c>
    </row>
    <row r="9172" spans="13:13" x14ac:dyDescent="0.25">
      <c r="M9172" s="34">
        <f t="shared" si="319"/>
        <v>0</v>
      </c>
    </row>
    <row r="9173" spans="13:13" x14ac:dyDescent="0.25">
      <c r="M9173" s="34">
        <f t="shared" si="319"/>
        <v>0</v>
      </c>
    </row>
    <row r="9174" spans="13:13" x14ac:dyDescent="0.25">
      <c r="M9174" s="34">
        <f t="shared" si="319"/>
        <v>0</v>
      </c>
    </row>
    <row r="9175" spans="13:13" x14ac:dyDescent="0.25">
      <c r="M9175" s="34">
        <f t="shared" si="319"/>
        <v>0</v>
      </c>
    </row>
    <row r="9176" spans="13:13" x14ac:dyDescent="0.25">
      <c r="M9176" s="34">
        <f t="shared" si="319"/>
        <v>0</v>
      </c>
    </row>
    <row r="9177" spans="13:13" x14ac:dyDescent="0.25">
      <c r="M9177" s="34">
        <f t="shared" si="319"/>
        <v>0</v>
      </c>
    </row>
    <row r="9178" spans="13:13" x14ac:dyDescent="0.25">
      <c r="M9178" s="34">
        <f t="shared" si="319"/>
        <v>0</v>
      </c>
    </row>
    <row r="9179" spans="13:13" x14ac:dyDescent="0.25">
      <c r="M9179" s="34">
        <f t="shared" si="319"/>
        <v>0</v>
      </c>
    </row>
    <row r="9180" spans="13:13" x14ac:dyDescent="0.25">
      <c r="M9180" s="34">
        <f t="shared" si="319"/>
        <v>0</v>
      </c>
    </row>
    <row r="9181" spans="13:13" x14ac:dyDescent="0.25">
      <c r="M9181" s="34">
        <f t="shared" si="319"/>
        <v>0</v>
      </c>
    </row>
    <row r="9182" spans="13:13" x14ac:dyDescent="0.25">
      <c r="M9182" s="34">
        <f t="shared" si="319"/>
        <v>0</v>
      </c>
    </row>
    <row r="9183" spans="13:13" x14ac:dyDescent="0.25">
      <c r="M9183" s="34">
        <f t="shared" si="319"/>
        <v>0</v>
      </c>
    </row>
    <row r="9184" spans="13:13" x14ac:dyDescent="0.25">
      <c r="M9184" s="34">
        <f t="shared" si="319"/>
        <v>0</v>
      </c>
    </row>
    <row r="9185" spans="13:13" x14ac:dyDescent="0.25">
      <c r="M9185" s="34">
        <f t="shared" si="319"/>
        <v>0</v>
      </c>
    </row>
    <row r="9186" spans="13:13" x14ac:dyDescent="0.25">
      <c r="M9186" s="34">
        <f t="shared" si="319"/>
        <v>0</v>
      </c>
    </row>
    <row r="9187" spans="13:13" x14ac:dyDescent="0.25">
      <c r="M9187" s="34">
        <f t="shared" si="319"/>
        <v>0</v>
      </c>
    </row>
    <row r="9188" spans="13:13" x14ac:dyDescent="0.25">
      <c r="M9188" s="34">
        <f t="shared" si="319"/>
        <v>0</v>
      </c>
    </row>
    <row r="9189" spans="13:13" x14ac:dyDescent="0.25">
      <c r="M9189" s="34">
        <f t="shared" si="319"/>
        <v>0</v>
      </c>
    </row>
    <row r="9190" spans="13:13" x14ac:dyDescent="0.25">
      <c r="M9190" s="34">
        <f t="shared" si="319"/>
        <v>0</v>
      </c>
    </row>
    <row r="9191" spans="13:13" x14ac:dyDescent="0.25">
      <c r="M9191" s="34">
        <f t="shared" si="319"/>
        <v>0</v>
      </c>
    </row>
    <row r="9192" spans="13:13" x14ac:dyDescent="0.25">
      <c r="M9192" s="34">
        <f t="shared" si="319"/>
        <v>0</v>
      </c>
    </row>
    <row r="9193" spans="13:13" x14ac:dyDescent="0.25">
      <c r="M9193" s="34">
        <f t="shared" si="319"/>
        <v>0</v>
      </c>
    </row>
    <row r="9194" spans="13:13" x14ac:dyDescent="0.25">
      <c r="M9194" s="34">
        <f t="shared" si="319"/>
        <v>0</v>
      </c>
    </row>
    <row r="9195" spans="13:13" x14ac:dyDescent="0.25">
      <c r="M9195" s="34">
        <f t="shared" si="319"/>
        <v>0</v>
      </c>
    </row>
    <row r="9196" spans="13:13" x14ac:dyDescent="0.25">
      <c r="M9196" s="34">
        <f t="shared" si="319"/>
        <v>0</v>
      </c>
    </row>
    <row r="9197" spans="13:13" x14ac:dyDescent="0.25">
      <c r="M9197" s="34">
        <f t="shared" si="319"/>
        <v>0</v>
      </c>
    </row>
    <row r="9198" spans="13:13" x14ac:dyDescent="0.25">
      <c r="M9198" s="34">
        <f t="shared" si="319"/>
        <v>0</v>
      </c>
    </row>
    <row r="9199" spans="13:13" x14ac:dyDescent="0.25">
      <c r="M9199" s="34">
        <f t="shared" si="319"/>
        <v>0</v>
      </c>
    </row>
    <row r="9200" spans="13:13" x14ac:dyDescent="0.25">
      <c r="M9200" s="34">
        <f t="shared" si="319"/>
        <v>0</v>
      </c>
    </row>
    <row r="9201" spans="13:13" x14ac:dyDescent="0.25">
      <c r="M9201" s="34">
        <f t="shared" si="319"/>
        <v>0</v>
      </c>
    </row>
    <row r="9202" spans="13:13" x14ac:dyDescent="0.25">
      <c r="M9202" s="34">
        <f t="shared" si="319"/>
        <v>0</v>
      </c>
    </row>
    <row r="9203" spans="13:13" x14ac:dyDescent="0.25">
      <c r="M9203" s="34">
        <f t="shared" si="319"/>
        <v>0</v>
      </c>
    </row>
    <row r="9204" spans="13:13" x14ac:dyDescent="0.25">
      <c r="M9204" s="34">
        <f t="shared" si="319"/>
        <v>0</v>
      </c>
    </row>
    <row r="9205" spans="13:13" x14ac:dyDescent="0.25">
      <c r="M9205" s="34">
        <f t="shared" si="319"/>
        <v>0</v>
      </c>
    </row>
    <row r="9206" spans="13:13" x14ac:dyDescent="0.25">
      <c r="M9206" s="34">
        <f t="shared" si="319"/>
        <v>0</v>
      </c>
    </row>
    <row r="9207" spans="13:13" x14ac:dyDescent="0.25">
      <c r="M9207" s="34">
        <f t="shared" si="319"/>
        <v>0</v>
      </c>
    </row>
    <row r="9208" spans="13:13" x14ac:dyDescent="0.25">
      <c r="M9208" s="34">
        <f t="shared" si="319"/>
        <v>0</v>
      </c>
    </row>
    <row r="9209" spans="13:13" x14ac:dyDescent="0.25">
      <c r="M9209" s="34">
        <f t="shared" si="319"/>
        <v>0</v>
      </c>
    </row>
    <row r="9210" spans="13:13" x14ac:dyDescent="0.25">
      <c r="M9210" s="34">
        <f t="shared" si="319"/>
        <v>0</v>
      </c>
    </row>
    <row r="9211" spans="13:13" x14ac:dyDescent="0.25">
      <c r="M9211" s="34">
        <f t="shared" si="319"/>
        <v>0</v>
      </c>
    </row>
    <row r="9212" spans="13:13" x14ac:dyDescent="0.25">
      <c r="M9212" s="34">
        <f t="shared" si="319"/>
        <v>0</v>
      </c>
    </row>
    <row r="9213" spans="13:13" x14ac:dyDescent="0.25">
      <c r="M9213" s="34">
        <f t="shared" si="319"/>
        <v>0</v>
      </c>
    </row>
    <row r="9214" spans="13:13" x14ac:dyDescent="0.25">
      <c r="M9214" s="34">
        <f t="shared" si="319"/>
        <v>0</v>
      </c>
    </row>
    <row r="9215" spans="13:13" x14ac:dyDescent="0.25">
      <c r="M9215" s="34">
        <f t="shared" si="319"/>
        <v>0</v>
      </c>
    </row>
    <row r="9216" spans="13:13" x14ac:dyDescent="0.25">
      <c r="M9216" s="34">
        <f t="shared" si="319"/>
        <v>0</v>
      </c>
    </row>
    <row r="9217" spans="13:13" x14ac:dyDescent="0.25">
      <c r="M9217" s="34">
        <f t="shared" si="319"/>
        <v>0</v>
      </c>
    </row>
    <row r="9218" spans="13:13" x14ac:dyDescent="0.25">
      <c r="M9218" s="34">
        <f t="shared" si="319"/>
        <v>0</v>
      </c>
    </row>
    <row r="9219" spans="13:13" x14ac:dyDescent="0.25">
      <c r="M9219" s="34">
        <f t="shared" ref="M9219:M9282" si="320">IF(AND(E9219="Chèque",G9219="RECETTE"),F9219,0)</f>
        <v>0</v>
      </c>
    </row>
    <row r="9220" spans="13:13" x14ac:dyDescent="0.25">
      <c r="M9220" s="34">
        <f t="shared" si="320"/>
        <v>0</v>
      </c>
    </row>
    <row r="9221" spans="13:13" x14ac:dyDescent="0.25">
      <c r="M9221" s="34">
        <f t="shared" si="320"/>
        <v>0</v>
      </c>
    </row>
    <row r="9222" spans="13:13" x14ac:dyDescent="0.25">
      <c r="M9222" s="34">
        <f t="shared" si="320"/>
        <v>0</v>
      </c>
    </row>
    <row r="9223" spans="13:13" x14ac:dyDescent="0.25">
      <c r="M9223" s="34">
        <f t="shared" si="320"/>
        <v>0</v>
      </c>
    </row>
    <row r="9224" spans="13:13" x14ac:dyDescent="0.25">
      <c r="M9224" s="34">
        <f t="shared" si="320"/>
        <v>0</v>
      </c>
    </row>
    <row r="9225" spans="13:13" x14ac:dyDescent="0.25">
      <c r="M9225" s="34">
        <f t="shared" si="320"/>
        <v>0</v>
      </c>
    </row>
    <row r="9226" spans="13:13" x14ac:dyDescent="0.25">
      <c r="M9226" s="34">
        <f t="shared" si="320"/>
        <v>0</v>
      </c>
    </row>
    <row r="9227" spans="13:13" x14ac:dyDescent="0.25">
      <c r="M9227" s="34">
        <f t="shared" si="320"/>
        <v>0</v>
      </c>
    </row>
    <row r="9228" spans="13:13" x14ac:dyDescent="0.25">
      <c r="M9228" s="34">
        <f t="shared" si="320"/>
        <v>0</v>
      </c>
    </row>
    <row r="9229" spans="13:13" x14ac:dyDescent="0.25">
      <c r="M9229" s="34">
        <f t="shared" si="320"/>
        <v>0</v>
      </c>
    </row>
    <row r="9230" spans="13:13" x14ac:dyDescent="0.25">
      <c r="M9230" s="34">
        <f t="shared" si="320"/>
        <v>0</v>
      </c>
    </row>
    <row r="9231" spans="13:13" x14ac:dyDescent="0.25">
      <c r="M9231" s="34">
        <f t="shared" si="320"/>
        <v>0</v>
      </c>
    </row>
    <row r="9232" spans="13:13" x14ac:dyDescent="0.25">
      <c r="M9232" s="34">
        <f t="shared" si="320"/>
        <v>0</v>
      </c>
    </row>
    <row r="9233" spans="13:13" x14ac:dyDescent="0.25">
      <c r="M9233" s="34">
        <f t="shared" si="320"/>
        <v>0</v>
      </c>
    </row>
    <row r="9234" spans="13:13" x14ac:dyDescent="0.25">
      <c r="M9234" s="34">
        <f t="shared" si="320"/>
        <v>0</v>
      </c>
    </row>
    <row r="9235" spans="13:13" x14ac:dyDescent="0.25">
      <c r="M9235" s="34">
        <f t="shared" si="320"/>
        <v>0</v>
      </c>
    </row>
    <row r="9236" spans="13:13" x14ac:dyDescent="0.25">
      <c r="M9236" s="34">
        <f t="shared" si="320"/>
        <v>0</v>
      </c>
    </row>
    <row r="9237" spans="13:13" x14ac:dyDescent="0.25">
      <c r="M9237" s="34">
        <f t="shared" si="320"/>
        <v>0</v>
      </c>
    </row>
    <row r="9238" spans="13:13" x14ac:dyDescent="0.25">
      <c r="M9238" s="34">
        <f t="shared" si="320"/>
        <v>0</v>
      </c>
    </row>
    <row r="9239" spans="13:13" x14ac:dyDescent="0.25">
      <c r="M9239" s="34">
        <f t="shared" si="320"/>
        <v>0</v>
      </c>
    </row>
    <row r="9240" spans="13:13" x14ac:dyDescent="0.25">
      <c r="M9240" s="34">
        <f t="shared" si="320"/>
        <v>0</v>
      </c>
    </row>
    <row r="9241" spans="13:13" x14ac:dyDescent="0.25">
      <c r="M9241" s="34">
        <f t="shared" si="320"/>
        <v>0</v>
      </c>
    </row>
    <row r="9242" spans="13:13" x14ac:dyDescent="0.25">
      <c r="M9242" s="34">
        <f t="shared" si="320"/>
        <v>0</v>
      </c>
    </row>
    <row r="9243" spans="13:13" x14ac:dyDescent="0.25">
      <c r="M9243" s="34">
        <f t="shared" si="320"/>
        <v>0</v>
      </c>
    </row>
    <row r="9244" spans="13:13" x14ac:dyDescent="0.25">
      <c r="M9244" s="34">
        <f t="shared" si="320"/>
        <v>0</v>
      </c>
    </row>
    <row r="9245" spans="13:13" x14ac:dyDescent="0.25">
      <c r="M9245" s="34">
        <f t="shared" si="320"/>
        <v>0</v>
      </c>
    </row>
    <row r="9246" spans="13:13" x14ac:dyDescent="0.25">
      <c r="M9246" s="34">
        <f t="shared" si="320"/>
        <v>0</v>
      </c>
    </row>
    <row r="9247" spans="13:13" x14ac:dyDescent="0.25">
      <c r="M9247" s="34">
        <f t="shared" si="320"/>
        <v>0</v>
      </c>
    </row>
    <row r="9248" spans="13:13" x14ac:dyDescent="0.25">
      <c r="M9248" s="34">
        <f t="shared" si="320"/>
        <v>0</v>
      </c>
    </row>
    <row r="9249" spans="13:13" x14ac:dyDescent="0.25">
      <c r="M9249" s="34">
        <f t="shared" si="320"/>
        <v>0</v>
      </c>
    </row>
    <row r="9250" spans="13:13" x14ac:dyDescent="0.25">
      <c r="M9250" s="34">
        <f t="shared" si="320"/>
        <v>0</v>
      </c>
    </row>
    <row r="9251" spans="13:13" x14ac:dyDescent="0.25">
      <c r="M9251" s="34">
        <f t="shared" si="320"/>
        <v>0</v>
      </c>
    </row>
    <row r="9252" spans="13:13" x14ac:dyDescent="0.25">
      <c r="M9252" s="34">
        <f t="shared" si="320"/>
        <v>0</v>
      </c>
    </row>
    <row r="9253" spans="13:13" x14ac:dyDescent="0.25">
      <c r="M9253" s="34">
        <f t="shared" si="320"/>
        <v>0</v>
      </c>
    </row>
    <row r="9254" spans="13:13" x14ac:dyDescent="0.25">
      <c r="M9254" s="34">
        <f t="shared" si="320"/>
        <v>0</v>
      </c>
    </row>
    <row r="9255" spans="13:13" x14ac:dyDescent="0.25">
      <c r="M9255" s="34">
        <f t="shared" si="320"/>
        <v>0</v>
      </c>
    </row>
    <row r="9256" spans="13:13" x14ac:dyDescent="0.25">
      <c r="M9256" s="34">
        <f t="shared" si="320"/>
        <v>0</v>
      </c>
    </row>
    <row r="9257" spans="13:13" x14ac:dyDescent="0.25">
      <c r="M9257" s="34">
        <f t="shared" si="320"/>
        <v>0</v>
      </c>
    </row>
    <row r="9258" spans="13:13" x14ac:dyDescent="0.25">
      <c r="M9258" s="34">
        <f t="shared" si="320"/>
        <v>0</v>
      </c>
    </row>
    <row r="9259" spans="13:13" x14ac:dyDescent="0.25">
      <c r="M9259" s="34">
        <f t="shared" si="320"/>
        <v>0</v>
      </c>
    </row>
    <row r="9260" spans="13:13" x14ac:dyDescent="0.25">
      <c r="M9260" s="34">
        <f t="shared" si="320"/>
        <v>0</v>
      </c>
    </row>
    <row r="9261" spans="13:13" x14ac:dyDescent="0.25">
      <c r="M9261" s="34">
        <f t="shared" si="320"/>
        <v>0</v>
      </c>
    </row>
    <row r="9262" spans="13:13" x14ac:dyDescent="0.25">
      <c r="M9262" s="34">
        <f t="shared" si="320"/>
        <v>0</v>
      </c>
    </row>
    <row r="9263" spans="13:13" x14ac:dyDescent="0.25">
      <c r="M9263" s="34">
        <f t="shared" si="320"/>
        <v>0</v>
      </c>
    </row>
    <row r="9264" spans="13:13" x14ac:dyDescent="0.25">
      <c r="M9264" s="34">
        <f t="shared" si="320"/>
        <v>0</v>
      </c>
    </row>
    <row r="9265" spans="13:13" x14ac:dyDescent="0.25">
      <c r="M9265" s="34">
        <f t="shared" si="320"/>
        <v>0</v>
      </c>
    </row>
    <row r="9266" spans="13:13" x14ac:dyDescent="0.25">
      <c r="M9266" s="34">
        <f t="shared" si="320"/>
        <v>0</v>
      </c>
    </row>
    <row r="9267" spans="13:13" x14ac:dyDescent="0.25">
      <c r="M9267" s="34">
        <f t="shared" si="320"/>
        <v>0</v>
      </c>
    </row>
    <row r="9268" spans="13:13" x14ac:dyDescent="0.25">
      <c r="M9268" s="34">
        <f t="shared" si="320"/>
        <v>0</v>
      </c>
    </row>
    <row r="9269" spans="13:13" x14ac:dyDescent="0.25">
      <c r="M9269" s="34">
        <f t="shared" si="320"/>
        <v>0</v>
      </c>
    </row>
    <row r="9270" spans="13:13" x14ac:dyDescent="0.25">
      <c r="M9270" s="34">
        <f t="shared" si="320"/>
        <v>0</v>
      </c>
    </row>
    <row r="9271" spans="13:13" x14ac:dyDescent="0.25">
      <c r="M9271" s="34">
        <f t="shared" si="320"/>
        <v>0</v>
      </c>
    </row>
    <row r="9272" spans="13:13" x14ac:dyDescent="0.25">
      <c r="M9272" s="34">
        <f t="shared" si="320"/>
        <v>0</v>
      </c>
    </row>
    <row r="9273" spans="13:13" x14ac:dyDescent="0.25">
      <c r="M9273" s="34">
        <f t="shared" si="320"/>
        <v>0</v>
      </c>
    </row>
    <row r="9274" spans="13:13" x14ac:dyDescent="0.25">
      <c r="M9274" s="34">
        <f t="shared" si="320"/>
        <v>0</v>
      </c>
    </row>
    <row r="9275" spans="13:13" x14ac:dyDescent="0.25">
      <c r="M9275" s="34">
        <f t="shared" si="320"/>
        <v>0</v>
      </c>
    </row>
    <row r="9276" spans="13:13" x14ac:dyDescent="0.25">
      <c r="M9276" s="34">
        <f t="shared" si="320"/>
        <v>0</v>
      </c>
    </row>
    <row r="9277" spans="13:13" x14ac:dyDescent="0.25">
      <c r="M9277" s="34">
        <f t="shared" si="320"/>
        <v>0</v>
      </c>
    </row>
    <row r="9278" spans="13:13" x14ac:dyDescent="0.25">
      <c r="M9278" s="34">
        <f t="shared" si="320"/>
        <v>0</v>
      </c>
    </row>
    <row r="9279" spans="13:13" x14ac:dyDescent="0.25">
      <c r="M9279" s="34">
        <f t="shared" si="320"/>
        <v>0</v>
      </c>
    </row>
    <row r="9280" spans="13:13" x14ac:dyDescent="0.25">
      <c r="M9280" s="34">
        <f t="shared" si="320"/>
        <v>0</v>
      </c>
    </row>
    <row r="9281" spans="13:13" x14ac:dyDescent="0.25">
      <c r="M9281" s="34">
        <f t="shared" si="320"/>
        <v>0</v>
      </c>
    </row>
    <row r="9282" spans="13:13" x14ac:dyDescent="0.25">
      <c r="M9282" s="34">
        <f t="shared" si="320"/>
        <v>0</v>
      </c>
    </row>
    <row r="9283" spans="13:13" x14ac:dyDescent="0.25">
      <c r="M9283" s="34">
        <f t="shared" ref="M9283:M9346" si="321">IF(AND(E9283="Chèque",G9283="RECETTE"),F9283,0)</f>
        <v>0</v>
      </c>
    </row>
    <row r="9284" spans="13:13" x14ac:dyDescent="0.25">
      <c r="M9284" s="34">
        <f t="shared" si="321"/>
        <v>0</v>
      </c>
    </row>
    <row r="9285" spans="13:13" x14ac:dyDescent="0.25">
      <c r="M9285" s="34">
        <f t="shared" si="321"/>
        <v>0</v>
      </c>
    </row>
    <row r="9286" spans="13:13" x14ac:dyDescent="0.25">
      <c r="M9286" s="34">
        <f t="shared" si="321"/>
        <v>0</v>
      </c>
    </row>
    <row r="9287" spans="13:13" x14ac:dyDescent="0.25">
      <c r="M9287" s="34">
        <f t="shared" si="321"/>
        <v>0</v>
      </c>
    </row>
    <row r="9288" spans="13:13" x14ac:dyDescent="0.25">
      <c r="M9288" s="34">
        <f t="shared" si="321"/>
        <v>0</v>
      </c>
    </row>
    <row r="9289" spans="13:13" x14ac:dyDescent="0.25">
      <c r="M9289" s="34">
        <f t="shared" si="321"/>
        <v>0</v>
      </c>
    </row>
    <row r="9290" spans="13:13" x14ac:dyDescent="0.25">
      <c r="M9290" s="34">
        <f t="shared" si="321"/>
        <v>0</v>
      </c>
    </row>
    <row r="9291" spans="13:13" x14ac:dyDescent="0.25">
      <c r="M9291" s="34">
        <f t="shared" si="321"/>
        <v>0</v>
      </c>
    </row>
    <row r="9292" spans="13:13" x14ac:dyDescent="0.25">
      <c r="M9292" s="34">
        <f t="shared" si="321"/>
        <v>0</v>
      </c>
    </row>
    <row r="9293" spans="13:13" x14ac:dyDescent="0.25">
      <c r="M9293" s="34">
        <f t="shared" si="321"/>
        <v>0</v>
      </c>
    </row>
    <row r="9294" spans="13:13" x14ac:dyDescent="0.25">
      <c r="M9294" s="34">
        <f t="shared" si="321"/>
        <v>0</v>
      </c>
    </row>
    <row r="9295" spans="13:13" x14ac:dyDescent="0.25">
      <c r="M9295" s="34">
        <f t="shared" si="321"/>
        <v>0</v>
      </c>
    </row>
    <row r="9296" spans="13:13" x14ac:dyDescent="0.25">
      <c r="M9296" s="34">
        <f t="shared" si="321"/>
        <v>0</v>
      </c>
    </row>
    <row r="9297" spans="13:13" x14ac:dyDescent="0.25">
      <c r="M9297" s="34">
        <f t="shared" si="321"/>
        <v>0</v>
      </c>
    </row>
    <row r="9298" spans="13:13" x14ac:dyDescent="0.25">
      <c r="M9298" s="34">
        <f t="shared" si="321"/>
        <v>0</v>
      </c>
    </row>
    <row r="9299" spans="13:13" x14ac:dyDescent="0.25">
      <c r="M9299" s="34">
        <f t="shared" si="321"/>
        <v>0</v>
      </c>
    </row>
    <row r="9300" spans="13:13" x14ac:dyDescent="0.25">
      <c r="M9300" s="34">
        <f t="shared" si="321"/>
        <v>0</v>
      </c>
    </row>
    <row r="9301" spans="13:13" x14ac:dyDescent="0.25">
      <c r="M9301" s="34">
        <f t="shared" si="321"/>
        <v>0</v>
      </c>
    </row>
    <row r="9302" spans="13:13" x14ac:dyDescent="0.25">
      <c r="M9302" s="34">
        <f t="shared" si="321"/>
        <v>0</v>
      </c>
    </row>
    <row r="9303" spans="13:13" x14ac:dyDescent="0.25">
      <c r="M9303" s="34">
        <f t="shared" si="321"/>
        <v>0</v>
      </c>
    </row>
    <row r="9304" spans="13:13" x14ac:dyDescent="0.25">
      <c r="M9304" s="34">
        <f t="shared" si="321"/>
        <v>0</v>
      </c>
    </row>
    <row r="9305" spans="13:13" x14ac:dyDescent="0.25">
      <c r="M9305" s="34">
        <f t="shared" si="321"/>
        <v>0</v>
      </c>
    </row>
    <row r="9306" spans="13:13" x14ac:dyDescent="0.25">
      <c r="M9306" s="34">
        <f t="shared" si="321"/>
        <v>0</v>
      </c>
    </row>
    <row r="9307" spans="13:13" x14ac:dyDescent="0.25">
      <c r="M9307" s="34">
        <f t="shared" si="321"/>
        <v>0</v>
      </c>
    </row>
    <row r="9308" spans="13:13" x14ac:dyDescent="0.25">
      <c r="M9308" s="34">
        <f t="shared" si="321"/>
        <v>0</v>
      </c>
    </row>
    <row r="9309" spans="13:13" x14ac:dyDescent="0.25">
      <c r="M9309" s="34">
        <f t="shared" si="321"/>
        <v>0</v>
      </c>
    </row>
    <row r="9310" spans="13:13" x14ac:dyDescent="0.25">
      <c r="M9310" s="34">
        <f t="shared" si="321"/>
        <v>0</v>
      </c>
    </row>
    <row r="9311" spans="13:13" x14ac:dyDescent="0.25">
      <c r="M9311" s="34">
        <f t="shared" si="321"/>
        <v>0</v>
      </c>
    </row>
    <row r="9312" spans="13:13" x14ac:dyDescent="0.25">
      <c r="M9312" s="34">
        <f t="shared" si="321"/>
        <v>0</v>
      </c>
    </row>
    <row r="9313" spans="13:13" x14ac:dyDescent="0.25">
      <c r="M9313" s="34">
        <f t="shared" si="321"/>
        <v>0</v>
      </c>
    </row>
    <row r="9314" spans="13:13" x14ac:dyDescent="0.25">
      <c r="M9314" s="34">
        <f t="shared" si="321"/>
        <v>0</v>
      </c>
    </row>
    <row r="9315" spans="13:13" x14ac:dyDescent="0.25">
      <c r="M9315" s="34">
        <f t="shared" si="321"/>
        <v>0</v>
      </c>
    </row>
    <row r="9316" spans="13:13" x14ac:dyDescent="0.25">
      <c r="M9316" s="34">
        <f t="shared" si="321"/>
        <v>0</v>
      </c>
    </row>
    <row r="9317" spans="13:13" x14ac:dyDescent="0.25">
      <c r="M9317" s="34">
        <f t="shared" si="321"/>
        <v>0</v>
      </c>
    </row>
    <row r="9318" spans="13:13" x14ac:dyDescent="0.25">
      <c r="M9318" s="34">
        <f t="shared" si="321"/>
        <v>0</v>
      </c>
    </row>
    <row r="9319" spans="13:13" x14ac:dyDescent="0.25">
      <c r="M9319" s="34">
        <f t="shared" si="321"/>
        <v>0</v>
      </c>
    </row>
    <row r="9320" spans="13:13" x14ac:dyDescent="0.25">
      <c r="M9320" s="34">
        <f t="shared" si="321"/>
        <v>0</v>
      </c>
    </row>
    <row r="9321" spans="13:13" x14ac:dyDescent="0.25">
      <c r="M9321" s="34">
        <f t="shared" si="321"/>
        <v>0</v>
      </c>
    </row>
    <row r="9322" spans="13:13" x14ac:dyDescent="0.25">
      <c r="M9322" s="34">
        <f t="shared" si="321"/>
        <v>0</v>
      </c>
    </row>
    <row r="9323" spans="13:13" x14ac:dyDescent="0.25">
      <c r="M9323" s="34">
        <f t="shared" si="321"/>
        <v>0</v>
      </c>
    </row>
    <row r="9324" spans="13:13" x14ac:dyDescent="0.25">
      <c r="M9324" s="34">
        <f t="shared" si="321"/>
        <v>0</v>
      </c>
    </row>
    <row r="9325" spans="13:13" x14ac:dyDescent="0.25">
      <c r="M9325" s="34">
        <f t="shared" si="321"/>
        <v>0</v>
      </c>
    </row>
    <row r="9326" spans="13:13" x14ac:dyDescent="0.25">
      <c r="M9326" s="34">
        <f t="shared" si="321"/>
        <v>0</v>
      </c>
    </row>
    <row r="9327" spans="13:13" x14ac:dyDescent="0.25">
      <c r="M9327" s="34">
        <f t="shared" si="321"/>
        <v>0</v>
      </c>
    </row>
    <row r="9328" spans="13:13" x14ac:dyDescent="0.25">
      <c r="M9328" s="34">
        <f t="shared" si="321"/>
        <v>0</v>
      </c>
    </row>
    <row r="9329" spans="13:13" x14ac:dyDescent="0.25">
      <c r="M9329" s="34">
        <f t="shared" si="321"/>
        <v>0</v>
      </c>
    </row>
    <row r="9330" spans="13:13" x14ac:dyDescent="0.25">
      <c r="M9330" s="34">
        <f t="shared" si="321"/>
        <v>0</v>
      </c>
    </row>
    <row r="9331" spans="13:13" x14ac:dyDescent="0.25">
      <c r="M9331" s="34">
        <f t="shared" si="321"/>
        <v>0</v>
      </c>
    </row>
    <row r="9332" spans="13:13" x14ac:dyDescent="0.25">
      <c r="M9332" s="34">
        <f t="shared" si="321"/>
        <v>0</v>
      </c>
    </row>
    <row r="9333" spans="13:13" x14ac:dyDescent="0.25">
      <c r="M9333" s="34">
        <f t="shared" si="321"/>
        <v>0</v>
      </c>
    </row>
    <row r="9334" spans="13:13" x14ac:dyDescent="0.25">
      <c r="M9334" s="34">
        <f t="shared" si="321"/>
        <v>0</v>
      </c>
    </row>
    <row r="9335" spans="13:13" x14ac:dyDescent="0.25">
      <c r="M9335" s="34">
        <f t="shared" si="321"/>
        <v>0</v>
      </c>
    </row>
    <row r="9336" spans="13:13" x14ac:dyDescent="0.25">
      <c r="M9336" s="34">
        <f t="shared" si="321"/>
        <v>0</v>
      </c>
    </row>
    <row r="9337" spans="13:13" x14ac:dyDescent="0.25">
      <c r="M9337" s="34">
        <f t="shared" si="321"/>
        <v>0</v>
      </c>
    </row>
    <row r="9338" spans="13:13" x14ac:dyDescent="0.25">
      <c r="M9338" s="34">
        <f t="shared" si="321"/>
        <v>0</v>
      </c>
    </row>
    <row r="9339" spans="13:13" x14ac:dyDescent="0.25">
      <c r="M9339" s="34">
        <f t="shared" si="321"/>
        <v>0</v>
      </c>
    </row>
    <row r="9340" spans="13:13" x14ac:dyDescent="0.25">
      <c r="M9340" s="34">
        <f t="shared" si="321"/>
        <v>0</v>
      </c>
    </row>
    <row r="9341" spans="13:13" x14ac:dyDescent="0.25">
      <c r="M9341" s="34">
        <f t="shared" si="321"/>
        <v>0</v>
      </c>
    </row>
    <row r="9342" spans="13:13" x14ac:dyDescent="0.25">
      <c r="M9342" s="34">
        <f t="shared" si="321"/>
        <v>0</v>
      </c>
    </row>
    <row r="9343" spans="13:13" x14ac:dyDescent="0.25">
      <c r="M9343" s="34">
        <f t="shared" si="321"/>
        <v>0</v>
      </c>
    </row>
    <row r="9344" spans="13:13" x14ac:dyDescent="0.25">
      <c r="M9344" s="34">
        <f t="shared" si="321"/>
        <v>0</v>
      </c>
    </row>
    <row r="9345" spans="13:13" x14ac:dyDescent="0.25">
      <c r="M9345" s="34">
        <f t="shared" si="321"/>
        <v>0</v>
      </c>
    </row>
    <row r="9346" spans="13:13" x14ac:dyDescent="0.25">
      <c r="M9346" s="34">
        <f t="shared" si="321"/>
        <v>0</v>
      </c>
    </row>
    <row r="9347" spans="13:13" x14ac:dyDescent="0.25">
      <c r="M9347" s="34">
        <f t="shared" ref="M9347:M9410" si="322">IF(AND(E9347="Chèque",G9347="RECETTE"),F9347,0)</f>
        <v>0</v>
      </c>
    </row>
    <row r="9348" spans="13:13" x14ac:dyDescent="0.25">
      <c r="M9348" s="34">
        <f t="shared" si="322"/>
        <v>0</v>
      </c>
    </row>
    <row r="9349" spans="13:13" x14ac:dyDescent="0.25">
      <c r="M9349" s="34">
        <f t="shared" si="322"/>
        <v>0</v>
      </c>
    </row>
    <row r="9350" spans="13:13" x14ac:dyDescent="0.25">
      <c r="M9350" s="34">
        <f t="shared" si="322"/>
        <v>0</v>
      </c>
    </row>
    <row r="9351" spans="13:13" x14ac:dyDescent="0.25">
      <c r="M9351" s="34">
        <f t="shared" si="322"/>
        <v>0</v>
      </c>
    </row>
    <row r="9352" spans="13:13" x14ac:dyDescent="0.25">
      <c r="M9352" s="34">
        <f t="shared" si="322"/>
        <v>0</v>
      </c>
    </row>
    <row r="9353" spans="13:13" x14ac:dyDescent="0.25">
      <c r="M9353" s="34">
        <f t="shared" si="322"/>
        <v>0</v>
      </c>
    </row>
    <row r="9354" spans="13:13" x14ac:dyDescent="0.25">
      <c r="M9354" s="34">
        <f t="shared" si="322"/>
        <v>0</v>
      </c>
    </row>
    <row r="9355" spans="13:13" x14ac:dyDescent="0.25">
      <c r="M9355" s="34">
        <f t="shared" si="322"/>
        <v>0</v>
      </c>
    </row>
    <row r="9356" spans="13:13" x14ac:dyDescent="0.25">
      <c r="M9356" s="34">
        <f t="shared" si="322"/>
        <v>0</v>
      </c>
    </row>
    <row r="9357" spans="13:13" x14ac:dyDescent="0.25">
      <c r="M9357" s="34">
        <f t="shared" si="322"/>
        <v>0</v>
      </c>
    </row>
    <row r="9358" spans="13:13" x14ac:dyDescent="0.25">
      <c r="M9358" s="34">
        <f t="shared" si="322"/>
        <v>0</v>
      </c>
    </row>
    <row r="9359" spans="13:13" x14ac:dyDescent="0.25">
      <c r="M9359" s="34">
        <f t="shared" si="322"/>
        <v>0</v>
      </c>
    </row>
    <row r="9360" spans="13:13" x14ac:dyDescent="0.25">
      <c r="M9360" s="34">
        <f t="shared" si="322"/>
        <v>0</v>
      </c>
    </row>
    <row r="9361" spans="13:13" x14ac:dyDescent="0.25">
      <c r="M9361" s="34">
        <f t="shared" si="322"/>
        <v>0</v>
      </c>
    </row>
    <row r="9362" spans="13:13" x14ac:dyDescent="0.25">
      <c r="M9362" s="34">
        <f t="shared" si="322"/>
        <v>0</v>
      </c>
    </row>
    <row r="9363" spans="13:13" x14ac:dyDescent="0.25">
      <c r="M9363" s="34">
        <f t="shared" si="322"/>
        <v>0</v>
      </c>
    </row>
    <row r="9364" spans="13:13" x14ac:dyDescent="0.25">
      <c r="M9364" s="34">
        <f t="shared" si="322"/>
        <v>0</v>
      </c>
    </row>
    <row r="9365" spans="13:13" x14ac:dyDescent="0.25">
      <c r="M9365" s="34">
        <f t="shared" si="322"/>
        <v>0</v>
      </c>
    </row>
    <row r="9366" spans="13:13" x14ac:dyDescent="0.25">
      <c r="M9366" s="34">
        <f t="shared" si="322"/>
        <v>0</v>
      </c>
    </row>
    <row r="9367" spans="13:13" x14ac:dyDescent="0.25">
      <c r="M9367" s="34">
        <f t="shared" si="322"/>
        <v>0</v>
      </c>
    </row>
    <row r="9368" spans="13:13" x14ac:dyDescent="0.25">
      <c r="M9368" s="34">
        <f t="shared" si="322"/>
        <v>0</v>
      </c>
    </row>
    <row r="9369" spans="13:13" x14ac:dyDescent="0.25">
      <c r="M9369" s="34">
        <f t="shared" si="322"/>
        <v>0</v>
      </c>
    </row>
    <row r="9370" spans="13:13" x14ac:dyDescent="0.25">
      <c r="M9370" s="34">
        <f t="shared" si="322"/>
        <v>0</v>
      </c>
    </row>
    <row r="9371" spans="13:13" x14ac:dyDescent="0.25">
      <c r="M9371" s="34">
        <f t="shared" si="322"/>
        <v>0</v>
      </c>
    </row>
    <row r="9372" spans="13:13" x14ac:dyDescent="0.25">
      <c r="M9372" s="34">
        <f t="shared" si="322"/>
        <v>0</v>
      </c>
    </row>
    <row r="9373" spans="13:13" x14ac:dyDescent="0.25">
      <c r="M9373" s="34">
        <f t="shared" si="322"/>
        <v>0</v>
      </c>
    </row>
    <row r="9374" spans="13:13" x14ac:dyDescent="0.25">
      <c r="M9374" s="34">
        <f t="shared" si="322"/>
        <v>0</v>
      </c>
    </row>
    <row r="9375" spans="13:13" x14ac:dyDescent="0.25">
      <c r="M9375" s="34">
        <f t="shared" si="322"/>
        <v>0</v>
      </c>
    </row>
    <row r="9376" spans="13:13" x14ac:dyDescent="0.25">
      <c r="M9376" s="34">
        <f t="shared" si="322"/>
        <v>0</v>
      </c>
    </row>
    <row r="9377" spans="13:13" x14ac:dyDescent="0.25">
      <c r="M9377" s="34">
        <f t="shared" si="322"/>
        <v>0</v>
      </c>
    </row>
    <row r="9378" spans="13:13" x14ac:dyDescent="0.25">
      <c r="M9378" s="34">
        <f t="shared" si="322"/>
        <v>0</v>
      </c>
    </row>
    <row r="9379" spans="13:13" x14ac:dyDescent="0.25">
      <c r="M9379" s="34">
        <f t="shared" si="322"/>
        <v>0</v>
      </c>
    </row>
    <row r="9380" spans="13:13" x14ac:dyDescent="0.25">
      <c r="M9380" s="34">
        <f t="shared" si="322"/>
        <v>0</v>
      </c>
    </row>
    <row r="9381" spans="13:13" x14ac:dyDescent="0.25">
      <c r="M9381" s="34">
        <f t="shared" si="322"/>
        <v>0</v>
      </c>
    </row>
    <row r="9382" spans="13:13" x14ac:dyDescent="0.25">
      <c r="M9382" s="34">
        <f t="shared" si="322"/>
        <v>0</v>
      </c>
    </row>
    <row r="9383" spans="13:13" x14ac:dyDescent="0.25">
      <c r="M9383" s="34">
        <f t="shared" si="322"/>
        <v>0</v>
      </c>
    </row>
    <row r="9384" spans="13:13" x14ac:dyDescent="0.25">
      <c r="M9384" s="34">
        <f t="shared" si="322"/>
        <v>0</v>
      </c>
    </row>
    <row r="9385" spans="13:13" x14ac:dyDescent="0.25">
      <c r="M9385" s="34">
        <f t="shared" si="322"/>
        <v>0</v>
      </c>
    </row>
    <row r="9386" spans="13:13" x14ac:dyDescent="0.25">
      <c r="M9386" s="34">
        <f t="shared" si="322"/>
        <v>0</v>
      </c>
    </row>
    <row r="9387" spans="13:13" x14ac:dyDescent="0.25">
      <c r="M9387" s="34">
        <f t="shared" si="322"/>
        <v>0</v>
      </c>
    </row>
    <row r="9388" spans="13:13" x14ac:dyDescent="0.25">
      <c r="M9388" s="34">
        <f t="shared" si="322"/>
        <v>0</v>
      </c>
    </row>
    <row r="9389" spans="13:13" x14ac:dyDescent="0.25">
      <c r="M9389" s="34">
        <f t="shared" si="322"/>
        <v>0</v>
      </c>
    </row>
    <row r="9390" spans="13:13" x14ac:dyDescent="0.25">
      <c r="M9390" s="34">
        <f t="shared" si="322"/>
        <v>0</v>
      </c>
    </row>
    <row r="9391" spans="13:13" x14ac:dyDescent="0.25">
      <c r="M9391" s="34">
        <f t="shared" si="322"/>
        <v>0</v>
      </c>
    </row>
    <row r="9392" spans="13:13" x14ac:dyDescent="0.25">
      <c r="M9392" s="34">
        <f t="shared" si="322"/>
        <v>0</v>
      </c>
    </row>
    <row r="9393" spans="13:13" x14ac:dyDescent="0.25">
      <c r="M9393" s="34">
        <f t="shared" si="322"/>
        <v>0</v>
      </c>
    </row>
    <row r="9394" spans="13:13" x14ac:dyDescent="0.25">
      <c r="M9394" s="34">
        <f t="shared" si="322"/>
        <v>0</v>
      </c>
    </row>
    <row r="9395" spans="13:13" x14ac:dyDescent="0.25">
      <c r="M9395" s="34">
        <f t="shared" si="322"/>
        <v>0</v>
      </c>
    </row>
    <row r="9396" spans="13:13" x14ac:dyDescent="0.25">
      <c r="M9396" s="34">
        <f t="shared" si="322"/>
        <v>0</v>
      </c>
    </row>
    <row r="9397" spans="13:13" x14ac:dyDescent="0.25">
      <c r="M9397" s="34">
        <f t="shared" si="322"/>
        <v>0</v>
      </c>
    </row>
    <row r="9398" spans="13:13" x14ac:dyDescent="0.25">
      <c r="M9398" s="34">
        <f t="shared" si="322"/>
        <v>0</v>
      </c>
    </row>
    <row r="9399" spans="13:13" x14ac:dyDescent="0.25">
      <c r="M9399" s="34">
        <f t="shared" si="322"/>
        <v>0</v>
      </c>
    </row>
    <row r="9400" spans="13:13" x14ac:dyDescent="0.25">
      <c r="M9400" s="34">
        <f t="shared" si="322"/>
        <v>0</v>
      </c>
    </row>
    <row r="9401" spans="13:13" x14ac:dyDescent="0.25">
      <c r="M9401" s="34">
        <f t="shared" si="322"/>
        <v>0</v>
      </c>
    </row>
    <row r="9402" spans="13:13" x14ac:dyDescent="0.25">
      <c r="M9402" s="34">
        <f t="shared" si="322"/>
        <v>0</v>
      </c>
    </row>
    <row r="9403" spans="13:13" x14ac:dyDescent="0.25">
      <c r="M9403" s="34">
        <f t="shared" si="322"/>
        <v>0</v>
      </c>
    </row>
    <row r="9404" spans="13:13" x14ac:dyDescent="0.25">
      <c r="M9404" s="34">
        <f t="shared" si="322"/>
        <v>0</v>
      </c>
    </row>
    <row r="9405" spans="13:13" x14ac:dyDescent="0.25">
      <c r="M9405" s="34">
        <f t="shared" si="322"/>
        <v>0</v>
      </c>
    </row>
    <row r="9406" spans="13:13" x14ac:dyDescent="0.25">
      <c r="M9406" s="34">
        <f t="shared" si="322"/>
        <v>0</v>
      </c>
    </row>
    <row r="9407" spans="13:13" x14ac:dyDescent="0.25">
      <c r="M9407" s="34">
        <f t="shared" si="322"/>
        <v>0</v>
      </c>
    </row>
    <row r="9408" spans="13:13" x14ac:dyDescent="0.25">
      <c r="M9408" s="34">
        <f t="shared" si="322"/>
        <v>0</v>
      </c>
    </row>
    <row r="9409" spans="13:13" x14ac:dyDescent="0.25">
      <c r="M9409" s="34">
        <f t="shared" si="322"/>
        <v>0</v>
      </c>
    </row>
    <row r="9410" spans="13:13" x14ac:dyDescent="0.25">
      <c r="M9410" s="34">
        <f t="shared" si="322"/>
        <v>0</v>
      </c>
    </row>
    <row r="9411" spans="13:13" x14ac:dyDescent="0.25">
      <c r="M9411" s="34">
        <f t="shared" ref="M9411:M9474" si="323">IF(AND(E9411="Chèque",G9411="RECETTE"),F9411,0)</f>
        <v>0</v>
      </c>
    </row>
    <row r="9412" spans="13:13" x14ac:dyDescent="0.25">
      <c r="M9412" s="34">
        <f t="shared" si="323"/>
        <v>0</v>
      </c>
    </row>
    <row r="9413" spans="13:13" x14ac:dyDescent="0.25">
      <c r="M9413" s="34">
        <f t="shared" si="323"/>
        <v>0</v>
      </c>
    </row>
    <row r="9414" spans="13:13" x14ac:dyDescent="0.25">
      <c r="M9414" s="34">
        <f t="shared" si="323"/>
        <v>0</v>
      </c>
    </row>
    <row r="9415" spans="13:13" x14ac:dyDescent="0.25">
      <c r="M9415" s="34">
        <f t="shared" si="323"/>
        <v>0</v>
      </c>
    </row>
    <row r="9416" spans="13:13" x14ac:dyDescent="0.25">
      <c r="M9416" s="34">
        <f t="shared" si="323"/>
        <v>0</v>
      </c>
    </row>
    <row r="9417" spans="13:13" x14ac:dyDescent="0.25">
      <c r="M9417" s="34">
        <f t="shared" si="323"/>
        <v>0</v>
      </c>
    </row>
    <row r="9418" spans="13:13" x14ac:dyDescent="0.25">
      <c r="M9418" s="34">
        <f t="shared" si="323"/>
        <v>0</v>
      </c>
    </row>
    <row r="9419" spans="13:13" x14ac:dyDescent="0.25">
      <c r="M9419" s="34">
        <f t="shared" si="323"/>
        <v>0</v>
      </c>
    </row>
    <row r="9420" spans="13:13" x14ac:dyDescent="0.25">
      <c r="M9420" s="34">
        <f t="shared" si="323"/>
        <v>0</v>
      </c>
    </row>
    <row r="9421" spans="13:13" x14ac:dyDescent="0.25">
      <c r="M9421" s="34">
        <f t="shared" si="323"/>
        <v>0</v>
      </c>
    </row>
    <row r="9422" spans="13:13" x14ac:dyDescent="0.25">
      <c r="M9422" s="34">
        <f t="shared" si="323"/>
        <v>0</v>
      </c>
    </row>
    <row r="9423" spans="13:13" x14ac:dyDescent="0.25">
      <c r="M9423" s="34">
        <f t="shared" si="323"/>
        <v>0</v>
      </c>
    </row>
    <row r="9424" spans="13:13" x14ac:dyDescent="0.25">
      <c r="M9424" s="34">
        <f t="shared" si="323"/>
        <v>0</v>
      </c>
    </row>
    <row r="9425" spans="13:13" x14ac:dyDescent="0.25">
      <c r="M9425" s="34">
        <f t="shared" si="323"/>
        <v>0</v>
      </c>
    </row>
    <row r="9426" spans="13:13" x14ac:dyDescent="0.25">
      <c r="M9426" s="34">
        <f t="shared" si="323"/>
        <v>0</v>
      </c>
    </row>
    <row r="9427" spans="13:13" x14ac:dyDescent="0.25">
      <c r="M9427" s="34">
        <f t="shared" si="323"/>
        <v>0</v>
      </c>
    </row>
    <row r="9428" spans="13:13" x14ac:dyDescent="0.25">
      <c r="M9428" s="34">
        <f t="shared" si="323"/>
        <v>0</v>
      </c>
    </row>
    <row r="9429" spans="13:13" x14ac:dyDescent="0.25">
      <c r="M9429" s="34">
        <f t="shared" si="323"/>
        <v>0</v>
      </c>
    </row>
    <row r="9430" spans="13:13" x14ac:dyDescent="0.25">
      <c r="M9430" s="34">
        <f t="shared" si="323"/>
        <v>0</v>
      </c>
    </row>
    <row r="9431" spans="13:13" x14ac:dyDescent="0.25">
      <c r="M9431" s="34">
        <f t="shared" si="323"/>
        <v>0</v>
      </c>
    </row>
    <row r="9432" spans="13:13" x14ac:dyDescent="0.25">
      <c r="M9432" s="34">
        <f t="shared" si="323"/>
        <v>0</v>
      </c>
    </row>
    <row r="9433" spans="13:13" x14ac:dyDescent="0.25">
      <c r="M9433" s="34">
        <f t="shared" si="323"/>
        <v>0</v>
      </c>
    </row>
    <row r="9434" spans="13:13" x14ac:dyDescent="0.25">
      <c r="M9434" s="34">
        <f t="shared" si="323"/>
        <v>0</v>
      </c>
    </row>
    <row r="9435" spans="13:13" x14ac:dyDescent="0.25">
      <c r="M9435" s="34">
        <f t="shared" si="323"/>
        <v>0</v>
      </c>
    </row>
    <row r="9436" spans="13:13" x14ac:dyDescent="0.25">
      <c r="M9436" s="34">
        <f t="shared" si="323"/>
        <v>0</v>
      </c>
    </row>
    <row r="9437" spans="13:13" x14ac:dyDescent="0.25">
      <c r="M9437" s="34">
        <f t="shared" si="323"/>
        <v>0</v>
      </c>
    </row>
    <row r="9438" spans="13:13" x14ac:dyDescent="0.25">
      <c r="M9438" s="34">
        <f t="shared" si="323"/>
        <v>0</v>
      </c>
    </row>
    <row r="9439" spans="13:13" x14ac:dyDescent="0.25">
      <c r="M9439" s="34">
        <f t="shared" si="323"/>
        <v>0</v>
      </c>
    </row>
    <row r="9440" spans="13:13" x14ac:dyDescent="0.25">
      <c r="M9440" s="34">
        <f t="shared" si="323"/>
        <v>0</v>
      </c>
    </row>
    <row r="9441" spans="13:13" x14ac:dyDescent="0.25">
      <c r="M9441" s="34">
        <f t="shared" si="323"/>
        <v>0</v>
      </c>
    </row>
    <row r="9442" spans="13:13" x14ac:dyDescent="0.25">
      <c r="M9442" s="34">
        <f t="shared" si="323"/>
        <v>0</v>
      </c>
    </row>
    <row r="9443" spans="13:13" x14ac:dyDescent="0.25">
      <c r="M9443" s="34">
        <f t="shared" si="323"/>
        <v>0</v>
      </c>
    </row>
    <row r="9444" spans="13:13" x14ac:dyDescent="0.25">
      <c r="M9444" s="34">
        <f t="shared" si="323"/>
        <v>0</v>
      </c>
    </row>
    <row r="9445" spans="13:13" x14ac:dyDescent="0.25">
      <c r="M9445" s="34">
        <f t="shared" si="323"/>
        <v>0</v>
      </c>
    </row>
    <row r="9446" spans="13:13" x14ac:dyDescent="0.25">
      <c r="M9446" s="34">
        <f t="shared" si="323"/>
        <v>0</v>
      </c>
    </row>
    <row r="9447" spans="13:13" x14ac:dyDescent="0.25">
      <c r="M9447" s="34">
        <f t="shared" si="323"/>
        <v>0</v>
      </c>
    </row>
    <row r="9448" spans="13:13" x14ac:dyDescent="0.25">
      <c r="M9448" s="34">
        <f t="shared" si="323"/>
        <v>0</v>
      </c>
    </row>
    <row r="9449" spans="13:13" x14ac:dyDescent="0.25">
      <c r="M9449" s="34">
        <f t="shared" si="323"/>
        <v>0</v>
      </c>
    </row>
    <row r="9450" spans="13:13" x14ac:dyDescent="0.25">
      <c r="M9450" s="34">
        <f t="shared" si="323"/>
        <v>0</v>
      </c>
    </row>
    <row r="9451" spans="13:13" x14ac:dyDescent="0.25">
      <c r="M9451" s="34">
        <f t="shared" si="323"/>
        <v>0</v>
      </c>
    </row>
    <row r="9452" spans="13:13" x14ac:dyDescent="0.25">
      <c r="M9452" s="34">
        <f t="shared" si="323"/>
        <v>0</v>
      </c>
    </row>
    <row r="9453" spans="13:13" x14ac:dyDescent="0.25">
      <c r="M9453" s="34">
        <f t="shared" si="323"/>
        <v>0</v>
      </c>
    </row>
    <row r="9454" spans="13:13" x14ac:dyDescent="0.25">
      <c r="M9454" s="34">
        <f t="shared" si="323"/>
        <v>0</v>
      </c>
    </row>
    <row r="9455" spans="13:13" x14ac:dyDescent="0.25">
      <c r="M9455" s="34">
        <f t="shared" si="323"/>
        <v>0</v>
      </c>
    </row>
    <row r="9456" spans="13:13" x14ac:dyDescent="0.25">
      <c r="M9456" s="34">
        <f t="shared" si="323"/>
        <v>0</v>
      </c>
    </row>
    <row r="9457" spans="13:13" x14ac:dyDescent="0.25">
      <c r="M9457" s="34">
        <f t="shared" si="323"/>
        <v>0</v>
      </c>
    </row>
    <row r="9458" spans="13:13" x14ac:dyDescent="0.25">
      <c r="M9458" s="34">
        <f t="shared" si="323"/>
        <v>0</v>
      </c>
    </row>
    <row r="9459" spans="13:13" x14ac:dyDescent="0.25">
      <c r="M9459" s="34">
        <f t="shared" si="323"/>
        <v>0</v>
      </c>
    </row>
    <row r="9460" spans="13:13" x14ac:dyDescent="0.25">
      <c r="M9460" s="34">
        <f t="shared" si="323"/>
        <v>0</v>
      </c>
    </row>
    <row r="9461" spans="13:13" x14ac:dyDescent="0.25">
      <c r="M9461" s="34">
        <f t="shared" si="323"/>
        <v>0</v>
      </c>
    </row>
    <row r="9462" spans="13:13" x14ac:dyDescent="0.25">
      <c r="M9462" s="34">
        <f t="shared" si="323"/>
        <v>0</v>
      </c>
    </row>
    <row r="9463" spans="13:13" x14ac:dyDescent="0.25">
      <c r="M9463" s="34">
        <f t="shared" si="323"/>
        <v>0</v>
      </c>
    </row>
    <row r="9464" spans="13:13" x14ac:dyDescent="0.25">
      <c r="M9464" s="34">
        <f t="shared" si="323"/>
        <v>0</v>
      </c>
    </row>
    <row r="9465" spans="13:13" x14ac:dyDescent="0.25">
      <c r="M9465" s="34">
        <f t="shared" si="323"/>
        <v>0</v>
      </c>
    </row>
    <row r="9466" spans="13:13" x14ac:dyDescent="0.25">
      <c r="M9466" s="34">
        <f t="shared" si="323"/>
        <v>0</v>
      </c>
    </row>
    <row r="9467" spans="13:13" x14ac:dyDescent="0.25">
      <c r="M9467" s="34">
        <f t="shared" si="323"/>
        <v>0</v>
      </c>
    </row>
    <row r="9468" spans="13:13" x14ac:dyDescent="0.25">
      <c r="M9468" s="34">
        <f t="shared" si="323"/>
        <v>0</v>
      </c>
    </row>
    <row r="9469" spans="13:13" x14ac:dyDescent="0.25">
      <c r="M9469" s="34">
        <f t="shared" si="323"/>
        <v>0</v>
      </c>
    </row>
    <row r="9470" spans="13:13" x14ac:dyDescent="0.25">
      <c r="M9470" s="34">
        <f t="shared" si="323"/>
        <v>0</v>
      </c>
    </row>
    <row r="9471" spans="13:13" x14ac:dyDescent="0.25">
      <c r="M9471" s="34">
        <f t="shared" si="323"/>
        <v>0</v>
      </c>
    </row>
    <row r="9472" spans="13:13" x14ac:dyDescent="0.25">
      <c r="M9472" s="34">
        <f t="shared" si="323"/>
        <v>0</v>
      </c>
    </row>
    <row r="9473" spans="13:13" x14ac:dyDescent="0.25">
      <c r="M9473" s="34">
        <f t="shared" si="323"/>
        <v>0</v>
      </c>
    </row>
    <row r="9474" spans="13:13" x14ac:dyDescent="0.25">
      <c r="M9474" s="34">
        <f t="shared" si="323"/>
        <v>0</v>
      </c>
    </row>
    <row r="9475" spans="13:13" x14ac:dyDescent="0.25">
      <c r="M9475" s="34">
        <f t="shared" ref="M9475:M9538" si="324">IF(AND(E9475="Chèque",G9475="RECETTE"),F9475,0)</f>
        <v>0</v>
      </c>
    </row>
    <row r="9476" spans="13:13" x14ac:dyDescent="0.25">
      <c r="M9476" s="34">
        <f t="shared" si="324"/>
        <v>0</v>
      </c>
    </row>
    <row r="9477" spans="13:13" x14ac:dyDescent="0.25">
      <c r="M9477" s="34">
        <f t="shared" si="324"/>
        <v>0</v>
      </c>
    </row>
    <row r="9478" spans="13:13" x14ac:dyDescent="0.25">
      <c r="M9478" s="34">
        <f t="shared" si="324"/>
        <v>0</v>
      </c>
    </row>
    <row r="9479" spans="13:13" x14ac:dyDescent="0.25">
      <c r="M9479" s="34">
        <f t="shared" si="324"/>
        <v>0</v>
      </c>
    </row>
    <row r="9480" spans="13:13" x14ac:dyDescent="0.25">
      <c r="M9480" s="34">
        <f t="shared" si="324"/>
        <v>0</v>
      </c>
    </row>
    <row r="9481" spans="13:13" x14ac:dyDescent="0.25">
      <c r="M9481" s="34">
        <f t="shared" si="324"/>
        <v>0</v>
      </c>
    </row>
    <row r="9482" spans="13:13" x14ac:dyDescent="0.25">
      <c r="M9482" s="34">
        <f t="shared" si="324"/>
        <v>0</v>
      </c>
    </row>
    <row r="9483" spans="13:13" x14ac:dyDescent="0.25">
      <c r="M9483" s="34">
        <f t="shared" si="324"/>
        <v>0</v>
      </c>
    </row>
    <row r="9484" spans="13:13" x14ac:dyDescent="0.25">
      <c r="M9484" s="34">
        <f t="shared" si="324"/>
        <v>0</v>
      </c>
    </row>
    <row r="9485" spans="13:13" x14ac:dyDescent="0.25">
      <c r="M9485" s="34">
        <f t="shared" si="324"/>
        <v>0</v>
      </c>
    </row>
    <row r="9486" spans="13:13" x14ac:dyDescent="0.25">
      <c r="M9486" s="34">
        <f t="shared" si="324"/>
        <v>0</v>
      </c>
    </row>
    <row r="9487" spans="13:13" x14ac:dyDescent="0.25">
      <c r="M9487" s="34">
        <f t="shared" si="324"/>
        <v>0</v>
      </c>
    </row>
    <row r="9488" spans="13:13" x14ac:dyDescent="0.25">
      <c r="M9488" s="34">
        <f t="shared" si="324"/>
        <v>0</v>
      </c>
    </row>
    <row r="9489" spans="13:13" x14ac:dyDescent="0.25">
      <c r="M9489" s="34">
        <f t="shared" si="324"/>
        <v>0</v>
      </c>
    </row>
    <row r="9490" spans="13:13" x14ac:dyDescent="0.25">
      <c r="M9490" s="34">
        <f t="shared" si="324"/>
        <v>0</v>
      </c>
    </row>
    <row r="9491" spans="13:13" x14ac:dyDescent="0.25">
      <c r="M9491" s="34">
        <f t="shared" si="324"/>
        <v>0</v>
      </c>
    </row>
    <row r="9492" spans="13:13" x14ac:dyDescent="0.25">
      <c r="M9492" s="34">
        <f t="shared" si="324"/>
        <v>0</v>
      </c>
    </row>
    <row r="9493" spans="13:13" x14ac:dyDescent="0.25">
      <c r="M9493" s="34">
        <f t="shared" si="324"/>
        <v>0</v>
      </c>
    </row>
    <row r="9494" spans="13:13" x14ac:dyDescent="0.25">
      <c r="M9494" s="34">
        <f t="shared" si="324"/>
        <v>0</v>
      </c>
    </row>
    <row r="9495" spans="13:13" x14ac:dyDescent="0.25">
      <c r="M9495" s="34">
        <f t="shared" si="324"/>
        <v>0</v>
      </c>
    </row>
    <row r="9496" spans="13:13" x14ac:dyDescent="0.25">
      <c r="M9496" s="34">
        <f t="shared" si="324"/>
        <v>0</v>
      </c>
    </row>
    <row r="9497" spans="13:13" x14ac:dyDescent="0.25">
      <c r="M9497" s="34">
        <f t="shared" si="324"/>
        <v>0</v>
      </c>
    </row>
    <row r="9498" spans="13:13" x14ac:dyDescent="0.25">
      <c r="M9498" s="34">
        <f t="shared" si="324"/>
        <v>0</v>
      </c>
    </row>
    <row r="9499" spans="13:13" x14ac:dyDescent="0.25">
      <c r="M9499" s="34">
        <f t="shared" si="324"/>
        <v>0</v>
      </c>
    </row>
    <row r="9500" spans="13:13" x14ac:dyDescent="0.25">
      <c r="M9500" s="34">
        <f t="shared" si="324"/>
        <v>0</v>
      </c>
    </row>
    <row r="9501" spans="13:13" x14ac:dyDescent="0.25">
      <c r="M9501" s="34">
        <f t="shared" si="324"/>
        <v>0</v>
      </c>
    </row>
    <row r="9502" spans="13:13" x14ac:dyDescent="0.25">
      <c r="M9502" s="34">
        <f t="shared" si="324"/>
        <v>0</v>
      </c>
    </row>
    <row r="9503" spans="13:13" x14ac:dyDescent="0.25">
      <c r="M9503" s="34">
        <f t="shared" si="324"/>
        <v>0</v>
      </c>
    </row>
    <row r="9504" spans="13:13" x14ac:dyDescent="0.25">
      <c r="M9504" s="34">
        <f t="shared" si="324"/>
        <v>0</v>
      </c>
    </row>
    <row r="9505" spans="13:13" x14ac:dyDescent="0.25">
      <c r="M9505" s="34">
        <f t="shared" si="324"/>
        <v>0</v>
      </c>
    </row>
    <row r="9506" spans="13:13" x14ac:dyDescent="0.25">
      <c r="M9506" s="34">
        <f t="shared" si="324"/>
        <v>0</v>
      </c>
    </row>
    <row r="9507" spans="13:13" x14ac:dyDescent="0.25">
      <c r="M9507" s="34">
        <f t="shared" si="324"/>
        <v>0</v>
      </c>
    </row>
    <row r="9508" spans="13:13" x14ac:dyDescent="0.25">
      <c r="M9508" s="34">
        <f t="shared" si="324"/>
        <v>0</v>
      </c>
    </row>
    <row r="9509" spans="13:13" x14ac:dyDescent="0.25">
      <c r="M9509" s="34">
        <f t="shared" si="324"/>
        <v>0</v>
      </c>
    </row>
    <row r="9510" spans="13:13" x14ac:dyDescent="0.25">
      <c r="M9510" s="34">
        <f t="shared" si="324"/>
        <v>0</v>
      </c>
    </row>
    <row r="9511" spans="13:13" x14ac:dyDescent="0.25">
      <c r="M9511" s="34">
        <f t="shared" si="324"/>
        <v>0</v>
      </c>
    </row>
    <row r="9512" spans="13:13" x14ac:dyDescent="0.25">
      <c r="M9512" s="34">
        <f t="shared" si="324"/>
        <v>0</v>
      </c>
    </row>
    <row r="9513" spans="13:13" x14ac:dyDescent="0.25">
      <c r="M9513" s="34">
        <f t="shared" si="324"/>
        <v>0</v>
      </c>
    </row>
    <row r="9514" spans="13:13" x14ac:dyDescent="0.25">
      <c r="M9514" s="34">
        <f t="shared" si="324"/>
        <v>0</v>
      </c>
    </row>
    <row r="9515" spans="13:13" x14ac:dyDescent="0.25">
      <c r="M9515" s="34">
        <f t="shared" si="324"/>
        <v>0</v>
      </c>
    </row>
    <row r="9516" spans="13:13" x14ac:dyDescent="0.25">
      <c r="M9516" s="34">
        <f t="shared" si="324"/>
        <v>0</v>
      </c>
    </row>
    <row r="9517" spans="13:13" x14ac:dyDescent="0.25">
      <c r="M9517" s="34">
        <f t="shared" si="324"/>
        <v>0</v>
      </c>
    </row>
    <row r="9518" spans="13:13" x14ac:dyDescent="0.25">
      <c r="M9518" s="34">
        <f t="shared" si="324"/>
        <v>0</v>
      </c>
    </row>
    <row r="9519" spans="13:13" x14ac:dyDescent="0.25">
      <c r="M9519" s="34">
        <f t="shared" si="324"/>
        <v>0</v>
      </c>
    </row>
    <row r="9520" spans="13:13" x14ac:dyDescent="0.25">
      <c r="M9520" s="34">
        <f t="shared" si="324"/>
        <v>0</v>
      </c>
    </row>
    <row r="9521" spans="13:13" x14ac:dyDescent="0.25">
      <c r="M9521" s="34">
        <f t="shared" si="324"/>
        <v>0</v>
      </c>
    </row>
    <row r="9522" spans="13:13" x14ac:dyDescent="0.25">
      <c r="M9522" s="34">
        <f t="shared" si="324"/>
        <v>0</v>
      </c>
    </row>
    <row r="9523" spans="13:13" x14ac:dyDescent="0.25">
      <c r="M9523" s="34">
        <f t="shared" si="324"/>
        <v>0</v>
      </c>
    </row>
    <row r="9524" spans="13:13" x14ac:dyDescent="0.25">
      <c r="M9524" s="34">
        <f t="shared" si="324"/>
        <v>0</v>
      </c>
    </row>
    <row r="9525" spans="13:13" x14ac:dyDescent="0.25">
      <c r="M9525" s="34">
        <f t="shared" si="324"/>
        <v>0</v>
      </c>
    </row>
    <row r="9526" spans="13:13" x14ac:dyDescent="0.25">
      <c r="M9526" s="34">
        <f t="shared" si="324"/>
        <v>0</v>
      </c>
    </row>
    <row r="9527" spans="13:13" x14ac:dyDescent="0.25">
      <c r="M9527" s="34">
        <f t="shared" si="324"/>
        <v>0</v>
      </c>
    </row>
    <row r="9528" spans="13:13" x14ac:dyDescent="0.25">
      <c r="M9528" s="34">
        <f t="shared" si="324"/>
        <v>0</v>
      </c>
    </row>
    <row r="9529" spans="13:13" x14ac:dyDescent="0.25">
      <c r="M9529" s="34">
        <f t="shared" si="324"/>
        <v>0</v>
      </c>
    </row>
    <row r="9530" spans="13:13" x14ac:dyDescent="0.25">
      <c r="M9530" s="34">
        <f t="shared" si="324"/>
        <v>0</v>
      </c>
    </row>
    <row r="9531" spans="13:13" x14ac:dyDescent="0.25">
      <c r="M9531" s="34">
        <f t="shared" si="324"/>
        <v>0</v>
      </c>
    </row>
    <row r="9532" spans="13:13" x14ac:dyDescent="0.25">
      <c r="M9532" s="34">
        <f t="shared" si="324"/>
        <v>0</v>
      </c>
    </row>
    <row r="9533" spans="13:13" x14ac:dyDescent="0.25">
      <c r="M9533" s="34">
        <f t="shared" si="324"/>
        <v>0</v>
      </c>
    </row>
    <row r="9534" spans="13:13" x14ac:dyDescent="0.25">
      <c r="M9534" s="34">
        <f t="shared" si="324"/>
        <v>0</v>
      </c>
    </row>
    <row r="9535" spans="13:13" x14ac:dyDescent="0.25">
      <c r="M9535" s="34">
        <f t="shared" si="324"/>
        <v>0</v>
      </c>
    </row>
    <row r="9536" spans="13:13" x14ac:dyDescent="0.25">
      <c r="M9536" s="34">
        <f t="shared" si="324"/>
        <v>0</v>
      </c>
    </row>
    <row r="9537" spans="13:13" x14ac:dyDescent="0.25">
      <c r="M9537" s="34">
        <f t="shared" si="324"/>
        <v>0</v>
      </c>
    </row>
    <row r="9538" spans="13:13" x14ac:dyDescent="0.25">
      <c r="M9538" s="34">
        <f t="shared" si="324"/>
        <v>0</v>
      </c>
    </row>
    <row r="9539" spans="13:13" x14ac:dyDescent="0.25">
      <c r="M9539" s="34">
        <f t="shared" ref="M9539:M9602" si="325">IF(AND(E9539="Chèque",G9539="RECETTE"),F9539,0)</f>
        <v>0</v>
      </c>
    </row>
    <row r="9540" spans="13:13" x14ac:dyDescent="0.25">
      <c r="M9540" s="34">
        <f t="shared" si="325"/>
        <v>0</v>
      </c>
    </row>
    <row r="9541" spans="13:13" x14ac:dyDescent="0.25">
      <c r="M9541" s="34">
        <f t="shared" si="325"/>
        <v>0</v>
      </c>
    </row>
    <row r="9542" spans="13:13" x14ac:dyDescent="0.25">
      <c r="M9542" s="34">
        <f t="shared" si="325"/>
        <v>0</v>
      </c>
    </row>
    <row r="9543" spans="13:13" x14ac:dyDescent="0.25">
      <c r="M9543" s="34">
        <f t="shared" si="325"/>
        <v>0</v>
      </c>
    </row>
    <row r="9544" spans="13:13" x14ac:dyDescent="0.25">
      <c r="M9544" s="34">
        <f t="shared" si="325"/>
        <v>0</v>
      </c>
    </row>
    <row r="9545" spans="13:13" x14ac:dyDescent="0.25">
      <c r="M9545" s="34">
        <f t="shared" si="325"/>
        <v>0</v>
      </c>
    </row>
    <row r="9546" spans="13:13" x14ac:dyDescent="0.25">
      <c r="M9546" s="34">
        <f t="shared" si="325"/>
        <v>0</v>
      </c>
    </row>
    <row r="9547" spans="13:13" x14ac:dyDescent="0.25">
      <c r="M9547" s="34">
        <f t="shared" si="325"/>
        <v>0</v>
      </c>
    </row>
    <row r="9548" spans="13:13" x14ac:dyDescent="0.25">
      <c r="M9548" s="34">
        <f t="shared" si="325"/>
        <v>0</v>
      </c>
    </row>
    <row r="9549" spans="13:13" x14ac:dyDescent="0.25">
      <c r="M9549" s="34">
        <f t="shared" si="325"/>
        <v>0</v>
      </c>
    </row>
    <row r="9550" spans="13:13" x14ac:dyDescent="0.25">
      <c r="M9550" s="34">
        <f t="shared" si="325"/>
        <v>0</v>
      </c>
    </row>
    <row r="9551" spans="13:13" x14ac:dyDescent="0.25">
      <c r="M9551" s="34">
        <f t="shared" si="325"/>
        <v>0</v>
      </c>
    </row>
    <row r="9552" spans="13:13" x14ac:dyDescent="0.25">
      <c r="M9552" s="34">
        <f t="shared" si="325"/>
        <v>0</v>
      </c>
    </row>
    <row r="9553" spans="13:13" x14ac:dyDescent="0.25">
      <c r="M9553" s="34">
        <f t="shared" si="325"/>
        <v>0</v>
      </c>
    </row>
    <row r="9554" spans="13:13" x14ac:dyDescent="0.25">
      <c r="M9554" s="34">
        <f t="shared" si="325"/>
        <v>0</v>
      </c>
    </row>
    <row r="9555" spans="13:13" x14ac:dyDescent="0.25">
      <c r="M9555" s="34">
        <f t="shared" si="325"/>
        <v>0</v>
      </c>
    </row>
    <row r="9556" spans="13:13" x14ac:dyDescent="0.25">
      <c r="M9556" s="34">
        <f t="shared" si="325"/>
        <v>0</v>
      </c>
    </row>
    <row r="9557" spans="13:13" x14ac:dyDescent="0.25">
      <c r="M9557" s="34">
        <f t="shared" si="325"/>
        <v>0</v>
      </c>
    </row>
    <row r="9558" spans="13:13" x14ac:dyDescent="0.25">
      <c r="M9558" s="34">
        <f t="shared" si="325"/>
        <v>0</v>
      </c>
    </row>
    <row r="9559" spans="13:13" x14ac:dyDescent="0.25">
      <c r="M9559" s="34">
        <f t="shared" si="325"/>
        <v>0</v>
      </c>
    </row>
    <row r="9560" spans="13:13" x14ac:dyDescent="0.25">
      <c r="M9560" s="34">
        <f t="shared" si="325"/>
        <v>0</v>
      </c>
    </row>
    <row r="9561" spans="13:13" x14ac:dyDescent="0.25">
      <c r="M9561" s="34">
        <f t="shared" si="325"/>
        <v>0</v>
      </c>
    </row>
    <row r="9562" spans="13:13" x14ac:dyDescent="0.25">
      <c r="M9562" s="34">
        <f t="shared" si="325"/>
        <v>0</v>
      </c>
    </row>
    <row r="9563" spans="13:13" x14ac:dyDescent="0.25">
      <c r="M9563" s="34">
        <f t="shared" si="325"/>
        <v>0</v>
      </c>
    </row>
    <row r="9564" spans="13:13" x14ac:dyDescent="0.25">
      <c r="M9564" s="34">
        <f t="shared" si="325"/>
        <v>0</v>
      </c>
    </row>
    <row r="9565" spans="13:13" x14ac:dyDescent="0.25">
      <c r="M9565" s="34">
        <f t="shared" si="325"/>
        <v>0</v>
      </c>
    </row>
    <row r="9566" spans="13:13" x14ac:dyDescent="0.25">
      <c r="M9566" s="34">
        <f t="shared" si="325"/>
        <v>0</v>
      </c>
    </row>
    <row r="9567" spans="13:13" x14ac:dyDescent="0.25">
      <c r="M9567" s="34">
        <f t="shared" si="325"/>
        <v>0</v>
      </c>
    </row>
    <row r="9568" spans="13:13" x14ac:dyDescent="0.25">
      <c r="M9568" s="34">
        <f t="shared" si="325"/>
        <v>0</v>
      </c>
    </row>
    <row r="9569" spans="13:13" x14ac:dyDescent="0.25">
      <c r="M9569" s="34">
        <f t="shared" si="325"/>
        <v>0</v>
      </c>
    </row>
    <row r="9570" spans="13:13" x14ac:dyDescent="0.25">
      <c r="M9570" s="34">
        <f t="shared" si="325"/>
        <v>0</v>
      </c>
    </row>
    <row r="9571" spans="13:13" x14ac:dyDescent="0.25">
      <c r="M9571" s="34">
        <f t="shared" si="325"/>
        <v>0</v>
      </c>
    </row>
    <row r="9572" spans="13:13" x14ac:dyDescent="0.25">
      <c r="M9572" s="34">
        <f t="shared" si="325"/>
        <v>0</v>
      </c>
    </row>
    <row r="9573" spans="13:13" x14ac:dyDescent="0.25">
      <c r="M9573" s="34">
        <f t="shared" si="325"/>
        <v>0</v>
      </c>
    </row>
    <row r="9574" spans="13:13" x14ac:dyDescent="0.25">
      <c r="M9574" s="34">
        <f t="shared" si="325"/>
        <v>0</v>
      </c>
    </row>
    <row r="9575" spans="13:13" x14ac:dyDescent="0.25">
      <c r="M9575" s="34">
        <f t="shared" si="325"/>
        <v>0</v>
      </c>
    </row>
    <row r="9576" spans="13:13" x14ac:dyDescent="0.25">
      <c r="M9576" s="34">
        <f t="shared" si="325"/>
        <v>0</v>
      </c>
    </row>
    <row r="9577" spans="13:13" x14ac:dyDescent="0.25">
      <c r="M9577" s="34">
        <f t="shared" si="325"/>
        <v>0</v>
      </c>
    </row>
    <row r="9578" spans="13:13" x14ac:dyDescent="0.25">
      <c r="M9578" s="34">
        <f t="shared" si="325"/>
        <v>0</v>
      </c>
    </row>
    <row r="9579" spans="13:13" x14ac:dyDescent="0.25">
      <c r="M9579" s="34">
        <f t="shared" si="325"/>
        <v>0</v>
      </c>
    </row>
    <row r="9580" spans="13:13" x14ac:dyDescent="0.25">
      <c r="M9580" s="34">
        <f t="shared" si="325"/>
        <v>0</v>
      </c>
    </row>
    <row r="9581" spans="13:13" x14ac:dyDescent="0.25">
      <c r="M9581" s="34">
        <f t="shared" si="325"/>
        <v>0</v>
      </c>
    </row>
    <row r="9582" spans="13:13" x14ac:dyDescent="0.25">
      <c r="M9582" s="34">
        <f t="shared" si="325"/>
        <v>0</v>
      </c>
    </row>
    <row r="9583" spans="13:13" x14ac:dyDescent="0.25">
      <c r="M9583" s="34">
        <f t="shared" si="325"/>
        <v>0</v>
      </c>
    </row>
    <row r="9584" spans="13:13" x14ac:dyDescent="0.25">
      <c r="M9584" s="34">
        <f t="shared" si="325"/>
        <v>0</v>
      </c>
    </row>
    <row r="9585" spans="13:13" x14ac:dyDescent="0.25">
      <c r="M9585" s="34">
        <f t="shared" si="325"/>
        <v>0</v>
      </c>
    </row>
    <row r="9586" spans="13:13" x14ac:dyDescent="0.25">
      <c r="M9586" s="34">
        <f t="shared" si="325"/>
        <v>0</v>
      </c>
    </row>
    <row r="9587" spans="13:13" x14ac:dyDescent="0.25">
      <c r="M9587" s="34">
        <f t="shared" si="325"/>
        <v>0</v>
      </c>
    </row>
    <row r="9588" spans="13:13" x14ac:dyDescent="0.25">
      <c r="M9588" s="34">
        <f t="shared" si="325"/>
        <v>0</v>
      </c>
    </row>
    <row r="9589" spans="13:13" x14ac:dyDescent="0.25">
      <c r="M9589" s="34">
        <f t="shared" si="325"/>
        <v>0</v>
      </c>
    </row>
    <row r="9590" spans="13:13" x14ac:dyDescent="0.25">
      <c r="M9590" s="34">
        <f t="shared" si="325"/>
        <v>0</v>
      </c>
    </row>
    <row r="9591" spans="13:13" x14ac:dyDescent="0.25">
      <c r="M9591" s="34">
        <f t="shared" si="325"/>
        <v>0</v>
      </c>
    </row>
    <row r="9592" spans="13:13" x14ac:dyDescent="0.25">
      <c r="M9592" s="34">
        <f t="shared" si="325"/>
        <v>0</v>
      </c>
    </row>
    <row r="9593" spans="13:13" x14ac:dyDescent="0.25">
      <c r="M9593" s="34">
        <f t="shared" si="325"/>
        <v>0</v>
      </c>
    </row>
    <row r="9594" spans="13:13" x14ac:dyDescent="0.25">
      <c r="M9594" s="34">
        <f t="shared" si="325"/>
        <v>0</v>
      </c>
    </row>
    <row r="9595" spans="13:13" x14ac:dyDescent="0.25">
      <c r="M9595" s="34">
        <f t="shared" si="325"/>
        <v>0</v>
      </c>
    </row>
    <row r="9596" spans="13:13" x14ac:dyDescent="0.25">
      <c r="M9596" s="34">
        <f t="shared" si="325"/>
        <v>0</v>
      </c>
    </row>
    <row r="9597" spans="13:13" x14ac:dyDescent="0.25">
      <c r="M9597" s="34">
        <f t="shared" si="325"/>
        <v>0</v>
      </c>
    </row>
    <row r="9598" spans="13:13" x14ac:dyDescent="0.25">
      <c r="M9598" s="34">
        <f t="shared" si="325"/>
        <v>0</v>
      </c>
    </row>
    <row r="9599" spans="13:13" x14ac:dyDescent="0.25">
      <c r="M9599" s="34">
        <f t="shared" si="325"/>
        <v>0</v>
      </c>
    </row>
    <row r="9600" spans="13:13" x14ac:dyDescent="0.25">
      <c r="M9600" s="34">
        <f t="shared" si="325"/>
        <v>0</v>
      </c>
    </row>
    <row r="9601" spans="13:13" x14ac:dyDescent="0.25">
      <c r="M9601" s="34">
        <f t="shared" si="325"/>
        <v>0</v>
      </c>
    </row>
    <row r="9602" spans="13:13" x14ac:dyDescent="0.25">
      <c r="M9602" s="34">
        <f t="shared" si="325"/>
        <v>0</v>
      </c>
    </row>
    <row r="9603" spans="13:13" x14ac:dyDescent="0.25">
      <c r="M9603" s="34">
        <f t="shared" ref="M9603:M9666" si="326">IF(AND(E9603="Chèque",G9603="RECETTE"),F9603,0)</f>
        <v>0</v>
      </c>
    </row>
    <row r="9604" spans="13:13" x14ac:dyDescent="0.25">
      <c r="M9604" s="34">
        <f t="shared" si="326"/>
        <v>0</v>
      </c>
    </row>
    <row r="9605" spans="13:13" x14ac:dyDescent="0.25">
      <c r="M9605" s="34">
        <f t="shared" si="326"/>
        <v>0</v>
      </c>
    </row>
    <row r="9606" spans="13:13" x14ac:dyDescent="0.25">
      <c r="M9606" s="34">
        <f t="shared" si="326"/>
        <v>0</v>
      </c>
    </row>
    <row r="9607" spans="13:13" x14ac:dyDescent="0.25">
      <c r="M9607" s="34">
        <f t="shared" si="326"/>
        <v>0</v>
      </c>
    </row>
    <row r="9608" spans="13:13" x14ac:dyDescent="0.25">
      <c r="M9608" s="34">
        <f t="shared" si="326"/>
        <v>0</v>
      </c>
    </row>
    <row r="9609" spans="13:13" x14ac:dyDescent="0.25">
      <c r="M9609" s="34">
        <f t="shared" si="326"/>
        <v>0</v>
      </c>
    </row>
    <row r="9610" spans="13:13" x14ac:dyDescent="0.25">
      <c r="M9610" s="34">
        <f t="shared" si="326"/>
        <v>0</v>
      </c>
    </row>
    <row r="9611" spans="13:13" x14ac:dyDescent="0.25">
      <c r="M9611" s="34">
        <f t="shared" si="326"/>
        <v>0</v>
      </c>
    </row>
    <row r="9612" spans="13:13" x14ac:dyDescent="0.25">
      <c r="M9612" s="34">
        <f t="shared" si="326"/>
        <v>0</v>
      </c>
    </row>
    <row r="9613" spans="13:13" x14ac:dyDescent="0.25">
      <c r="M9613" s="34">
        <f t="shared" si="326"/>
        <v>0</v>
      </c>
    </row>
    <row r="9614" spans="13:13" x14ac:dyDescent="0.25">
      <c r="M9614" s="34">
        <f t="shared" si="326"/>
        <v>0</v>
      </c>
    </row>
    <row r="9615" spans="13:13" x14ac:dyDescent="0.25">
      <c r="M9615" s="34">
        <f t="shared" si="326"/>
        <v>0</v>
      </c>
    </row>
    <row r="9616" spans="13:13" x14ac:dyDescent="0.25">
      <c r="M9616" s="34">
        <f t="shared" si="326"/>
        <v>0</v>
      </c>
    </row>
    <row r="9617" spans="13:13" x14ac:dyDescent="0.25">
      <c r="M9617" s="34">
        <f t="shared" si="326"/>
        <v>0</v>
      </c>
    </row>
    <row r="9618" spans="13:13" x14ac:dyDescent="0.25">
      <c r="M9618" s="34">
        <f t="shared" si="326"/>
        <v>0</v>
      </c>
    </row>
    <row r="9619" spans="13:13" x14ac:dyDescent="0.25">
      <c r="M9619" s="34">
        <f t="shared" si="326"/>
        <v>0</v>
      </c>
    </row>
    <row r="9620" spans="13:13" x14ac:dyDescent="0.25">
      <c r="M9620" s="34">
        <f t="shared" si="326"/>
        <v>0</v>
      </c>
    </row>
    <row r="9621" spans="13:13" x14ac:dyDescent="0.25">
      <c r="M9621" s="34">
        <f t="shared" si="326"/>
        <v>0</v>
      </c>
    </row>
    <row r="9622" spans="13:13" x14ac:dyDescent="0.25">
      <c r="M9622" s="34">
        <f t="shared" si="326"/>
        <v>0</v>
      </c>
    </row>
    <row r="9623" spans="13:13" x14ac:dyDescent="0.25">
      <c r="M9623" s="34">
        <f t="shared" si="326"/>
        <v>0</v>
      </c>
    </row>
    <row r="9624" spans="13:13" x14ac:dyDescent="0.25">
      <c r="M9624" s="34">
        <f t="shared" si="326"/>
        <v>0</v>
      </c>
    </row>
    <row r="9625" spans="13:13" x14ac:dyDescent="0.25">
      <c r="M9625" s="34">
        <f t="shared" si="326"/>
        <v>0</v>
      </c>
    </row>
    <row r="9626" spans="13:13" x14ac:dyDescent="0.25">
      <c r="M9626" s="34">
        <f t="shared" si="326"/>
        <v>0</v>
      </c>
    </row>
    <row r="9627" spans="13:13" x14ac:dyDescent="0.25">
      <c r="M9627" s="34">
        <f t="shared" si="326"/>
        <v>0</v>
      </c>
    </row>
    <row r="9628" spans="13:13" x14ac:dyDescent="0.25">
      <c r="M9628" s="34">
        <f t="shared" si="326"/>
        <v>0</v>
      </c>
    </row>
    <row r="9629" spans="13:13" x14ac:dyDescent="0.25">
      <c r="M9629" s="34">
        <f t="shared" si="326"/>
        <v>0</v>
      </c>
    </row>
    <row r="9630" spans="13:13" x14ac:dyDescent="0.25">
      <c r="M9630" s="34">
        <f t="shared" si="326"/>
        <v>0</v>
      </c>
    </row>
    <row r="9631" spans="13:13" x14ac:dyDescent="0.25">
      <c r="M9631" s="34">
        <f t="shared" si="326"/>
        <v>0</v>
      </c>
    </row>
    <row r="9632" spans="13:13" x14ac:dyDescent="0.25">
      <c r="M9632" s="34">
        <f t="shared" si="326"/>
        <v>0</v>
      </c>
    </row>
    <row r="9633" spans="13:13" x14ac:dyDescent="0.25">
      <c r="M9633" s="34">
        <f t="shared" si="326"/>
        <v>0</v>
      </c>
    </row>
    <row r="9634" spans="13:13" x14ac:dyDescent="0.25">
      <c r="M9634" s="34">
        <f t="shared" si="326"/>
        <v>0</v>
      </c>
    </row>
    <row r="9635" spans="13:13" x14ac:dyDescent="0.25">
      <c r="M9635" s="34">
        <f t="shared" si="326"/>
        <v>0</v>
      </c>
    </row>
    <row r="9636" spans="13:13" x14ac:dyDescent="0.25">
      <c r="M9636" s="34">
        <f t="shared" si="326"/>
        <v>0</v>
      </c>
    </row>
    <row r="9637" spans="13:13" x14ac:dyDescent="0.25">
      <c r="M9637" s="34">
        <f t="shared" si="326"/>
        <v>0</v>
      </c>
    </row>
    <row r="9638" spans="13:13" x14ac:dyDescent="0.25">
      <c r="M9638" s="34">
        <f t="shared" si="326"/>
        <v>0</v>
      </c>
    </row>
    <row r="9639" spans="13:13" x14ac:dyDescent="0.25">
      <c r="M9639" s="34">
        <f t="shared" si="326"/>
        <v>0</v>
      </c>
    </row>
    <row r="9640" spans="13:13" x14ac:dyDescent="0.25">
      <c r="M9640" s="34">
        <f t="shared" si="326"/>
        <v>0</v>
      </c>
    </row>
    <row r="9641" spans="13:13" x14ac:dyDescent="0.25">
      <c r="M9641" s="34">
        <f t="shared" si="326"/>
        <v>0</v>
      </c>
    </row>
    <row r="9642" spans="13:13" x14ac:dyDescent="0.25">
      <c r="M9642" s="34">
        <f t="shared" si="326"/>
        <v>0</v>
      </c>
    </row>
    <row r="9643" spans="13:13" x14ac:dyDescent="0.25">
      <c r="M9643" s="34">
        <f t="shared" si="326"/>
        <v>0</v>
      </c>
    </row>
    <row r="9644" spans="13:13" x14ac:dyDescent="0.25">
      <c r="M9644" s="34">
        <f t="shared" si="326"/>
        <v>0</v>
      </c>
    </row>
    <row r="9645" spans="13:13" x14ac:dyDescent="0.25">
      <c r="M9645" s="34">
        <f t="shared" si="326"/>
        <v>0</v>
      </c>
    </row>
    <row r="9646" spans="13:13" x14ac:dyDescent="0.25">
      <c r="M9646" s="34">
        <f t="shared" si="326"/>
        <v>0</v>
      </c>
    </row>
    <row r="9647" spans="13:13" x14ac:dyDescent="0.25">
      <c r="M9647" s="34">
        <f t="shared" si="326"/>
        <v>0</v>
      </c>
    </row>
    <row r="9648" spans="13:13" x14ac:dyDescent="0.25">
      <c r="M9648" s="34">
        <f t="shared" si="326"/>
        <v>0</v>
      </c>
    </row>
    <row r="9649" spans="13:13" x14ac:dyDescent="0.25">
      <c r="M9649" s="34">
        <f t="shared" si="326"/>
        <v>0</v>
      </c>
    </row>
    <row r="9650" spans="13:13" x14ac:dyDescent="0.25">
      <c r="M9650" s="34">
        <f t="shared" si="326"/>
        <v>0</v>
      </c>
    </row>
    <row r="9651" spans="13:13" x14ac:dyDescent="0.25">
      <c r="M9651" s="34">
        <f t="shared" si="326"/>
        <v>0</v>
      </c>
    </row>
    <row r="9652" spans="13:13" x14ac:dyDescent="0.25">
      <c r="M9652" s="34">
        <f t="shared" si="326"/>
        <v>0</v>
      </c>
    </row>
    <row r="9653" spans="13:13" x14ac:dyDescent="0.25">
      <c r="M9653" s="34">
        <f t="shared" si="326"/>
        <v>0</v>
      </c>
    </row>
    <row r="9654" spans="13:13" x14ac:dyDescent="0.25">
      <c r="M9654" s="34">
        <f t="shared" si="326"/>
        <v>0</v>
      </c>
    </row>
    <row r="9655" spans="13:13" x14ac:dyDescent="0.25">
      <c r="M9655" s="34">
        <f t="shared" si="326"/>
        <v>0</v>
      </c>
    </row>
    <row r="9656" spans="13:13" x14ac:dyDescent="0.25">
      <c r="M9656" s="34">
        <f t="shared" si="326"/>
        <v>0</v>
      </c>
    </row>
    <row r="9657" spans="13:13" x14ac:dyDescent="0.25">
      <c r="M9657" s="34">
        <f t="shared" si="326"/>
        <v>0</v>
      </c>
    </row>
    <row r="9658" spans="13:13" x14ac:dyDescent="0.25">
      <c r="M9658" s="34">
        <f t="shared" si="326"/>
        <v>0</v>
      </c>
    </row>
    <row r="9659" spans="13:13" x14ac:dyDescent="0.25">
      <c r="M9659" s="34">
        <f t="shared" si="326"/>
        <v>0</v>
      </c>
    </row>
    <row r="9660" spans="13:13" x14ac:dyDescent="0.25">
      <c r="M9660" s="34">
        <f t="shared" si="326"/>
        <v>0</v>
      </c>
    </row>
    <row r="9661" spans="13:13" x14ac:dyDescent="0.25">
      <c r="M9661" s="34">
        <f t="shared" si="326"/>
        <v>0</v>
      </c>
    </row>
    <row r="9662" spans="13:13" x14ac:dyDescent="0.25">
      <c r="M9662" s="34">
        <f t="shared" si="326"/>
        <v>0</v>
      </c>
    </row>
    <row r="9663" spans="13:13" x14ac:dyDescent="0.25">
      <c r="M9663" s="34">
        <f t="shared" si="326"/>
        <v>0</v>
      </c>
    </row>
    <row r="9664" spans="13:13" x14ac:dyDescent="0.25">
      <c r="M9664" s="34">
        <f t="shared" si="326"/>
        <v>0</v>
      </c>
    </row>
    <row r="9665" spans="13:13" x14ac:dyDescent="0.25">
      <c r="M9665" s="34">
        <f t="shared" si="326"/>
        <v>0</v>
      </c>
    </row>
    <row r="9666" spans="13:13" x14ac:dyDescent="0.25">
      <c r="M9666" s="34">
        <f t="shared" si="326"/>
        <v>0</v>
      </c>
    </row>
    <row r="9667" spans="13:13" x14ac:dyDescent="0.25">
      <c r="M9667" s="34">
        <f t="shared" ref="M9667:M9730" si="327">IF(AND(E9667="Chèque",G9667="RECETTE"),F9667,0)</f>
        <v>0</v>
      </c>
    </row>
    <row r="9668" spans="13:13" x14ac:dyDescent="0.25">
      <c r="M9668" s="34">
        <f t="shared" si="327"/>
        <v>0</v>
      </c>
    </row>
    <row r="9669" spans="13:13" x14ac:dyDescent="0.25">
      <c r="M9669" s="34">
        <f t="shared" si="327"/>
        <v>0</v>
      </c>
    </row>
    <row r="9670" spans="13:13" x14ac:dyDescent="0.25">
      <c r="M9670" s="34">
        <f t="shared" si="327"/>
        <v>0</v>
      </c>
    </row>
    <row r="9671" spans="13:13" x14ac:dyDescent="0.25">
      <c r="M9671" s="34">
        <f t="shared" si="327"/>
        <v>0</v>
      </c>
    </row>
    <row r="9672" spans="13:13" x14ac:dyDescent="0.25">
      <c r="M9672" s="34">
        <f t="shared" si="327"/>
        <v>0</v>
      </c>
    </row>
    <row r="9673" spans="13:13" x14ac:dyDescent="0.25">
      <c r="M9673" s="34">
        <f t="shared" si="327"/>
        <v>0</v>
      </c>
    </row>
    <row r="9674" spans="13:13" x14ac:dyDescent="0.25">
      <c r="M9674" s="34">
        <f t="shared" si="327"/>
        <v>0</v>
      </c>
    </row>
    <row r="9675" spans="13:13" x14ac:dyDescent="0.25">
      <c r="M9675" s="34">
        <f t="shared" si="327"/>
        <v>0</v>
      </c>
    </row>
    <row r="9676" spans="13:13" x14ac:dyDescent="0.25">
      <c r="M9676" s="34">
        <f t="shared" si="327"/>
        <v>0</v>
      </c>
    </row>
    <row r="9677" spans="13:13" x14ac:dyDescent="0.25">
      <c r="M9677" s="34">
        <f t="shared" si="327"/>
        <v>0</v>
      </c>
    </row>
    <row r="9678" spans="13:13" x14ac:dyDescent="0.25">
      <c r="M9678" s="34">
        <f t="shared" si="327"/>
        <v>0</v>
      </c>
    </row>
    <row r="9679" spans="13:13" x14ac:dyDescent="0.25">
      <c r="M9679" s="34">
        <f t="shared" si="327"/>
        <v>0</v>
      </c>
    </row>
    <row r="9680" spans="13:13" x14ac:dyDescent="0.25">
      <c r="M9680" s="34">
        <f t="shared" si="327"/>
        <v>0</v>
      </c>
    </row>
    <row r="9681" spans="13:13" x14ac:dyDescent="0.25">
      <c r="M9681" s="34">
        <f t="shared" si="327"/>
        <v>0</v>
      </c>
    </row>
    <row r="9682" spans="13:13" x14ac:dyDescent="0.25">
      <c r="M9682" s="34">
        <f t="shared" si="327"/>
        <v>0</v>
      </c>
    </row>
    <row r="9683" spans="13:13" x14ac:dyDescent="0.25">
      <c r="M9683" s="34">
        <f t="shared" si="327"/>
        <v>0</v>
      </c>
    </row>
    <row r="9684" spans="13:13" x14ac:dyDescent="0.25">
      <c r="M9684" s="34">
        <f t="shared" si="327"/>
        <v>0</v>
      </c>
    </row>
    <row r="9685" spans="13:13" x14ac:dyDescent="0.25">
      <c r="M9685" s="34">
        <f t="shared" si="327"/>
        <v>0</v>
      </c>
    </row>
    <row r="9686" spans="13:13" x14ac:dyDescent="0.25">
      <c r="M9686" s="34">
        <f t="shared" si="327"/>
        <v>0</v>
      </c>
    </row>
    <row r="9687" spans="13:13" x14ac:dyDescent="0.25">
      <c r="M9687" s="34">
        <f t="shared" si="327"/>
        <v>0</v>
      </c>
    </row>
    <row r="9688" spans="13:13" x14ac:dyDescent="0.25">
      <c r="M9688" s="34">
        <f t="shared" si="327"/>
        <v>0</v>
      </c>
    </row>
    <row r="9689" spans="13:13" x14ac:dyDescent="0.25">
      <c r="M9689" s="34">
        <f t="shared" si="327"/>
        <v>0</v>
      </c>
    </row>
    <row r="9690" spans="13:13" x14ac:dyDescent="0.25">
      <c r="M9690" s="34">
        <f t="shared" si="327"/>
        <v>0</v>
      </c>
    </row>
    <row r="9691" spans="13:13" x14ac:dyDescent="0.25">
      <c r="M9691" s="34">
        <f t="shared" si="327"/>
        <v>0</v>
      </c>
    </row>
    <row r="9692" spans="13:13" x14ac:dyDescent="0.25">
      <c r="M9692" s="34">
        <f t="shared" si="327"/>
        <v>0</v>
      </c>
    </row>
    <row r="9693" spans="13:13" x14ac:dyDescent="0.25">
      <c r="M9693" s="34">
        <f t="shared" si="327"/>
        <v>0</v>
      </c>
    </row>
    <row r="9694" spans="13:13" x14ac:dyDescent="0.25">
      <c r="M9694" s="34">
        <f t="shared" si="327"/>
        <v>0</v>
      </c>
    </row>
    <row r="9695" spans="13:13" x14ac:dyDescent="0.25">
      <c r="M9695" s="34">
        <f t="shared" si="327"/>
        <v>0</v>
      </c>
    </row>
    <row r="9696" spans="13:13" x14ac:dyDescent="0.25">
      <c r="M9696" s="34">
        <f t="shared" si="327"/>
        <v>0</v>
      </c>
    </row>
    <row r="9697" spans="13:13" x14ac:dyDescent="0.25">
      <c r="M9697" s="34">
        <f t="shared" si="327"/>
        <v>0</v>
      </c>
    </row>
    <row r="9698" spans="13:13" x14ac:dyDescent="0.25">
      <c r="M9698" s="34">
        <f t="shared" si="327"/>
        <v>0</v>
      </c>
    </row>
    <row r="9699" spans="13:13" x14ac:dyDescent="0.25">
      <c r="M9699" s="34">
        <f t="shared" si="327"/>
        <v>0</v>
      </c>
    </row>
    <row r="9700" spans="13:13" x14ac:dyDescent="0.25">
      <c r="M9700" s="34">
        <f t="shared" si="327"/>
        <v>0</v>
      </c>
    </row>
    <row r="9701" spans="13:13" x14ac:dyDescent="0.25">
      <c r="M9701" s="34">
        <f t="shared" si="327"/>
        <v>0</v>
      </c>
    </row>
    <row r="9702" spans="13:13" x14ac:dyDescent="0.25">
      <c r="M9702" s="34">
        <f t="shared" si="327"/>
        <v>0</v>
      </c>
    </row>
    <row r="9703" spans="13:13" x14ac:dyDescent="0.25">
      <c r="M9703" s="34">
        <f t="shared" si="327"/>
        <v>0</v>
      </c>
    </row>
    <row r="9704" spans="13:13" x14ac:dyDescent="0.25">
      <c r="M9704" s="34">
        <f t="shared" si="327"/>
        <v>0</v>
      </c>
    </row>
    <row r="9705" spans="13:13" x14ac:dyDescent="0.25">
      <c r="M9705" s="34">
        <f t="shared" si="327"/>
        <v>0</v>
      </c>
    </row>
    <row r="9706" spans="13:13" x14ac:dyDescent="0.25">
      <c r="M9706" s="34">
        <f t="shared" si="327"/>
        <v>0</v>
      </c>
    </row>
    <row r="9707" spans="13:13" x14ac:dyDescent="0.25">
      <c r="M9707" s="34">
        <f t="shared" si="327"/>
        <v>0</v>
      </c>
    </row>
    <row r="9708" spans="13:13" x14ac:dyDescent="0.25">
      <c r="M9708" s="34">
        <f t="shared" si="327"/>
        <v>0</v>
      </c>
    </row>
    <row r="9709" spans="13:13" x14ac:dyDescent="0.25">
      <c r="M9709" s="34">
        <f t="shared" si="327"/>
        <v>0</v>
      </c>
    </row>
    <row r="9710" spans="13:13" x14ac:dyDescent="0.25">
      <c r="M9710" s="34">
        <f t="shared" si="327"/>
        <v>0</v>
      </c>
    </row>
    <row r="9711" spans="13:13" x14ac:dyDescent="0.25">
      <c r="M9711" s="34">
        <f t="shared" si="327"/>
        <v>0</v>
      </c>
    </row>
    <row r="9712" spans="13:13" x14ac:dyDescent="0.25">
      <c r="M9712" s="34">
        <f t="shared" si="327"/>
        <v>0</v>
      </c>
    </row>
    <row r="9713" spans="13:13" x14ac:dyDescent="0.25">
      <c r="M9713" s="34">
        <f t="shared" si="327"/>
        <v>0</v>
      </c>
    </row>
    <row r="9714" spans="13:13" x14ac:dyDescent="0.25">
      <c r="M9714" s="34">
        <f t="shared" si="327"/>
        <v>0</v>
      </c>
    </row>
    <row r="9715" spans="13:13" x14ac:dyDescent="0.25">
      <c r="M9715" s="34">
        <f t="shared" si="327"/>
        <v>0</v>
      </c>
    </row>
    <row r="9716" spans="13:13" x14ac:dyDescent="0.25">
      <c r="M9716" s="34">
        <f t="shared" si="327"/>
        <v>0</v>
      </c>
    </row>
    <row r="9717" spans="13:13" x14ac:dyDescent="0.25">
      <c r="M9717" s="34">
        <f t="shared" si="327"/>
        <v>0</v>
      </c>
    </row>
    <row r="9718" spans="13:13" x14ac:dyDescent="0.25">
      <c r="M9718" s="34">
        <f t="shared" si="327"/>
        <v>0</v>
      </c>
    </row>
    <row r="9719" spans="13:13" x14ac:dyDescent="0.25">
      <c r="M9719" s="34">
        <f t="shared" si="327"/>
        <v>0</v>
      </c>
    </row>
    <row r="9720" spans="13:13" x14ac:dyDescent="0.25">
      <c r="M9720" s="34">
        <f t="shared" si="327"/>
        <v>0</v>
      </c>
    </row>
    <row r="9721" spans="13:13" x14ac:dyDescent="0.25">
      <c r="M9721" s="34">
        <f t="shared" si="327"/>
        <v>0</v>
      </c>
    </row>
    <row r="9722" spans="13:13" x14ac:dyDescent="0.25">
      <c r="M9722" s="34">
        <f t="shared" si="327"/>
        <v>0</v>
      </c>
    </row>
    <row r="9723" spans="13:13" x14ac:dyDescent="0.25">
      <c r="M9723" s="34">
        <f t="shared" si="327"/>
        <v>0</v>
      </c>
    </row>
    <row r="9724" spans="13:13" x14ac:dyDescent="0.25">
      <c r="M9724" s="34">
        <f t="shared" si="327"/>
        <v>0</v>
      </c>
    </row>
    <row r="9725" spans="13:13" x14ac:dyDescent="0.25">
      <c r="M9725" s="34">
        <f t="shared" si="327"/>
        <v>0</v>
      </c>
    </row>
    <row r="9726" spans="13:13" x14ac:dyDescent="0.25">
      <c r="M9726" s="34">
        <f t="shared" si="327"/>
        <v>0</v>
      </c>
    </row>
    <row r="9727" spans="13:13" x14ac:dyDescent="0.25">
      <c r="M9727" s="34">
        <f t="shared" si="327"/>
        <v>0</v>
      </c>
    </row>
    <row r="9728" spans="13:13" x14ac:dyDescent="0.25">
      <c r="M9728" s="34">
        <f t="shared" si="327"/>
        <v>0</v>
      </c>
    </row>
    <row r="9729" spans="13:13" x14ac:dyDescent="0.25">
      <c r="M9729" s="34">
        <f t="shared" si="327"/>
        <v>0</v>
      </c>
    </row>
    <row r="9730" spans="13:13" x14ac:dyDescent="0.25">
      <c r="M9730" s="34">
        <f t="shared" si="327"/>
        <v>0</v>
      </c>
    </row>
    <row r="9731" spans="13:13" x14ac:dyDescent="0.25">
      <c r="M9731" s="34">
        <f t="shared" ref="M9731:M9794" si="328">IF(AND(E9731="Chèque",G9731="RECETTE"),F9731,0)</f>
        <v>0</v>
      </c>
    </row>
    <row r="9732" spans="13:13" x14ac:dyDescent="0.25">
      <c r="M9732" s="34">
        <f t="shared" si="328"/>
        <v>0</v>
      </c>
    </row>
    <row r="9733" spans="13:13" x14ac:dyDescent="0.25">
      <c r="M9733" s="34">
        <f t="shared" si="328"/>
        <v>0</v>
      </c>
    </row>
    <row r="9734" spans="13:13" x14ac:dyDescent="0.25">
      <c r="M9734" s="34">
        <f t="shared" si="328"/>
        <v>0</v>
      </c>
    </row>
    <row r="9735" spans="13:13" x14ac:dyDescent="0.25">
      <c r="M9735" s="34">
        <f t="shared" si="328"/>
        <v>0</v>
      </c>
    </row>
    <row r="9736" spans="13:13" x14ac:dyDescent="0.25">
      <c r="M9736" s="34">
        <f t="shared" si="328"/>
        <v>0</v>
      </c>
    </row>
    <row r="9737" spans="13:13" x14ac:dyDescent="0.25">
      <c r="M9737" s="34">
        <f t="shared" si="328"/>
        <v>0</v>
      </c>
    </row>
    <row r="9738" spans="13:13" x14ac:dyDescent="0.25">
      <c r="M9738" s="34">
        <f t="shared" si="328"/>
        <v>0</v>
      </c>
    </row>
    <row r="9739" spans="13:13" x14ac:dyDescent="0.25">
      <c r="M9739" s="34">
        <f t="shared" si="328"/>
        <v>0</v>
      </c>
    </row>
    <row r="9740" spans="13:13" x14ac:dyDescent="0.25">
      <c r="M9740" s="34">
        <f t="shared" si="328"/>
        <v>0</v>
      </c>
    </row>
    <row r="9741" spans="13:13" x14ac:dyDescent="0.25">
      <c r="M9741" s="34">
        <f t="shared" si="328"/>
        <v>0</v>
      </c>
    </row>
    <row r="9742" spans="13:13" x14ac:dyDescent="0.25">
      <c r="M9742" s="34">
        <f t="shared" si="328"/>
        <v>0</v>
      </c>
    </row>
    <row r="9743" spans="13:13" x14ac:dyDescent="0.25">
      <c r="M9743" s="34">
        <f t="shared" si="328"/>
        <v>0</v>
      </c>
    </row>
    <row r="9744" spans="13:13" x14ac:dyDescent="0.25">
      <c r="M9744" s="34">
        <f t="shared" si="328"/>
        <v>0</v>
      </c>
    </row>
    <row r="9745" spans="13:13" x14ac:dyDescent="0.25">
      <c r="M9745" s="34">
        <f t="shared" si="328"/>
        <v>0</v>
      </c>
    </row>
    <row r="9746" spans="13:13" x14ac:dyDescent="0.25">
      <c r="M9746" s="34">
        <f t="shared" si="328"/>
        <v>0</v>
      </c>
    </row>
    <row r="9747" spans="13:13" x14ac:dyDescent="0.25">
      <c r="M9747" s="34">
        <f t="shared" si="328"/>
        <v>0</v>
      </c>
    </row>
    <row r="9748" spans="13:13" x14ac:dyDescent="0.25">
      <c r="M9748" s="34">
        <f t="shared" si="328"/>
        <v>0</v>
      </c>
    </row>
    <row r="9749" spans="13:13" x14ac:dyDescent="0.25">
      <c r="M9749" s="34">
        <f t="shared" si="328"/>
        <v>0</v>
      </c>
    </row>
    <row r="9750" spans="13:13" x14ac:dyDescent="0.25">
      <c r="M9750" s="34">
        <f t="shared" si="328"/>
        <v>0</v>
      </c>
    </row>
    <row r="9751" spans="13:13" x14ac:dyDescent="0.25">
      <c r="M9751" s="34">
        <f t="shared" si="328"/>
        <v>0</v>
      </c>
    </row>
    <row r="9752" spans="13:13" x14ac:dyDescent="0.25">
      <c r="M9752" s="34">
        <f t="shared" si="328"/>
        <v>0</v>
      </c>
    </row>
    <row r="9753" spans="13:13" x14ac:dyDescent="0.25">
      <c r="M9753" s="34">
        <f t="shared" si="328"/>
        <v>0</v>
      </c>
    </row>
    <row r="9754" spans="13:13" x14ac:dyDescent="0.25">
      <c r="M9754" s="34">
        <f t="shared" si="328"/>
        <v>0</v>
      </c>
    </row>
    <row r="9755" spans="13:13" x14ac:dyDescent="0.25">
      <c r="M9755" s="34">
        <f t="shared" si="328"/>
        <v>0</v>
      </c>
    </row>
    <row r="9756" spans="13:13" x14ac:dyDescent="0.25">
      <c r="M9756" s="34">
        <f t="shared" si="328"/>
        <v>0</v>
      </c>
    </row>
    <row r="9757" spans="13:13" x14ac:dyDescent="0.25">
      <c r="M9757" s="34">
        <f t="shared" si="328"/>
        <v>0</v>
      </c>
    </row>
    <row r="9758" spans="13:13" x14ac:dyDescent="0.25">
      <c r="M9758" s="34">
        <f t="shared" si="328"/>
        <v>0</v>
      </c>
    </row>
    <row r="9759" spans="13:13" x14ac:dyDescent="0.25">
      <c r="M9759" s="34">
        <f t="shared" si="328"/>
        <v>0</v>
      </c>
    </row>
    <row r="9760" spans="13:13" x14ac:dyDescent="0.25">
      <c r="M9760" s="34">
        <f t="shared" si="328"/>
        <v>0</v>
      </c>
    </row>
    <row r="9761" spans="13:13" x14ac:dyDescent="0.25">
      <c r="M9761" s="34">
        <f t="shared" si="328"/>
        <v>0</v>
      </c>
    </row>
    <row r="9762" spans="13:13" x14ac:dyDescent="0.25">
      <c r="M9762" s="34">
        <f t="shared" si="328"/>
        <v>0</v>
      </c>
    </row>
    <row r="9763" spans="13:13" x14ac:dyDescent="0.25">
      <c r="M9763" s="34">
        <f t="shared" si="328"/>
        <v>0</v>
      </c>
    </row>
    <row r="9764" spans="13:13" x14ac:dyDescent="0.25">
      <c r="M9764" s="34">
        <f t="shared" si="328"/>
        <v>0</v>
      </c>
    </row>
    <row r="9765" spans="13:13" x14ac:dyDescent="0.25">
      <c r="M9765" s="34">
        <f t="shared" si="328"/>
        <v>0</v>
      </c>
    </row>
    <row r="9766" spans="13:13" x14ac:dyDescent="0.25">
      <c r="M9766" s="34">
        <f t="shared" si="328"/>
        <v>0</v>
      </c>
    </row>
    <row r="9767" spans="13:13" x14ac:dyDescent="0.25">
      <c r="M9767" s="34">
        <f t="shared" si="328"/>
        <v>0</v>
      </c>
    </row>
    <row r="9768" spans="13:13" x14ac:dyDescent="0.25">
      <c r="M9768" s="34">
        <f t="shared" si="328"/>
        <v>0</v>
      </c>
    </row>
    <row r="9769" spans="13:13" x14ac:dyDescent="0.25">
      <c r="M9769" s="34">
        <f t="shared" si="328"/>
        <v>0</v>
      </c>
    </row>
    <row r="9770" spans="13:13" x14ac:dyDescent="0.25">
      <c r="M9770" s="34">
        <f t="shared" si="328"/>
        <v>0</v>
      </c>
    </row>
    <row r="9771" spans="13:13" x14ac:dyDescent="0.25">
      <c r="M9771" s="34">
        <f t="shared" si="328"/>
        <v>0</v>
      </c>
    </row>
    <row r="9772" spans="13:13" x14ac:dyDescent="0.25">
      <c r="M9772" s="34">
        <f t="shared" si="328"/>
        <v>0</v>
      </c>
    </row>
    <row r="9773" spans="13:13" x14ac:dyDescent="0.25">
      <c r="M9773" s="34">
        <f t="shared" si="328"/>
        <v>0</v>
      </c>
    </row>
    <row r="9774" spans="13:13" x14ac:dyDescent="0.25">
      <c r="M9774" s="34">
        <f t="shared" si="328"/>
        <v>0</v>
      </c>
    </row>
    <row r="9775" spans="13:13" x14ac:dyDescent="0.25">
      <c r="M9775" s="34">
        <f t="shared" si="328"/>
        <v>0</v>
      </c>
    </row>
    <row r="9776" spans="13:13" x14ac:dyDescent="0.25">
      <c r="M9776" s="34">
        <f t="shared" si="328"/>
        <v>0</v>
      </c>
    </row>
    <row r="9777" spans="13:13" x14ac:dyDescent="0.25">
      <c r="M9777" s="34">
        <f t="shared" si="328"/>
        <v>0</v>
      </c>
    </row>
    <row r="9778" spans="13:13" x14ac:dyDescent="0.25">
      <c r="M9778" s="34">
        <f t="shared" si="328"/>
        <v>0</v>
      </c>
    </row>
    <row r="9779" spans="13:13" x14ac:dyDescent="0.25">
      <c r="M9779" s="34">
        <f t="shared" si="328"/>
        <v>0</v>
      </c>
    </row>
    <row r="9780" spans="13:13" x14ac:dyDescent="0.25">
      <c r="M9780" s="34">
        <f t="shared" si="328"/>
        <v>0</v>
      </c>
    </row>
    <row r="9781" spans="13:13" x14ac:dyDescent="0.25">
      <c r="M9781" s="34">
        <f t="shared" si="328"/>
        <v>0</v>
      </c>
    </row>
    <row r="9782" spans="13:13" x14ac:dyDescent="0.25">
      <c r="M9782" s="34">
        <f t="shared" si="328"/>
        <v>0</v>
      </c>
    </row>
    <row r="9783" spans="13:13" x14ac:dyDescent="0.25">
      <c r="M9783" s="34">
        <f t="shared" si="328"/>
        <v>0</v>
      </c>
    </row>
    <row r="9784" spans="13:13" x14ac:dyDescent="0.25">
      <c r="M9784" s="34">
        <f t="shared" si="328"/>
        <v>0</v>
      </c>
    </row>
    <row r="9785" spans="13:13" x14ac:dyDescent="0.25">
      <c r="M9785" s="34">
        <f t="shared" si="328"/>
        <v>0</v>
      </c>
    </row>
    <row r="9786" spans="13:13" x14ac:dyDescent="0.25">
      <c r="M9786" s="34">
        <f t="shared" si="328"/>
        <v>0</v>
      </c>
    </row>
    <row r="9787" spans="13:13" x14ac:dyDescent="0.25">
      <c r="M9787" s="34">
        <f t="shared" si="328"/>
        <v>0</v>
      </c>
    </row>
    <row r="9788" spans="13:13" x14ac:dyDescent="0.25">
      <c r="M9788" s="34">
        <f t="shared" si="328"/>
        <v>0</v>
      </c>
    </row>
    <row r="9789" spans="13:13" x14ac:dyDescent="0.25">
      <c r="M9789" s="34">
        <f t="shared" si="328"/>
        <v>0</v>
      </c>
    </row>
    <row r="9790" spans="13:13" x14ac:dyDescent="0.25">
      <c r="M9790" s="34">
        <f t="shared" si="328"/>
        <v>0</v>
      </c>
    </row>
    <row r="9791" spans="13:13" x14ac:dyDescent="0.25">
      <c r="M9791" s="34">
        <f t="shared" si="328"/>
        <v>0</v>
      </c>
    </row>
    <row r="9792" spans="13:13" x14ac:dyDescent="0.25">
      <c r="M9792" s="34">
        <f t="shared" si="328"/>
        <v>0</v>
      </c>
    </row>
    <row r="9793" spans="13:13" x14ac:dyDescent="0.25">
      <c r="M9793" s="34">
        <f t="shared" si="328"/>
        <v>0</v>
      </c>
    </row>
    <row r="9794" spans="13:13" x14ac:dyDescent="0.25">
      <c r="M9794" s="34">
        <f t="shared" si="328"/>
        <v>0</v>
      </c>
    </row>
    <row r="9795" spans="13:13" x14ac:dyDescent="0.25">
      <c r="M9795" s="34">
        <f t="shared" ref="M9795:M9858" si="329">IF(AND(E9795="Chèque",G9795="RECETTE"),F9795,0)</f>
        <v>0</v>
      </c>
    </row>
    <row r="9796" spans="13:13" x14ac:dyDescent="0.25">
      <c r="M9796" s="34">
        <f t="shared" si="329"/>
        <v>0</v>
      </c>
    </row>
    <row r="9797" spans="13:13" x14ac:dyDescent="0.25">
      <c r="M9797" s="34">
        <f t="shared" si="329"/>
        <v>0</v>
      </c>
    </row>
    <row r="9798" spans="13:13" x14ac:dyDescent="0.25">
      <c r="M9798" s="34">
        <f t="shared" si="329"/>
        <v>0</v>
      </c>
    </row>
    <row r="9799" spans="13:13" x14ac:dyDescent="0.25">
      <c r="M9799" s="34">
        <f t="shared" si="329"/>
        <v>0</v>
      </c>
    </row>
    <row r="9800" spans="13:13" x14ac:dyDescent="0.25">
      <c r="M9800" s="34">
        <f t="shared" si="329"/>
        <v>0</v>
      </c>
    </row>
    <row r="9801" spans="13:13" x14ac:dyDescent="0.25">
      <c r="M9801" s="34">
        <f t="shared" si="329"/>
        <v>0</v>
      </c>
    </row>
    <row r="9802" spans="13:13" x14ac:dyDescent="0.25">
      <c r="M9802" s="34">
        <f t="shared" si="329"/>
        <v>0</v>
      </c>
    </row>
    <row r="9803" spans="13:13" x14ac:dyDescent="0.25">
      <c r="M9803" s="34">
        <f t="shared" si="329"/>
        <v>0</v>
      </c>
    </row>
    <row r="9804" spans="13:13" x14ac:dyDescent="0.25">
      <c r="M9804" s="34">
        <f t="shared" si="329"/>
        <v>0</v>
      </c>
    </row>
    <row r="9805" spans="13:13" x14ac:dyDescent="0.25">
      <c r="M9805" s="34">
        <f t="shared" si="329"/>
        <v>0</v>
      </c>
    </row>
    <row r="9806" spans="13:13" x14ac:dyDescent="0.25">
      <c r="M9806" s="34">
        <f t="shared" si="329"/>
        <v>0</v>
      </c>
    </row>
    <row r="9807" spans="13:13" x14ac:dyDescent="0.25">
      <c r="M9807" s="34">
        <f t="shared" si="329"/>
        <v>0</v>
      </c>
    </row>
    <row r="9808" spans="13:13" x14ac:dyDescent="0.25">
      <c r="M9808" s="34">
        <f t="shared" si="329"/>
        <v>0</v>
      </c>
    </row>
    <row r="9809" spans="13:13" x14ac:dyDescent="0.25">
      <c r="M9809" s="34">
        <f t="shared" si="329"/>
        <v>0</v>
      </c>
    </row>
    <row r="9810" spans="13:13" x14ac:dyDescent="0.25">
      <c r="M9810" s="34">
        <f t="shared" si="329"/>
        <v>0</v>
      </c>
    </row>
    <row r="9811" spans="13:13" x14ac:dyDescent="0.25">
      <c r="M9811" s="34">
        <f t="shared" si="329"/>
        <v>0</v>
      </c>
    </row>
    <row r="9812" spans="13:13" x14ac:dyDescent="0.25">
      <c r="M9812" s="34">
        <f t="shared" si="329"/>
        <v>0</v>
      </c>
    </row>
    <row r="9813" spans="13:13" x14ac:dyDescent="0.25">
      <c r="M9813" s="34">
        <f t="shared" si="329"/>
        <v>0</v>
      </c>
    </row>
    <row r="9814" spans="13:13" x14ac:dyDescent="0.25">
      <c r="M9814" s="34">
        <f t="shared" si="329"/>
        <v>0</v>
      </c>
    </row>
    <row r="9815" spans="13:13" x14ac:dyDescent="0.25">
      <c r="M9815" s="34">
        <f t="shared" si="329"/>
        <v>0</v>
      </c>
    </row>
    <row r="9816" spans="13:13" x14ac:dyDescent="0.25">
      <c r="M9816" s="34">
        <f t="shared" si="329"/>
        <v>0</v>
      </c>
    </row>
    <row r="9817" spans="13:13" x14ac:dyDescent="0.25">
      <c r="M9817" s="34">
        <f t="shared" si="329"/>
        <v>0</v>
      </c>
    </row>
    <row r="9818" spans="13:13" x14ac:dyDescent="0.25">
      <c r="M9818" s="34">
        <f t="shared" si="329"/>
        <v>0</v>
      </c>
    </row>
    <row r="9819" spans="13:13" x14ac:dyDescent="0.25">
      <c r="M9819" s="34">
        <f t="shared" si="329"/>
        <v>0</v>
      </c>
    </row>
    <row r="9820" spans="13:13" x14ac:dyDescent="0.25">
      <c r="M9820" s="34">
        <f t="shared" si="329"/>
        <v>0</v>
      </c>
    </row>
    <row r="9821" spans="13:13" x14ac:dyDescent="0.25">
      <c r="M9821" s="34">
        <f t="shared" si="329"/>
        <v>0</v>
      </c>
    </row>
    <row r="9822" spans="13:13" x14ac:dyDescent="0.25">
      <c r="M9822" s="34">
        <f t="shared" si="329"/>
        <v>0</v>
      </c>
    </row>
    <row r="9823" spans="13:13" x14ac:dyDescent="0.25">
      <c r="M9823" s="34">
        <f t="shared" si="329"/>
        <v>0</v>
      </c>
    </row>
    <row r="9824" spans="13:13" x14ac:dyDescent="0.25">
      <c r="M9824" s="34">
        <f t="shared" si="329"/>
        <v>0</v>
      </c>
    </row>
    <row r="9825" spans="13:13" x14ac:dyDescent="0.25">
      <c r="M9825" s="34">
        <f t="shared" si="329"/>
        <v>0</v>
      </c>
    </row>
    <row r="9826" spans="13:13" x14ac:dyDescent="0.25">
      <c r="M9826" s="34">
        <f t="shared" si="329"/>
        <v>0</v>
      </c>
    </row>
    <row r="9827" spans="13:13" x14ac:dyDescent="0.25">
      <c r="M9827" s="34">
        <f t="shared" si="329"/>
        <v>0</v>
      </c>
    </row>
    <row r="9828" spans="13:13" x14ac:dyDescent="0.25">
      <c r="M9828" s="34">
        <f t="shared" si="329"/>
        <v>0</v>
      </c>
    </row>
    <row r="9829" spans="13:13" x14ac:dyDescent="0.25">
      <c r="M9829" s="34">
        <f t="shared" si="329"/>
        <v>0</v>
      </c>
    </row>
    <row r="9830" spans="13:13" x14ac:dyDescent="0.25">
      <c r="M9830" s="34">
        <f t="shared" si="329"/>
        <v>0</v>
      </c>
    </row>
    <row r="9831" spans="13:13" x14ac:dyDescent="0.25">
      <c r="M9831" s="34">
        <f t="shared" si="329"/>
        <v>0</v>
      </c>
    </row>
    <row r="9832" spans="13:13" x14ac:dyDescent="0.25">
      <c r="M9832" s="34">
        <f t="shared" si="329"/>
        <v>0</v>
      </c>
    </row>
    <row r="9833" spans="13:13" x14ac:dyDescent="0.25">
      <c r="M9833" s="34">
        <f t="shared" si="329"/>
        <v>0</v>
      </c>
    </row>
    <row r="9834" spans="13:13" x14ac:dyDescent="0.25">
      <c r="M9834" s="34">
        <f t="shared" si="329"/>
        <v>0</v>
      </c>
    </row>
    <row r="9835" spans="13:13" x14ac:dyDescent="0.25">
      <c r="M9835" s="34">
        <f t="shared" si="329"/>
        <v>0</v>
      </c>
    </row>
    <row r="9836" spans="13:13" x14ac:dyDescent="0.25">
      <c r="M9836" s="34">
        <f t="shared" si="329"/>
        <v>0</v>
      </c>
    </row>
    <row r="9837" spans="13:13" x14ac:dyDescent="0.25">
      <c r="M9837" s="34">
        <f t="shared" si="329"/>
        <v>0</v>
      </c>
    </row>
    <row r="9838" spans="13:13" x14ac:dyDescent="0.25">
      <c r="M9838" s="34">
        <f t="shared" si="329"/>
        <v>0</v>
      </c>
    </row>
    <row r="9839" spans="13:13" x14ac:dyDescent="0.25">
      <c r="M9839" s="34">
        <f t="shared" si="329"/>
        <v>0</v>
      </c>
    </row>
    <row r="9840" spans="13:13" x14ac:dyDescent="0.25">
      <c r="M9840" s="34">
        <f t="shared" si="329"/>
        <v>0</v>
      </c>
    </row>
    <row r="9841" spans="13:13" x14ac:dyDescent="0.25">
      <c r="M9841" s="34">
        <f t="shared" si="329"/>
        <v>0</v>
      </c>
    </row>
    <row r="9842" spans="13:13" x14ac:dyDescent="0.25">
      <c r="M9842" s="34">
        <f t="shared" si="329"/>
        <v>0</v>
      </c>
    </row>
    <row r="9843" spans="13:13" x14ac:dyDescent="0.25">
      <c r="M9843" s="34">
        <f t="shared" si="329"/>
        <v>0</v>
      </c>
    </row>
    <row r="9844" spans="13:13" x14ac:dyDescent="0.25">
      <c r="M9844" s="34">
        <f t="shared" si="329"/>
        <v>0</v>
      </c>
    </row>
    <row r="9845" spans="13:13" x14ac:dyDescent="0.25">
      <c r="M9845" s="34">
        <f t="shared" si="329"/>
        <v>0</v>
      </c>
    </row>
    <row r="9846" spans="13:13" x14ac:dyDescent="0.25">
      <c r="M9846" s="34">
        <f t="shared" si="329"/>
        <v>0</v>
      </c>
    </row>
    <row r="9847" spans="13:13" x14ac:dyDescent="0.25">
      <c r="M9847" s="34">
        <f t="shared" si="329"/>
        <v>0</v>
      </c>
    </row>
    <row r="9848" spans="13:13" x14ac:dyDescent="0.25">
      <c r="M9848" s="34">
        <f t="shared" si="329"/>
        <v>0</v>
      </c>
    </row>
    <row r="9849" spans="13:13" x14ac:dyDescent="0.25">
      <c r="M9849" s="34">
        <f t="shared" si="329"/>
        <v>0</v>
      </c>
    </row>
    <row r="9850" spans="13:13" x14ac:dyDescent="0.25">
      <c r="M9850" s="34">
        <f t="shared" si="329"/>
        <v>0</v>
      </c>
    </row>
    <row r="9851" spans="13:13" x14ac:dyDescent="0.25">
      <c r="M9851" s="34">
        <f t="shared" si="329"/>
        <v>0</v>
      </c>
    </row>
    <row r="9852" spans="13:13" x14ac:dyDescent="0.25">
      <c r="M9852" s="34">
        <f t="shared" si="329"/>
        <v>0</v>
      </c>
    </row>
    <row r="9853" spans="13:13" x14ac:dyDescent="0.25">
      <c r="M9853" s="34">
        <f t="shared" si="329"/>
        <v>0</v>
      </c>
    </row>
    <row r="9854" spans="13:13" x14ac:dyDescent="0.25">
      <c r="M9854" s="34">
        <f t="shared" si="329"/>
        <v>0</v>
      </c>
    </row>
    <row r="9855" spans="13:13" x14ac:dyDescent="0.25">
      <c r="M9855" s="34">
        <f t="shared" si="329"/>
        <v>0</v>
      </c>
    </row>
    <row r="9856" spans="13:13" x14ac:dyDescent="0.25">
      <c r="M9856" s="34">
        <f t="shared" si="329"/>
        <v>0</v>
      </c>
    </row>
    <row r="9857" spans="13:13" x14ac:dyDescent="0.25">
      <c r="M9857" s="34">
        <f t="shared" si="329"/>
        <v>0</v>
      </c>
    </row>
    <row r="9858" spans="13:13" x14ac:dyDescent="0.25">
      <c r="M9858" s="34">
        <f t="shared" si="329"/>
        <v>0</v>
      </c>
    </row>
    <row r="9859" spans="13:13" x14ac:dyDescent="0.25">
      <c r="M9859" s="34">
        <f t="shared" ref="M9859:M9922" si="330">IF(AND(E9859="Chèque",G9859="RECETTE"),F9859,0)</f>
        <v>0</v>
      </c>
    </row>
    <row r="9860" spans="13:13" x14ac:dyDescent="0.25">
      <c r="M9860" s="34">
        <f t="shared" si="330"/>
        <v>0</v>
      </c>
    </row>
    <row r="9861" spans="13:13" x14ac:dyDescent="0.25">
      <c r="M9861" s="34">
        <f t="shared" si="330"/>
        <v>0</v>
      </c>
    </row>
    <row r="9862" spans="13:13" x14ac:dyDescent="0.25">
      <c r="M9862" s="34">
        <f t="shared" si="330"/>
        <v>0</v>
      </c>
    </row>
    <row r="9863" spans="13:13" x14ac:dyDescent="0.25">
      <c r="M9863" s="34">
        <f t="shared" si="330"/>
        <v>0</v>
      </c>
    </row>
    <row r="9864" spans="13:13" x14ac:dyDescent="0.25">
      <c r="M9864" s="34">
        <f t="shared" si="330"/>
        <v>0</v>
      </c>
    </row>
    <row r="9865" spans="13:13" x14ac:dyDescent="0.25">
      <c r="M9865" s="34">
        <f t="shared" si="330"/>
        <v>0</v>
      </c>
    </row>
    <row r="9866" spans="13:13" x14ac:dyDescent="0.25">
      <c r="M9866" s="34">
        <f t="shared" si="330"/>
        <v>0</v>
      </c>
    </row>
    <row r="9867" spans="13:13" x14ac:dyDescent="0.25">
      <c r="M9867" s="34">
        <f t="shared" si="330"/>
        <v>0</v>
      </c>
    </row>
    <row r="9868" spans="13:13" x14ac:dyDescent="0.25">
      <c r="M9868" s="34">
        <f t="shared" si="330"/>
        <v>0</v>
      </c>
    </row>
    <row r="9869" spans="13:13" x14ac:dyDescent="0.25">
      <c r="M9869" s="34">
        <f t="shared" si="330"/>
        <v>0</v>
      </c>
    </row>
    <row r="9870" spans="13:13" x14ac:dyDescent="0.25">
      <c r="M9870" s="34">
        <f t="shared" si="330"/>
        <v>0</v>
      </c>
    </row>
    <row r="9871" spans="13:13" x14ac:dyDescent="0.25">
      <c r="M9871" s="34">
        <f t="shared" si="330"/>
        <v>0</v>
      </c>
    </row>
    <row r="9872" spans="13:13" x14ac:dyDescent="0.25">
      <c r="M9872" s="34">
        <f t="shared" si="330"/>
        <v>0</v>
      </c>
    </row>
    <row r="9873" spans="13:13" x14ac:dyDescent="0.25">
      <c r="M9873" s="34">
        <f t="shared" si="330"/>
        <v>0</v>
      </c>
    </row>
    <row r="9874" spans="13:13" x14ac:dyDescent="0.25">
      <c r="M9874" s="34">
        <f t="shared" si="330"/>
        <v>0</v>
      </c>
    </row>
    <row r="9875" spans="13:13" x14ac:dyDescent="0.25">
      <c r="M9875" s="34">
        <f t="shared" si="330"/>
        <v>0</v>
      </c>
    </row>
    <row r="9876" spans="13:13" x14ac:dyDescent="0.25">
      <c r="M9876" s="34">
        <f t="shared" si="330"/>
        <v>0</v>
      </c>
    </row>
    <row r="9877" spans="13:13" x14ac:dyDescent="0.25">
      <c r="M9877" s="34">
        <f t="shared" si="330"/>
        <v>0</v>
      </c>
    </row>
    <row r="9878" spans="13:13" x14ac:dyDescent="0.25">
      <c r="M9878" s="34">
        <f t="shared" si="330"/>
        <v>0</v>
      </c>
    </row>
    <row r="9879" spans="13:13" x14ac:dyDescent="0.25">
      <c r="M9879" s="34">
        <f t="shared" si="330"/>
        <v>0</v>
      </c>
    </row>
    <row r="9880" spans="13:13" x14ac:dyDescent="0.25">
      <c r="M9880" s="34">
        <f t="shared" si="330"/>
        <v>0</v>
      </c>
    </row>
    <row r="9881" spans="13:13" x14ac:dyDescent="0.25">
      <c r="M9881" s="34">
        <f t="shared" si="330"/>
        <v>0</v>
      </c>
    </row>
    <row r="9882" spans="13:13" x14ac:dyDescent="0.25">
      <c r="M9882" s="34">
        <f t="shared" si="330"/>
        <v>0</v>
      </c>
    </row>
    <row r="9883" spans="13:13" x14ac:dyDescent="0.25">
      <c r="M9883" s="34">
        <f t="shared" si="330"/>
        <v>0</v>
      </c>
    </row>
    <row r="9884" spans="13:13" x14ac:dyDescent="0.25">
      <c r="M9884" s="34">
        <f t="shared" si="330"/>
        <v>0</v>
      </c>
    </row>
    <row r="9885" spans="13:13" x14ac:dyDescent="0.25">
      <c r="M9885" s="34">
        <f t="shared" si="330"/>
        <v>0</v>
      </c>
    </row>
    <row r="9886" spans="13:13" x14ac:dyDescent="0.25">
      <c r="M9886" s="34">
        <f t="shared" si="330"/>
        <v>0</v>
      </c>
    </row>
    <row r="9887" spans="13:13" x14ac:dyDescent="0.25">
      <c r="M9887" s="34">
        <f t="shared" si="330"/>
        <v>0</v>
      </c>
    </row>
    <row r="9888" spans="13:13" x14ac:dyDescent="0.25">
      <c r="M9888" s="34">
        <f t="shared" si="330"/>
        <v>0</v>
      </c>
    </row>
    <row r="9889" spans="13:13" x14ac:dyDescent="0.25">
      <c r="M9889" s="34">
        <f t="shared" si="330"/>
        <v>0</v>
      </c>
    </row>
    <row r="9890" spans="13:13" x14ac:dyDescent="0.25">
      <c r="M9890" s="34">
        <f t="shared" si="330"/>
        <v>0</v>
      </c>
    </row>
    <row r="9891" spans="13:13" x14ac:dyDescent="0.25">
      <c r="M9891" s="34">
        <f t="shared" si="330"/>
        <v>0</v>
      </c>
    </row>
    <row r="9892" spans="13:13" x14ac:dyDescent="0.25">
      <c r="M9892" s="34">
        <f t="shared" si="330"/>
        <v>0</v>
      </c>
    </row>
    <row r="9893" spans="13:13" x14ac:dyDescent="0.25">
      <c r="M9893" s="34">
        <f t="shared" si="330"/>
        <v>0</v>
      </c>
    </row>
    <row r="9894" spans="13:13" x14ac:dyDescent="0.25">
      <c r="M9894" s="34">
        <f t="shared" si="330"/>
        <v>0</v>
      </c>
    </row>
    <row r="9895" spans="13:13" x14ac:dyDescent="0.25">
      <c r="M9895" s="34">
        <f t="shared" si="330"/>
        <v>0</v>
      </c>
    </row>
    <row r="9896" spans="13:13" x14ac:dyDescent="0.25">
      <c r="M9896" s="34">
        <f t="shared" si="330"/>
        <v>0</v>
      </c>
    </row>
    <row r="9897" spans="13:13" x14ac:dyDescent="0.25">
      <c r="M9897" s="34">
        <f t="shared" si="330"/>
        <v>0</v>
      </c>
    </row>
    <row r="9898" spans="13:13" x14ac:dyDescent="0.25">
      <c r="M9898" s="34">
        <f t="shared" si="330"/>
        <v>0</v>
      </c>
    </row>
    <row r="9899" spans="13:13" x14ac:dyDescent="0.25">
      <c r="M9899" s="34">
        <f t="shared" si="330"/>
        <v>0</v>
      </c>
    </row>
    <row r="9900" spans="13:13" x14ac:dyDescent="0.25">
      <c r="M9900" s="34">
        <f t="shared" si="330"/>
        <v>0</v>
      </c>
    </row>
    <row r="9901" spans="13:13" x14ac:dyDescent="0.25">
      <c r="M9901" s="34">
        <f t="shared" si="330"/>
        <v>0</v>
      </c>
    </row>
    <row r="9902" spans="13:13" x14ac:dyDescent="0.25">
      <c r="M9902" s="34">
        <f t="shared" si="330"/>
        <v>0</v>
      </c>
    </row>
    <row r="9903" spans="13:13" x14ac:dyDescent="0.25">
      <c r="M9903" s="34">
        <f t="shared" si="330"/>
        <v>0</v>
      </c>
    </row>
    <row r="9904" spans="13:13" x14ac:dyDescent="0.25">
      <c r="M9904" s="34">
        <f t="shared" si="330"/>
        <v>0</v>
      </c>
    </row>
    <row r="9905" spans="13:13" x14ac:dyDescent="0.25">
      <c r="M9905" s="34">
        <f t="shared" si="330"/>
        <v>0</v>
      </c>
    </row>
    <row r="9906" spans="13:13" x14ac:dyDescent="0.25">
      <c r="M9906" s="34">
        <f t="shared" si="330"/>
        <v>0</v>
      </c>
    </row>
    <row r="9907" spans="13:13" x14ac:dyDescent="0.25">
      <c r="M9907" s="34">
        <f t="shared" si="330"/>
        <v>0</v>
      </c>
    </row>
    <row r="9908" spans="13:13" x14ac:dyDescent="0.25">
      <c r="M9908" s="34">
        <f t="shared" si="330"/>
        <v>0</v>
      </c>
    </row>
    <row r="9909" spans="13:13" x14ac:dyDescent="0.25">
      <c r="M9909" s="34">
        <f t="shared" si="330"/>
        <v>0</v>
      </c>
    </row>
    <row r="9910" spans="13:13" x14ac:dyDescent="0.25">
      <c r="M9910" s="34">
        <f t="shared" si="330"/>
        <v>0</v>
      </c>
    </row>
    <row r="9911" spans="13:13" x14ac:dyDescent="0.25">
      <c r="M9911" s="34">
        <f t="shared" si="330"/>
        <v>0</v>
      </c>
    </row>
    <row r="9912" spans="13:13" x14ac:dyDescent="0.25">
      <c r="M9912" s="34">
        <f t="shared" si="330"/>
        <v>0</v>
      </c>
    </row>
    <row r="9913" spans="13:13" x14ac:dyDescent="0.25">
      <c r="M9913" s="34">
        <f t="shared" si="330"/>
        <v>0</v>
      </c>
    </row>
    <row r="9914" spans="13:13" x14ac:dyDescent="0.25">
      <c r="M9914" s="34">
        <f t="shared" si="330"/>
        <v>0</v>
      </c>
    </row>
    <row r="9915" spans="13:13" x14ac:dyDescent="0.25">
      <c r="M9915" s="34">
        <f t="shared" si="330"/>
        <v>0</v>
      </c>
    </row>
    <row r="9916" spans="13:13" x14ac:dyDescent="0.25">
      <c r="M9916" s="34">
        <f t="shared" si="330"/>
        <v>0</v>
      </c>
    </row>
    <row r="9917" spans="13:13" x14ac:dyDescent="0.25">
      <c r="M9917" s="34">
        <f t="shared" si="330"/>
        <v>0</v>
      </c>
    </row>
    <row r="9918" spans="13:13" x14ac:dyDescent="0.25">
      <c r="M9918" s="34">
        <f t="shared" si="330"/>
        <v>0</v>
      </c>
    </row>
    <row r="9919" spans="13:13" x14ac:dyDescent="0.25">
      <c r="M9919" s="34">
        <f t="shared" si="330"/>
        <v>0</v>
      </c>
    </row>
    <row r="9920" spans="13:13" x14ac:dyDescent="0.25">
      <c r="M9920" s="34">
        <f t="shared" si="330"/>
        <v>0</v>
      </c>
    </row>
    <row r="9921" spans="13:13" x14ac:dyDescent="0.25">
      <c r="M9921" s="34">
        <f t="shared" si="330"/>
        <v>0</v>
      </c>
    </row>
    <row r="9922" spans="13:13" x14ac:dyDescent="0.25">
      <c r="M9922" s="34">
        <f t="shared" si="330"/>
        <v>0</v>
      </c>
    </row>
    <row r="9923" spans="13:13" x14ac:dyDescent="0.25">
      <c r="M9923" s="34">
        <f t="shared" ref="M9923:M9986" si="331">IF(AND(E9923="Chèque",G9923="RECETTE"),F9923,0)</f>
        <v>0</v>
      </c>
    </row>
    <row r="9924" spans="13:13" x14ac:dyDescent="0.25">
      <c r="M9924" s="34">
        <f t="shared" si="331"/>
        <v>0</v>
      </c>
    </row>
    <row r="9925" spans="13:13" x14ac:dyDescent="0.25">
      <c r="M9925" s="34">
        <f t="shared" si="331"/>
        <v>0</v>
      </c>
    </row>
    <row r="9926" spans="13:13" x14ac:dyDescent="0.25">
      <c r="M9926" s="34">
        <f t="shared" si="331"/>
        <v>0</v>
      </c>
    </row>
    <row r="9927" spans="13:13" x14ac:dyDescent="0.25">
      <c r="M9927" s="34">
        <f t="shared" si="331"/>
        <v>0</v>
      </c>
    </row>
    <row r="9928" spans="13:13" x14ac:dyDescent="0.25">
      <c r="M9928" s="34">
        <f t="shared" si="331"/>
        <v>0</v>
      </c>
    </row>
    <row r="9929" spans="13:13" x14ac:dyDescent="0.25">
      <c r="M9929" s="34">
        <f t="shared" si="331"/>
        <v>0</v>
      </c>
    </row>
    <row r="9930" spans="13:13" x14ac:dyDescent="0.25">
      <c r="M9930" s="34">
        <f t="shared" si="331"/>
        <v>0</v>
      </c>
    </row>
    <row r="9931" spans="13:13" x14ac:dyDescent="0.25">
      <c r="M9931" s="34">
        <f t="shared" si="331"/>
        <v>0</v>
      </c>
    </row>
    <row r="9932" spans="13:13" x14ac:dyDescent="0.25">
      <c r="M9932" s="34">
        <f t="shared" si="331"/>
        <v>0</v>
      </c>
    </row>
    <row r="9933" spans="13:13" x14ac:dyDescent="0.25">
      <c r="M9933" s="34">
        <f t="shared" si="331"/>
        <v>0</v>
      </c>
    </row>
    <row r="9934" spans="13:13" x14ac:dyDescent="0.25">
      <c r="M9934" s="34">
        <f t="shared" si="331"/>
        <v>0</v>
      </c>
    </row>
    <row r="9935" spans="13:13" x14ac:dyDescent="0.25">
      <c r="M9935" s="34">
        <f t="shared" si="331"/>
        <v>0</v>
      </c>
    </row>
    <row r="9936" spans="13:13" x14ac:dyDescent="0.25">
      <c r="M9936" s="34">
        <f t="shared" si="331"/>
        <v>0</v>
      </c>
    </row>
    <row r="9937" spans="13:13" x14ac:dyDescent="0.25">
      <c r="M9937" s="34">
        <f t="shared" si="331"/>
        <v>0</v>
      </c>
    </row>
    <row r="9938" spans="13:13" x14ac:dyDescent="0.25">
      <c r="M9938" s="34">
        <f t="shared" si="331"/>
        <v>0</v>
      </c>
    </row>
    <row r="9939" spans="13:13" x14ac:dyDescent="0.25">
      <c r="M9939" s="34">
        <f t="shared" si="331"/>
        <v>0</v>
      </c>
    </row>
    <row r="9940" spans="13:13" x14ac:dyDescent="0.25">
      <c r="M9940" s="34">
        <f t="shared" si="331"/>
        <v>0</v>
      </c>
    </row>
    <row r="9941" spans="13:13" x14ac:dyDescent="0.25">
      <c r="M9941" s="34">
        <f t="shared" si="331"/>
        <v>0</v>
      </c>
    </row>
    <row r="9942" spans="13:13" x14ac:dyDescent="0.25">
      <c r="M9942" s="34">
        <f t="shared" si="331"/>
        <v>0</v>
      </c>
    </row>
    <row r="9943" spans="13:13" x14ac:dyDescent="0.25">
      <c r="M9943" s="34">
        <f t="shared" si="331"/>
        <v>0</v>
      </c>
    </row>
    <row r="9944" spans="13:13" x14ac:dyDescent="0.25">
      <c r="M9944" s="34">
        <f t="shared" si="331"/>
        <v>0</v>
      </c>
    </row>
    <row r="9945" spans="13:13" x14ac:dyDescent="0.25">
      <c r="M9945" s="34">
        <f t="shared" si="331"/>
        <v>0</v>
      </c>
    </row>
    <row r="9946" spans="13:13" x14ac:dyDescent="0.25">
      <c r="M9946" s="34">
        <f t="shared" si="331"/>
        <v>0</v>
      </c>
    </row>
    <row r="9947" spans="13:13" x14ac:dyDescent="0.25">
      <c r="M9947" s="34">
        <f t="shared" si="331"/>
        <v>0</v>
      </c>
    </row>
    <row r="9948" spans="13:13" x14ac:dyDescent="0.25">
      <c r="M9948" s="34">
        <f t="shared" si="331"/>
        <v>0</v>
      </c>
    </row>
    <row r="9949" spans="13:13" x14ac:dyDescent="0.25">
      <c r="M9949" s="34">
        <f t="shared" si="331"/>
        <v>0</v>
      </c>
    </row>
    <row r="9950" spans="13:13" x14ac:dyDescent="0.25">
      <c r="M9950" s="34">
        <f t="shared" si="331"/>
        <v>0</v>
      </c>
    </row>
    <row r="9951" spans="13:13" x14ac:dyDescent="0.25">
      <c r="M9951" s="34">
        <f t="shared" si="331"/>
        <v>0</v>
      </c>
    </row>
    <row r="9952" spans="13:13" x14ac:dyDescent="0.25">
      <c r="M9952" s="34">
        <f t="shared" si="331"/>
        <v>0</v>
      </c>
    </row>
    <row r="9953" spans="13:13" x14ac:dyDescent="0.25">
      <c r="M9953" s="34">
        <f t="shared" si="331"/>
        <v>0</v>
      </c>
    </row>
    <row r="9954" spans="13:13" x14ac:dyDescent="0.25">
      <c r="M9954" s="34">
        <f t="shared" si="331"/>
        <v>0</v>
      </c>
    </row>
    <row r="9955" spans="13:13" x14ac:dyDescent="0.25">
      <c r="M9955" s="34">
        <f t="shared" si="331"/>
        <v>0</v>
      </c>
    </row>
    <row r="9956" spans="13:13" x14ac:dyDescent="0.25">
      <c r="M9956" s="34">
        <f t="shared" si="331"/>
        <v>0</v>
      </c>
    </row>
    <row r="9957" spans="13:13" x14ac:dyDescent="0.25">
      <c r="M9957" s="34">
        <f t="shared" si="331"/>
        <v>0</v>
      </c>
    </row>
    <row r="9958" spans="13:13" x14ac:dyDescent="0.25">
      <c r="M9958" s="34">
        <f t="shared" si="331"/>
        <v>0</v>
      </c>
    </row>
    <row r="9959" spans="13:13" x14ac:dyDescent="0.25">
      <c r="M9959" s="34">
        <f t="shared" si="331"/>
        <v>0</v>
      </c>
    </row>
    <row r="9960" spans="13:13" x14ac:dyDescent="0.25">
      <c r="M9960" s="34">
        <f t="shared" si="331"/>
        <v>0</v>
      </c>
    </row>
    <row r="9961" spans="13:13" x14ac:dyDescent="0.25">
      <c r="M9961" s="34">
        <f t="shared" si="331"/>
        <v>0</v>
      </c>
    </row>
    <row r="9962" spans="13:13" x14ac:dyDescent="0.25">
      <c r="M9962" s="34">
        <f t="shared" si="331"/>
        <v>0</v>
      </c>
    </row>
    <row r="9963" spans="13:13" x14ac:dyDescent="0.25">
      <c r="M9963" s="34">
        <f t="shared" si="331"/>
        <v>0</v>
      </c>
    </row>
    <row r="9964" spans="13:13" x14ac:dyDescent="0.25">
      <c r="M9964" s="34">
        <f t="shared" si="331"/>
        <v>0</v>
      </c>
    </row>
    <row r="9965" spans="13:13" x14ac:dyDescent="0.25">
      <c r="M9965" s="34">
        <f t="shared" si="331"/>
        <v>0</v>
      </c>
    </row>
    <row r="9966" spans="13:13" x14ac:dyDescent="0.25">
      <c r="M9966" s="34">
        <f t="shared" si="331"/>
        <v>0</v>
      </c>
    </row>
    <row r="9967" spans="13:13" x14ac:dyDescent="0.25">
      <c r="M9967" s="34">
        <f t="shared" si="331"/>
        <v>0</v>
      </c>
    </row>
    <row r="9968" spans="13:13" x14ac:dyDescent="0.25">
      <c r="M9968" s="34">
        <f t="shared" si="331"/>
        <v>0</v>
      </c>
    </row>
    <row r="9969" spans="13:13" x14ac:dyDescent="0.25">
      <c r="M9969" s="34">
        <f t="shared" si="331"/>
        <v>0</v>
      </c>
    </row>
    <row r="9970" spans="13:13" x14ac:dyDescent="0.25">
      <c r="M9970" s="34">
        <f t="shared" si="331"/>
        <v>0</v>
      </c>
    </row>
    <row r="9971" spans="13:13" x14ac:dyDescent="0.25">
      <c r="M9971" s="34">
        <f t="shared" si="331"/>
        <v>0</v>
      </c>
    </row>
    <row r="9972" spans="13:13" x14ac:dyDescent="0.25">
      <c r="M9972" s="34">
        <f t="shared" si="331"/>
        <v>0</v>
      </c>
    </row>
    <row r="9973" spans="13:13" x14ac:dyDescent="0.25">
      <c r="M9973" s="34">
        <f t="shared" si="331"/>
        <v>0</v>
      </c>
    </row>
    <row r="9974" spans="13:13" x14ac:dyDescent="0.25">
      <c r="M9974" s="34">
        <f t="shared" si="331"/>
        <v>0</v>
      </c>
    </row>
    <row r="9975" spans="13:13" x14ac:dyDescent="0.25">
      <c r="M9975" s="34">
        <f t="shared" si="331"/>
        <v>0</v>
      </c>
    </row>
    <row r="9976" spans="13:13" x14ac:dyDescent="0.25">
      <c r="M9976" s="34">
        <f t="shared" si="331"/>
        <v>0</v>
      </c>
    </row>
    <row r="9977" spans="13:13" x14ac:dyDescent="0.25">
      <c r="M9977" s="34">
        <f t="shared" si="331"/>
        <v>0</v>
      </c>
    </row>
    <row r="9978" spans="13:13" x14ac:dyDescent="0.25">
      <c r="M9978" s="34">
        <f t="shared" si="331"/>
        <v>0</v>
      </c>
    </row>
    <row r="9979" spans="13:13" x14ac:dyDescent="0.25">
      <c r="M9979" s="34">
        <f t="shared" si="331"/>
        <v>0</v>
      </c>
    </row>
    <row r="9980" spans="13:13" x14ac:dyDescent="0.25">
      <c r="M9980" s="34">
        <f t="shared" si="331"/>
        <v>0</v>
      </c>
    </row>
    <row r="9981" spans="13:13" x14ac:dyDescent="0.25">
      <c r="M9981" s="34">
        <f t="shared" si="331"/>
        <v>0</v>
      </c>
    </row>
    <row r="9982" spans="13:13" x14ac:dyDescent="0.25">
      <c r="M9982" s="34">
        <f t="shared" si="331"/>
        <v>0</v>
      </c>
    </row>
    <row r="9983" spans="13:13" x14ac:dyDescent="0.25">
      <c r="M9983" s="34">
        <f t="shared" si="331"/>
        <v>0</v>
      </c>
    </row>
    <row r="9984" spans="13:13" x14ac:dyDescent="0.25">
      <c r="M9984" s="34">
        <f t="shared" si="331"/>
        <v>0</v>
      </c>
    </row>
    <row r="9985" spans="13:13" x14ac:dyDescent="0.25">
      <c r="M9985" s="34">
        <f t="shared" si="331"/>
        <v>0</v>
      </c>
    </row>
    <row r="9986" spans="13:13" x14ac:dyDescent="0.25">
      <c r="M9986" s="34">
        <f t="shared" si="331"/>
        <v>0</v>
      </c>
    </row>
    <row r="9987" spans="13:13" x14ac:dyDescent="0.25">
      <c r="M9987" s="34">
        <f t="shared" ref="M9987:M10050" si="332">IF(AND(E9987="Chèque",G9987="RECETTE"),F9987,0)</f>
        <v>0</v>
      </c>
    </row>
    <row r="9988" spans="13:13" x14ac:dyDescent="0.25">
      <c r="M9988" s="34">
        <f t="shared" si="332"/>
        <v>0</v>
      </c>
    </row>
    <row r="9989" spans="13:13" x14ac:dyDescent="0.25">
      <c r="M9989" s="34">
        <f t="shared" si="332"/>
        <v>0</v>
      </c>
    </row>
    <row r="9990" spans="13:13" x14ac:dyDescent="0.25">
      <c r="M9990" s="34">
        <f t="shared" si="332"/>
        <v>0</v>
      </c>
    </row>
    <row r="9991" spans="13:13" x14ac:dyDescent="0.25">
      <c r="M9991" s="34">
        <f t="shared" si="332"/>
        <v>0</v>
      </c>
    </row>
    <row r="9992" spans="13:13" x14ac:dyDescent="0.25">
      <c r="M9992" s="34">
        <f t="shared" si="332"/>
        <v>0</v>
      </c>
    </row>
    <row r="9993" spans="13:13" x14ac:dyDescent="0.25">
      <c r="M9993" s="34">
        <f t="shared" si="332"/>
        <v>0</v>
      </c>
    </row>
    <row r="9994" spans="13:13" x14ac:dyDescent="0.25">
      <c r="M9994" s="34">
        <f t="shared" si="332"/>
        <v>0</v>
      </c>
    </row>
    <row r="9995" spans="13:13" x14ac:dyDescent="0.25">
      <c r="M9995" s="34">
        <f t="shared" si="332"/>
        <v>0</v>
      </c>
    </row>
    <row r="9996" spans="13:13" x14ac:dyDescent="0.25">
      <c r="M9996" s="34">
        <f t="shared" si="332"/>
        <v>0</v>
      </c>
    </row>
    <row r="9997" spans="13:13" x14ac:dyDescent="0.25">
      <c r="M9997" s="34">
        <f t="shared" si="332"/>
        <v>0</v>
      </c>
    </row>
    <row r="9998" spans="13:13" x14ac:dyDescent="0.25">
      <c r="M9998" s="34">
        <f t="shared" si="332"/>
        <v>0</v>
      </c>
    </row>
    <row r="9999" spans="13:13" x14ac:dyDescent="0.25">
      <c r="M9999" s="34">
        <f t="shared" si="332"/>
        <v>0</v>
      </c>
    </row>
    <row r="10000" spans="13:13" x14ac:dyDescent="0.25">
      <c r="M10000" s="34">
        <f t="shared" si="332"/>
        <v>0</v>
      </c>
    </row>
    <row r="10001" spans="13:13" x14ac:dyDescent="0.25">
      <c r="M10001" s="34">
        <f t="shared" si="332"/>
        <v>0</v>
      </c>
    </row>
    <row r="10002" spans="13:13" x14ac:dyDescent="0.25">
      <c r="M10002" s="34">
        <f t="shared" si="332"/>
        <v>0</v>
      </c>
    </row>
    <row r="10003" spans="13:13" x14ac:dyDescent="0.25">
      <c r="M10003" s="34">
        <f t="shared" si="332"/>
        <v>0</v>
      </c>
    </row>
    <row r="10004" spans="13:13" x14ac:dyDescent="0.25">
      <c r="M10004" s="34">
        <f t="shared" si="332"/>
        <v>0</v>
      </c>
    </row>
    <row r="10005" spans="13:13" x14ac:dyDescent="0.25">
      <c r="M10005" s="34">
        <f t="shared" si="332"/>
        <v>0</v>
      </c>
    </row>
    <row r="10006" spans="13:13" x14ac:dyDescent="0.25">
      <c r="M10006" s="34">
        <f t="shared" si="332"/>
        <v>0</v>
      </c>
    </row>
    <row r="10007" spans="13:13" x14ac:dyDescent="0.25">
      <c r="M10007" s="34">
        <f t="shared" si="332"/>
        <v>0</v>
      </c>
    </row>
    <row r="10008" spans="13:13" x14ac:dyDescent="0.25">
      <c r="M10008" s="34">
        <f t="shared" si="332"/>
        <v>0</v>
      </c>
    </row>
    <row r="10009" spans="13:13" x14ac:dyDescent="0.25">
      <c r="M10009" s="34">
        <f t="shared" si="332"/>
        <v>0</v>
      </c>
    </row>
    <row r="10010" spans="13:13" x14ac:dyDescent="0.25">
      <c r="M10010" s="34">
        <f t="shared" si="332"/>
        <v>0</v>
      </c>
    </row>
    <row r="10011" spans="13:13" x14ac:dyDescent="0.25">
      <c r="M10011" s="34">
        <f t="shared" si="332"/>
        <v>0</v>
      </c>
    </row>
    <row r="10012" spans="13:13" x14ac:dyDescent="0.25">
      <c r="M10012" s="34">
        <f t="shared" si="332"/>
        <v>0</v>
      </c>
    </row>
    <row r="10013" spans="13:13" x14ac:dyDescent="0.25">
      <c r="M10013" s="34">
        <f t="shared" si="332"/>
        <v>0</v>
      </c>
    </row>
    <row r="10014" spans="13:13" x14ac:dyDescent="0.25">
      <c r="M10014" s="34">
        <f t="shared" si="332"/>
        <v>0</v>
      </c>
    </row>
    <row r="10015" spans="13:13" x14ac:dyDescent="0.25">
      <c r="M10015" s="34">
        <f t="shared" si="332"/>
        <v>0</v>
      </c>
    </row>
    <row r="10016" spans="13:13" x14ac:dyDescent="0.25">
      <c r="M10016" s="34">
        <f t="shared" si="332"/>
        <v>0</v>
      </c>
    </row>
    <row r="10017" spans="13:13" x14ac:dyDescent="0.25">
      <c r="M10017" s="34">
        <f t="shared" si="332"/>
        <v>0</v>
      </c>
    </row>
    <row r="10018" spans="13:13" x14ac:dyDescent="0.25">
      <c r="M10018" s="34">
        <f t="shared" si="332"/>
        <v>0</v>
      </c>
    </row>
    <row r="10019" spans="13:13" x14ac:dyDescent="0.25">
      <c r="M10019" s="34">
        <f t="shared" si="332"/>
        <v>0</v>
      </c>
    </row>
    <row r="10020" spans="13:13" x14ac:dyDescent="0.25">
      <c r="M10020" s="34">
        <f t="shared" si="332"/>
        <v>0</v>
      </c>
    </row>
    <row r="10021" spans="13:13" x14ac:dyDescent="0.25">
      <c r="M10021" s="34">
        <f t="shared" si="332"/>
        <v>0</v>
      </c>
    </row>
    <row r="10022" spans="13:13" x14ac:dyDescent="0.25">
      <c r="M10022" s="34">
        <f t="shared" si="332"/>
        <v>0</v>
      </c>
    </row>
    <row r="10023" spans="13:13" x14ac:dyDescent="0.25">
      <c r="M10023" s="34">
        <f t="shared" si="332"/>
        <v>0</v>
      </c>
    </row>
    <row r="10024" spans="13:13" x14ac:dyDescent="0.25">
      <c r="M10024" s="34">
        <f t="shared" si="332"/>
        <v>0</v>
      </c>
    </row>
    <row r="10025" spans="13:13" x14ac:dyDescent="0.25">
      <c r="M10025" s="34">
        <f t="shared" si="332"/>
        <v>0</v>
      </c>
    </row>
    <row r="10026" spans="13:13" x14ac:dyDescent="0.25">
      <c r="M10026" s="34">
        <f t="shared" si="332"/>
        <v>0</v>
      </c>
    </row>
    <row r="10027" spans="13:13" x14ac:dyDescent="0.25">
      <c r="M10027" s="34">
        <f t="shared" si="332"/>
        <v>0</v>
      </c>
    </row>
    <row r="10028" spans="13:13" x14ac:dyDescent="0.25">
      <c r="M10028" s="34">
        <f t="shared" si="332"/>
        <v>0</v>
      </c>
    </row>
    <row r="10029" spans="13:13" x14ac:dyDescent="0.25">
      <c r="M10029" s="34">
        <f t="shared" si="332"/>
        <v>0</v>
      </c>
    </row>
    <row r="10030" spans="13:13" x14ac:dyDescent="0.25">
      <c r="M10030" s="34">
        <f t="shared" si="332"/>
        <v>0</v>
      </c>
    </row>
    <row r="10031" spans="13:13" x14ac:dyDescent="0.25">
      <c r="M10031" s="34">
        <f t="shared" si="332"/>
        <v>0</v>
      </c>
    </row>
    <row r="10032" spans="13:13" x14ac:dyDescent="0.25">
      <c r="M10032" s="34">
        <f t="shared" si="332"/>
        <v>0</v>
      </c>
    </row>
    <row r="10033" spans="13:13" x14ac:dyDescent="0.25">
      <c r="M10033" s="34">
        <f t="shared" si="332"/>
        <v>0</v>
      </c>
    </row>
    <row r="10034" spans="13:13" x14ac:dyDescent="0.25">
      <c r="M10034" s="34">
        <f t="shared" si="332"/>
        <v>0</v>
      </c>
    </row>
    <row r="10035" spans="13:13" x14ac:dyDescent="0.25">
      <c r="M10035" s="34">
        <f t="shared" si="332"/>
        <v>0</v>
      </c>
    </row>
    <row r="10036" spans="13:13" x14ac:dyDescent="0.25">
      <c r="M10036" s="34">
        <f t="shared" si="332"/>
        <v>0</v>
      </c>
    </row>
    <row r="10037" spans="13:13" x14ac:dyDescent="0.25">
      <c r="M10037" s="34">
        <f t="shared" si="332"/>
        <v>0</v>
      </c>
    </row>
    <row r="10038" spans="13:13" x14ac:dyDescent="0.25">
      <c r="M10038" s="34">
        <f t="shared" si="332"/>
        <v>0</v>
      </c>
    </row>
    <row r="10039" spans="13:13" x14ac:dyDescent="0.25">
      <c r="M10039" s="34">
        <f t="shared" si="332"/>
        <v>0</v>
      </c>
    </row>
    <row r="10040" spans="13:13" x14ac:dyDescent="0.25">
      <c r="M10040" s="34">
        <f t="shared" si="332"/>
        <v>0</v>
      </c>
    </row>
    <row r="10041" spans="13:13" x14ac:dyDescent="0.25">
      <c r="M10041" s="34">
        <f t="shared" si="332"/>
        <v>0</v>
      </c>
    </row>
    <row r="10042" spans="13:13" x14ac:dyDescent="0.25">
      <c r="M10042" s="34">
        <f t="shared" si="332"/>
        <v>0</v>
      </c>
    </row>
    <row r="10043" spans="13:13" x14ac:dyDescent="0.25">
      <c r="M10043" s="34">
        <f t="shared" si="332"/>
        <v>0</v>
      </c>
    </row>
    <row r="10044" spans="13:13" x14ac:dyDescent="0.25">
      <c r="M10044" s="34">
        <f t="shared" si="332"/>
        <v>0</v>
      </c>
    </row>
    <row r="10045" spans="13:13" x14ac:dyDescent="0.25">
      <c r="M10045" s="34">
        <f t="shared" si="332"/>
        <v>0</v>
      </c>
    </row>
    <row r="10046" spans="13:13" x14ac:dyDescent="0.25">
      <c r="M10046" s="34">
        <f t="shared" si="332"/>
        <v>0</v>
      </c>
    </row>
    <row r="10047" spans="13:13" x14ac:dyDescent="0.25">
      <c r="M10047" s="34">
        <f t="shared" si="332"/>
        <v>0</v>
      </c>
    </row>
    <row r="10048" spans="13:13" x14ac:dyDescent="0.25">
      <c r="M10048" s="34">
        <f t="shared" si="332"/>
        <v>0</v>
      </c>
    </row>
    <row r="10049" spans="13:13" x14ac:dyDescent="0.25">
      <c r="M10049" s="34">
        <f t="shared" si="332"/>
        <v>0</v>
      </c>
    </row>
    <row r="10050" spans="13:13" x14ac:dyDescent="0.25">
      <c r="M10050" s="34">
        <f t="shared" si="332"/>
        <v>0</v>
      </c>
    </row>
    <row r="10051" spans="13:13" x14ac:dyDescent="0.25">
      <c r="M10051" s="34">
        <f t="shared" ref="M10051:M10114" si="333">IF(AND(E10051="Chèque",G10051="RECETTE"),F10051,0)</f>
        <v>0</v>
      </c>
    </row>
    <row r="10052" spans="13:13" x14ac:dyDescent="0.25">
      <c r="M10052" s="34">
        <f t="shared" si="333"/>
        <v>0</v>
      </c>
    </row>
    <row r="10053" spans="13:13" x14ac:dyDescent="0.25">
      <c r="M10053" s="34">
        <f t="shared" si="333"/>
        <v>0</v>
      </c>
    </row>
    <row r="10054" spans="13:13" x14ac:dyDescent="0.25">
      <c r="M10054" s="34">
        <f t="shared" si="333"/>
        <v>0</v>
      </c>
    </row>
    <row r="10055" spans="13:13" x14ac:dyDescent="0.25">
      <c r="M10055" s="34">
        <f t="shared" si="333"/>
        <v>0</v>
      </c>
    </row>
    <row r="10056" spans="13:13" x14ac:dyDescent="0.25">
      <c r="M10056" s="34">
        <f t="shared" si="333"/>
        <v>0</v>
      </c>
    </row>
    <row r="10057" spans="13:13" x14ac:dyDescent="0.25">
      <c r="M10057" s="34">
        <f t="shared" si="333"/>
        <v>0</v>
      </c>
    </row>
    <row r="10058" spans="13:13" x14ac:dyDescent="0.25">
      <c r="M10058" s="34">
        <f t="shared" si="333"/>
        <v>0</v>
      </c>
    </row>
    <row r="10059" spans="13:13" x14ac:dyDescent="0.25">
      <c r="M10059" s="34">
        <f t="shared" si="333"/>
        <v>0</v>
      </c>
    </row>
    <row r="10060" spans="13:13" x14ac:dyDescent="0.25">
      <c r="M10060" s="34">
        <f t="shared" si="333"/>
        <v>0</v>
      </c>
    </row>
    <row r="10061" spans="13:13" x14ac:dyDescent="0.25">
      <c r="M10061" s="34">
        <f t="shared" si="333"/>
        <v>0</v>
      </c>
    </row>
    <row r="10062" spans="13:13" x14ac:dyDescent="0.25">
      <c r="M10062" s="34">
        <f t="shared" si="333"/>
        <v>0</v>
      </c>
    </row>
    <row r="10063" spans="13:13" x14ac:dyDescent="0.25">
      <c r="M10063" s="34">
        <f t="shared" si="333"/>
        <v>0</v>
      </c>
    </row>
    <row r="10064" spans="13:13" x14ac:dyDescent="0.25">
      <c r="M10064" s="34">
        <f t="shared" si="333"/>
        <v>0</v>
      </c>
    </row>
    <row r="10065" spans="13:13" x14ac:dyDescent="0.25">
      <c r="M10065" s="34">
        <f t="shared" si="333"/>
        <v>0</v>
      </c>
    </row>
    <row r="10066" spans="13:13" x14ac:dyDescent="0.25">
      <c r="M10066" s="34">
        <f t="shared" si="333"/>
        <v>0</v>
      </c>
    </row>
    <row r="10067" spans="13:13" x14ac:dyDescent="0.25">
      <c r="M10067" s="34">
        <f t="shared" si="333"/>
        <v>0</v>
      </c>
    </row>
    <row r="10068" spans="13:13" x14ac:dyDescent="0.25">
      <c r="M10068" s="34">
        <f t="shared" si="333"/>
        <v>0</v>
      </c>
    </row>
    <row r="10069" spans="13:13" x14ac:dyDescent="0.25">
      <c r="M10069" s="34">
        <f t="shared" si="333"/>
        <v>0</v>
      </c>
    </row>
    <row r="10070" spans="13:13" x14ac:dyDescent="0.25">
      <c r="M10070" s="34">
        <f t="shared" si="333"/>
        <v>0</v>
      </c>
    </row>
    <row r="10071" spans="13:13" x14ac:dyDescent="0.25">
      <c r="M10071" s="34">
        <f t="shared" si="333"/>
        <v>0</v>
      </c>
    </row>
    <row r="10072" spans="13:13" x14ac:dyDescent="0.25">
      <c r="M10072" s="34">
        <f t="shared" si="333"/>
        <v>0</v>
      </c>
    </row>
    <row r="10073" spans="13:13" x14ac:dyDescent="0.25">
      <c r="M10073" s="34">
        <f t="shared" si="333"/>
        <v>0</v>
      </c>
    </row>
    <row r="10074" spans="13:13" x14ac:dyDescent="0.25">
      <c r="M10074" s="34">
        <f t="shared" si="333"/>
        <v>0</v>
      </c>
    </row>
    <row r="10075" spans="13:13" x14ac:dyDescent="0.25">
      <c r="M10075" s="34">
        <f t="shared" si="333"/>
        <v>0</v>
      </c>
    </row>
    <row r="10076" spans="13:13" x14ac:dyDescent="0.25">
      <c r="M10076" s="34">
        <f t="shared" si="333"/>
        <v>0</v>
      </c>
    </row>
    <row r="10077" spans="13:13" x14ac:dyDescent="0.25">
      <c r="M10077" s="34">
        <f t="shared" si="333"/>
        <v>0</v>
      </c>
    </row>
    <row r="10078" spans="13:13" x14ac:dyDescent="0.25">
      <c r="M10078" s="34">
        <f t="shared" si="333"/>
        <v>0</v>
      </c>
    </row>
    <row r="10079" spans="13:13" x14ac:dyDescent="0.25">
      <c r="M10079" s="34">
        <f t="shared" si="333"/>
        <v>0</v>
      </c>
    </row>
    <row r="10080" spans="13:13" x14ac:dyDescent="0.25">
      <c r="M10080" s="34">
        <f t="shared" si="333"/>
        <v>0</v>
      </c>
    </row>
    <row r="10081" spans="13:13" x14ac:dyDescent="0.25">
      <c r="M10081" s="34">
        <f t="shared" si="333"/>
        <v>0</v>
      </c>
    </row>
    <row r="10082" spans="13:13" x14ac:dyDescent="0.25">
      <c r="M10082" s="34">
        <f t="shared" si="333"/>
        <v>0</v>
      </c>
    </row>
    <row r="10083" spans="13:13" x14ac:dyDescent="0.25">
      <c r="M10083" s="34">
        <f t="shared" si="333"/>
        <v>0</v>
      </c>
    </row>
    <row r="10084" spans="13:13" x14ac:dyDescent="0.25">
      <c r="M10084" s="34">
        <f t="shared" si="333"/>
        <v>0</v>
      </c>
    </row>
    <row r="10085" spans="13:13" x14ac:dyDescent="0.25">
      <c r="M10085" s="34">
        <f t="shared" si="333"/>
        <v>0</v>
      </c>
    </row>
    <row r="10086" spans="13:13" x14ac:dyDescent="0.25">
      <c r="M10086" s="34">
        <f t="shared" si="333"/>
        <v>0</v>
      </c>
    </row>
    <row r="10087" spans="13:13" x14ac:dyDescent="0.25">
      <c r="M10087" s="34">
        <f t="shared" si="333"/>
        <v>0</v>
      </c>
    </row>
    <row r="10088" spans="13:13" x14ac:dyDescent="0.25">
      <c r="M10088" s="34">
        <f t="shared" si="333"/>
        <v>0</v>
      </c>
    </row>
    <row r="10089" spans="13:13" x14ac:dyDescent="0.25">
      <c r="M10089" s="34">
        <f t="shared" si="333"/>
        <v>0</v>
      </c>
    </row>
    <row r="10090" spans="13:13" x14ac:dyDescent="0.25">
      <c r="M10090" s="34">
        <f t="shared" si="333"/>
        <v>0</v>
      </c>
    </row>
    <row r="10091" spans="13:13" x14ac:dyDescent="0.25">
      <c r="M10091" s="34">
        <f t="shared" si="333"/>
        <v>0</v>
      </c>
    </row>
    <row r="10092" spans="13:13" x14ac:dyDescent="0.25">
      <c r="M10092" s="34">
        <f t="shared" si="333"/>
        <v>0</v>
      </c>
    </row>
    <row r="10093" spans="13:13" x14ac:dyDescent="0.25">
      <c r="M10093" s="34">
        <f t="shared" si="333"/>
        <v>0</v>
      </c>
    </row>
    <row r="10094" spans="13:13" x14ac:dyDescent="0.25">
      <c r="M10094" s="34">
        <f t="shared" si="333"/>
        <v>0</v>
      </c>
    </row>
    <row r="10095" spans="13:13" x14ac:dyDescent="0.25">
      <c r="M10095" s="34">
        <f t="shared" si="333"/>
        <v>0</v>
      </c>
    </row>
    <row r="10096" spans="13:13" x14ac:dyDescent="0.25">
      <c r="M10096" s="34">
        <f t="shared" si="333"/>
        <v>0</v>
      </c>
    </row>
    <row r="10097" spans="13:13" x14ac:dyDescent="0.25">
      <c r="M10097" s="34">
        <f t="shared" si="333"/>
        <v>0</v>
      </c>
    </row>
    <row r="10098" spans="13:13" x14ac:dyDescent="0.25">
      <c r="M10098" s="34">
        <f t="shared" si="333"/>
        <v>0</v>
      </c>
    </row>
    <row r="10099" spans="13:13" x14ac:dyDescent="0.25">
      <c r="M10099" s="34">
        <f t="shared" si="333"/>
        <v>0</v>
      </c>
    </row>
    <row r="10100" spans="13:13" x14ac:dyDescent="0.25">
      <c r="M10100" s="34">
        <f t="shared" si="333"/>
        <v>0</v>
      </c>
    </row>
    <row r="10101" spans="13:13" x14ac:dyDescent="0.25">
      <c r="M10101" s="34">
        <f t="shared" si="333"/>
        <v>0</v>
      </c>
    </row>
    <row r="10102" spans="13:13" x14ac:dyDescent="0.25">
      <c r="M10102" s="34">
        <f t="shared" si="333"/>
        <v>0</v>
      </c>
    </row>
    <row r="10103" spans="13:13" x14ac:dyDescent="0.25">
      <c r="M10103" s="34">
        <f t="shared" si="333"/>
        <v>0</v>
      </c>
    </row>
    <row r="10104" spans="13:13" x14ac:dyDescent="0.25">
      <c r="M10104" s="34">
        <f t="shared" si="333"/>
        <v>0</v>
      </c>
    </row>
    <row r="10105" spans="13:13" x14ac:dyDescent="0.25">
      <c r="M10105" s="34">
        <f t="shared" si="333"/>
        <v>0</v>
      </c>
    </row>
    <row r="10106" spans="13:13" x14ac:dyDescent="0.25">
      <c r="M10106" s="34">
        <f t="shared" si="333"/>
        <v>0</v>
      </c>
    </row>
    <row r="10107" spans="13:13" x14ac:dyDescent="0.25">
      <c r="M10107" s="34">
        <f t="shared" si="333"/>
        <v>0</v>
      </c>
    </row>
    <row r="10108" spans="13:13" x14ac:dyDescent="0.25">
      <c r="M10108" s="34">
        <f t="shared" si="333"/>
        <v>0</v>
      </c>
    </row>
    <row r="10109" spans="13:13" x14ac:dyDescent="0.25">
      <c r="M10109" s="34">
        <f t="shared" si="333"/>
        <v>0</v>
      </c>
    </row>
    <row r="10110" spans="13:13" x14ac:dyDescent="0.25">
      <c r="M10110" s="34">
        <f t="shared" si="333"/>
        <v>0</v>
      </c>
    </row>
    <row r="10111" spans="13:13" x14ac:dyDescent="0.25">
      <c r="M10111" s="34">
        <f t="shared" si="333"/>
        <v>0</v>
      </c>
    </row>
    <row r="10112" spans="13:13" x14ac:dyDescent="0.25">
      <c r="M10112" s="34">
        <f t="shared" si="333"/>
        <v>0</v>
      </c>
    </row>
    <row r="10113" spans="13:13" x14ac:dyDescent="0.25">
      <c r="M10113" s="34">
        <f t="shared" si="333"/>
        <v>0</v>
      </c>
    </row>
    <row r="10114" spans="13:13" x14ac:dyDescent="0.25">
      <c r="M10114" s="34">
        <f t="shared" si="333"/>
        <v>0</v>
      </c>
    </row>
    <row r="10115" spans="13:13" x14ac:dyDescent="0.25">
      <c r="M10115" s="34">
        <f t="shared" ref="M10115:M10178" si="334">IF(AND(E10115="Chèque",G10115="RECETTE"),F10115,0)</f>
        <v>0</v>
      </c>
    </row>
    <row r="10116" spans="13:13" x14ac:dyDescent="0.25">
      <c r="M10116" s="34">
        <f t="shared" si="334"/>
        <v>0</v>
      </c>
    </row>
    <row r="10117" spans="13:13" x14ac:dyDescent="0.25">
      <c r="M10117" s="34">
        <f t="shared" si="334"/>
        <v>0</v>
      </c>
    </row>
    <row r="10118" spans="13:13" x14ac:dyDescent="0.25">
      <c r="M10118" s="34">
        <f t="shared" si="334"/>
        <v>0</v>
      </c>
    </row>
    <row r="10119" spans="13:13" x14ac:dyDescent="0.25">
      <c r="M10119" s="34">
        <f t="shared" si="334"/>
        <v>0</v>
      </c>
    </row>
    <row r="10120" spans="13:13" x14ac:dyDescent="0.25">
      <c r="M10120" s="34">
        <f t="shared" si="334"/>
        <v>0</v>
      </c>
    </row>
    <row r="10121" spans="13:13" x14ac:dyDescent="0.25">
      <c r="M10121" s="34">
        <f t="shared" si="334"/>
        <v>0</v>
      </c>
    </row>
    <row r="10122" spans="13:13" x14ac:dyDescent="0.25">
      <c r="M10122" s="34">
        <f t="shared" si="334"/>
        <v>0</v>
      </c>
    </row>
    <row r="10123" spans="13:13" x14ac:dyDescent="0.25">
      <c r="M10123" s="34">
        <f t="shared" si="334"/>
        <v>0</v>
      </c>
    </row>
    <row r="10124" spans="13:13" x14ac:dyDescent="0.25">
      <c r="M10124" s="34">
        <f t="shared" si="334"/>
        <v>0</v>
      </c>
    </row>
    <row r="10125" spans="13:13" x14ac:dyDescent="0.25">
      <c r="M10125" s="34">
        <f t="shared" si="334"/>
        <v>0</v>
      </c>
    </row>
    <row r="10126" spans="13:13" x14ac:dyDescent="0.25">
      <c r="M10126" s="34">
        <f t="shared" si="334"/>
        <v>0</v>
      </c>
    </row>
    <row r="10127" spans="13:13" x14ac:dyDescent="0.25">
      <c r="M10127" s="34">
        <f t="shared" si="334"/>
        <v>0</v>
      </c>
    </row>
    <row r="10128" spans="13:13" x14ac:dyDescent="0.25">
      <c r="M10128" s="34">
        <f t="shared" si="334"/>
        <v>0</v>
      </c>
    </row>
    <row r="10129" spans="13:13" x14ac:dyDescent="0.25">
      <c r="M10129" s="34">
        <f t="shared" si="334"/>
        <v>0</v>
      </c>
    </row>
    <row r="10130" spans="13:13" x14ac:dyDescent="0.25">
      <c r="M10130" s="34">
        <f t="shared" si="334"/>
        <v>0</v>
      </c>
    </row>
    <row r="10131" spans="13:13" x14ac:dyDescent="0.25">
      <c r="M10131" s="34">
        <f t="shared" si="334"/>
        <v>0</v>
      </c>
    </row>
    <row r="10132" spans="13:13" x14ac:dyDescent="0.25">
      <c r="M10132" s="34">
        <f t="shared" si="334"/>
        <v>0</v>
      </c>
    </row>
    <row r="10133" spans="13:13" x14ac:dyDescent="0.25">
      <c r="M10133" s="34">
        <f t="shared" si="334"/>
        <v>0</v>
      </c>
    </row>
    <row r="10134" spans="13:13" x14ac:dyDescent="0.25">
      <c r="M10134" s="34">
        <f t="shared" si="334"/>
        <v>0</v>
      </c>
    </row>
    <row r="10135" spans="13:13" x14ac:dyDescent="0.25">
      <c r="M10135" s="34">
        <f t="shared" si="334"/>
        <v>0</v>
      </c>
    </row>
    <row r="10136" spans="13:13" x14ac:dyDescent="0.25">
      <c r="M10136" s="34">
        <f t="shared" si="334"/>
        <v>0</v>
      </c>
    </row>
    <row r="10137" spans="13:13" x14ac:dyDescent="0.25">
      <c r="M10137" s="34">
        <f t="shared" si="334"/>
        <v>0</v>
      </c>
    </row>
    <row r="10138" spans="13:13" x14ac:dyDescent="0.25">
      <c r="M10138" s="34">
        <f t="shared" si="334"/>
        <v>0</v>
      </c>
    </row>
    <row r="10139" spans="13:13" x14ac:dyDescent="0.25">
      <c r="M10139" s="34">
        <f t="shared" si="334"/>
        <v>0</v>
      </c>
    </row>
    <row r="10140" spans="13:13" x14ac:dyDescent="0.25">
      <c r="M10140" s="34">
        <f t="shared" si="334"/>
        <v>0</v>
      </c>
    </row>
    <row r="10141" spans="13:13" x14ac:dyDescent="0.25">
      <c r="M10141" s="34">
        <f t="shared" si="334"/>
        <v>0</v>
      </c>
    </row>
    <row r="10142" spans="13:13" x14ac:dyDescent="0.25">
      <c r="M10142" s="34">
        <f t="shared" si="334"/>
        <v>0</v>
      </c>
    </row>
    <row r="10143" spans="13:13" x14ac:dyDescent="0.25">
      <c r="M10143" s="34">
        <f t="shared" si="334"/>
        <v>0</v>
      </c>
    </row>
    <row r="10144" spans="13:13" x14ac:dyDescent="0.25">
      <c r="M10144" s="34">
        <f t="shared" si="334"/>
        <v>0</v>
      </c>
    </row>
    <row r="10145" spans="13:13" x14ac:dyDescent="0.25">
      <c r="M10145" s="34">
        <f t="shared" si="334"/>
        <v>0</v>
      </c>
    </row>
    <row r="10146" spans="13:13" x14ac:dyDescent="0.25">
      <c r="M10146" s="34">
        <f t="shared" si="334"/>
        <v>0</v>
      </c>
    </row>
    <row r="10147" spans="13:13" x14ac:dyDescent="0.25">
      <c r="M10147" s="34">
        <f t="shared" si="334"/>
        <v>0</v>
      </c>
    </row>
    <row r="10148" spans="13:13" x14ac:dyDescent="0.25">
      <c r="M10148" s="34">
        <f t="shared" si="334"/>
        <v>0</v>
      </c>
    </row>
    <row r="10149" spans="13:13" x14ac:dyDescent="0.25">
      <c r="M10149" s="34">
        <f t="shared" si="334"/>
        <v>0</v>
      </c>
    </row>
    <row r="10150" spans="13:13" x14ac:dyDescent="0.25">
      <c r="M10150" s="34">
        <f t="shared" si="334"/>
        <v>0</v>
      </c>
    </row>
    <row r="10151" spans="13:13" x14ac:dyDescent="0.25">
      <c r="M10151" s="34">
        <f t="shared" si="334"/>
        <v>0</v>
      </c>
    </row>
    <row r="10152" spans="13:13" x14ac:dyDescent="0.25">
      <c r="M10152" s="34">
        <f t="shared" si="334"/>
        <v>0</v>
      </c>
    </row>
    <row r="10153" spans="13:13" x14ac:dyDescent="0.25">
      <c r="M10153" s="34">
        <f t="shared" si="334"/>
        <v>0</v>
      </c>
    </row>
    <row r="10154" spans="13:13" x14ac:dyDescent="0.25">
      <c r="M10154" s="34">
        <f t="shared" si="334"/>
        <v>0</v>
      </c>
    </row>
    <row r="10155" spans="13:13" x14ac:dyDescent="0.25">
      <c r="M10155" s="34">
        <f t="shared" si="334"/>
        <v>0</v>
      </c>
    </row>
    <row r="10156" spans="13:13" x14ac:dyDescent="0.25">
      <c r="M10156" s="34">
        <f t="shared" si="334"/>
        <v>0</v>
      </c>
    </row>
    <row r="10157" spans="13:13" x14ac:dyDescent="0.25">
      <c r="M10157" s="34">
        <f t="shared" si="334"/>
        <v>0</v>
      </c>
    </row>
    <row r="10158" spans="13:13" x14ac:dyDescent="0.25">
      <c r="M10158" s="34">
        <f t="shared" si="334"/>
        <v>0</v>
      </c>
    </row>
    <row r="10159" spans="13:13" x14ac:dyDescent="0.25">
      <c r="M10159" s="34">
        <f t="shared" si="334"/>
        <v>0</v>
      </c>
    </row>
    <row r="10160" spans="13:13" x14ac:dyDescent="0.25">
      <c r="M10160" s="34">
        <f t="shared" si="334"/>
        <v>0</v>
      </c>
    </row>
    <row r="10161" spans="13:13" x14ac:dyDescent="0.25">
      <c r="M10161" s="34">
        <f t="shared" si="334"/>
        <v>0</v>
      </c>
    </row>
    <row r="10162" spans="13:13" x14ac:dyDescent="0.25">
      <c r="M10162" s="34">
        <f t="shared" si="334"/>
        <v>0</v>
      </c>
    </row>
    <row r="10163" spans="13:13" x14ac:dyDescent="0.25">
      <c r="M10163" s="34">
        <f t="shared" si="334"/>
        <v>0</v>
      </c>
    </row>
    <row r="10164" spans="13:13" x14ac:dyDescent="0.25">
      <c r="M10164" s="34">
        <f t="shared" si="334"/>
        <v>0</v>
      </c>
    </row>
    <row r="10165" spans="13:13" x14ac:dyDescent="0.25">
      <c r="M10165" s="34">
        <f t="shared" si="334"/>
        <v>0</v>
      </c>
    </row>
    <row r="10166" spans="13:13" x14ac:dyDescent="0.25">
      <c r="M10166" s="34">
        <f t="shared" si="334"/>
        <v>0</v>
      </c>
    </row>
    <row r="10167" spans="13:13" x14ac:dyDescent="0.25">
      <c r="M10167" s="34">
        <f t="shared" si="334"/>
        <v>0</v>
      </c>
    </row>
    <row r="10168" spans="13:13" x14ac:dyDescent="0.25">
      <c r="M10168" s="34">
        <f t="shared" si="334"/>
        <v>0</v>
      </c>
    </row>
    <row r="10169" spans="13:13" x14ac:dyDescent="0.25">
      <c r="M10169" s="34">
        <f t="shared" si="334"/>
        <v>0</v>
      </c>
    </row>
    <row r="10170" spans="13:13" x14ac:dyDescent="0.25">
      <c r="M10170" s="34">
        <f t="shared" si="334"/>
        <v>0</v>
      </c>
    </row>
    <row r="10171" spans="13:13" x14ac:dyDescent="0.25">
      <c r="M10171" s="34">
        <f t="shared" si="334"/>
        <v>0</v>
      </c>
    </row>
    <row r="10172" spans="13:13" x14ac:dyDescent="0.25">
      <c r="M10172" s="34">
        <f t="shared" si="334"/>
        <v>0</v>
      </c>
    </row>
    <row r="10173" spans="13:13" x14ac:dyDescent="0.25">
      <c r="M10173" s="34">
        <f t="shared" si="334"/>
        <v>0</v>
      </c>
    </row>
    <row r="10174" spans="13:13" x14ac:dyDescent="0.25">
      <c r="M10174" s="34">
        <f t="shared" si="334"/>
        <v>0</v>
      </c>
    </row>
    <row r="10175" spans="13:13" x14ac:dyDescent="0.25">
      <c r="M10175" s="34">
        <f t="shared" si="334"/>
        <v>0</v>
      </c>
    </row>
    <row r="10176" spans="13:13" x14ac:dyDescent="0.25">
      <c r="M10176" s="34">
        <f t="shared" si="334"/>
        <v>0</v>
      </c>
    </row>
    <row r="10177" spans="13:13" x14ac:dyDescent="0.25">
      <c r="M10177" s="34">
        <f t="shared" si="334"/>
        <v>0</v>
      </c>
    </row>
    <row r="10178" spans="13:13" x14ac:dyDescent="0.25">
      <c r="M10178" s="34">
        <f t="shared" si="334"/>
        <v>0</v>
      </c>
    </row>
    <row r="10179" spans="13:13" x14ac:dyDescent="0.25">
      <c r="M10179" s="34">
        <f t="shared" ref="M10179:M10242" si="335">IF(AND(E10179="Chèque",G10179="RECETTE"),F10179,0)</f>
        <v>0</v>
      </c>
    </row>
    <row r="10180" spans="13:13" x14ac:dyDescent="0.25">
      <c r="M10180" s="34">
        <f t="shared" si="335"/>
        <v>0</v>
      </c>
    </row>
    <row r="10181" spans="13:13" x14ac:dyDescent="0.25">
      <c r="M10181" s="34">
        <f t="shared" si="335"/>
        <v>0</v>
      </c>
    </row>
    <row r="10182" spans="13:13" x14ac:dyDescent="0.25">
      <c r="M10182" s="34">
        <f t="shared" si="335"/>
        <v>0</v>
      </c>
    </row>
    <row r="10183" spans="13:13" x14ac:dyDescent="0.25">
      <c r="M10183" s="34">
        <f t="shared" si="335"/>
        <v>0</v>
      </c>
    </row>
    <row r="10184" spans="13:13" x14ac:dyDescent="0.25">
      <c r="M10184" s="34">
        <f t="shared" si="335"/>
        <v>0</v>
      </c>
    </row>
    <row r="10185" spans="13:13" x14ac:dyDescent="0.25">
      <c r="M10185" s="34">
        <f t="shared" si="335"/>
        <v>0</v>
      </c>
    </row>
    <row r="10186" spans="13:13" x14ac:dyDescent="0.25">
      <c r="M10186" s="34">
        <f t="shared" si="335"/>
        <v>0</v>
      </c>
    </row>
    <row r="10187" spans="13:13" x14ac:dyDescent="0.25">
      <c r="M10187" s="34">
        <f t="shared" si="335"/>
        <v>0</v>
      </c>
    </row>
    <row r="10188" spans="13:13" x14ac:dyDescent="0.25">
      <c r="M10188" s="34">
        <f t="shared" si="335"/>
        <v>0</v>
      </c>
    </row>
    <row r="10189" spans="13:13" x14ac:dyDescent="0.25">
      <c r="M10189" s="34">
        <f t="shared" si="335"/>
        <v>0</v>
      </c>
    </row>
    <row r="10190" spans="13:13" x14ac:dyDescent="0.25">
      <c r="M10190" s="34">
        <f t="shared" si="335"/>
        <v>0</v>
      </c>
    </row>
    <row r="10191" spans="13:13" x14ac:dyDescent="0.25">
      <c r="M10191" s="34">
        <f t="shared" si="335"/>
        <v>0</v>
      </c>
    </row>
    <row r="10192" spans="13:13" x14ac:dyDescent="0.25">
      <c r="M10192" s="34">
        <f t="shared" si="335"/>
        <v>0</v>
      </c>
    </row>
    <row r="10193" spans="13:13" x14ac:dyDescent="0.25">
      <c r="M10193" s="34">
        <f t="shared" si="335"/>
        <v>0</v>
      </c>
    </row>
    <row r="10194" spans="13:13" x14ac:dyDescent="0.25">
      <c r="M10194" s="34">
        <f t="shared" si="335"/>
        <v>0</v>
      </c>
    </row>
    <row r="10195" spans="13:13" x14ac:dyDescent="0.25">
      <c r="M10195" s="34">
        <f t="shared" si="335"/>
        <v>0</v>
      </c>
    </row>
    <row r="10196" spans="13:13" x14ac:dyDescent="0.25">
      <c r="M10196" s="34">
        <f t="shared" si="335"/>
        <v>0</v>
      </c>
    </row>
    <row r="10197" spans="13:13" x14ac:dyDescent="0.25">
      <c r="M10197" s="34">
        <f t="shared" si="335"/>
        <v>0</v>
      </c>
    </row>
    <row r="10198" spans="13:13" x14ac:dyDescent="0.25">
      <c r="M10198" s="34">
        <f t="shared" si="335"/>
        <v>0</v>
      </c>
    </row>
    <row r="10199" spans="13:13" x14ac:dyDescent="0.25">
      <c r="M10199" s="34">
        <f t="shared" si="335"/>
        <v>0</v>
      </c>
    </row>
    <row r="10200" spans="13:13" x14ac:dyDescent="0.25">
      <c r="M10200" s="34">
        <f t="shared" si="335"/>
        <v>0</v>
      </c>
    </row>
    <row r="10201" spans="13:13" x14ac:dyDescent="0.25">
      <c r="M10201" s="34">
        <f t="shared" si="335"/>
        <v>0</v>
      </c>
    </row>
    <row r="10202" spans="13:13" x14ac:dyDescent="0.25">
      <c r="M10202" s="34">
        <f t="shared" si="335"/>
        <v>0</v>
      </c>
    </row>
    <row r="10203" spans="13:13" x14ac:dyDescent="0.25">
      <c r="M10203" s="34">
        <f t="shared" si="335"/>
        <v>0</v>
      </c>
    </row>
    <row r="10204" spans="13:13" x14ac:dyDescent="0.25">
      <c r="M10204" s="34">
        <f t="shared" si="335"/>
        <v>0</v>
      </c>
    </row>
    <row r="10205" spans="13:13" x14ac:dyDescent="0.25">
      <c r="M10205" s="34">
        <f t="shared" si="335"/>
        <v>0</v>
      </c>
    </row>
    <row r="10206" spans="13:13" x14ac:dyDescent="0.25">
      <c r="M10206" s="34">
        <f t="shared" si="335"/>
        <v>0</v>
      </c>
    </row>
    <row r="10207" spans="13:13" x14ac:dyDescent="0.25">
      <c r="M10207" s="34">
        <f t="shared" si="335"/>
        <v>0</v>
      </c>
    </row>
    <row r="10208" spans="13:13" x14ac:dyDescent="0.25">
      <c r="M10208" s="34">
        <f t="shared" si="335"/>
        <v>0</v>
      </c>
    </row>
    <row r="10209" spans="13:13" x14ac:dyDescent="0.25">
      <c r="M10209" s="34">
        <f t="shared" si="335"/>
        <v>0</v>
      </c>
    </row>
    <row r="10210" spans="13:13" x14ac:dyDescent="0.25">
      <c r="M10210" s="34">
        <f t="shared" si="335"/>
        <v>0</v>
      </c>
    </row>
    <row r="10211" spans="13:13" x14ac:dyDescent="0.25">
      <c r="M10211" s="34">
        <f t="shared" si="335"/>
        <v>0</v>
      </c>
    </row>
    <row r="10212" spans="13:13" x14ac:dyDescent="0.25">
      <c r="M10212" s="34">
        <f t="shared" si="335"/>
        <v>0</v>
      </c>
    </row>
    <row r="10213" spans="13:13" x14ac:dyDescent="0.25">
      <c r="M10213" s="34">
        <f t="shared" si="335"/>
        <v>0</v>
      </c>
    </row>
    <row r="10214" spans="13:13" x14ac:dyDescent="0.25">
      <c r="M10214" s="34">
        <f t="shared" si="335"/>
        <v>0</v>
      </c>
    </row>
    <row r="10215" spans="13:13" x14ac:dyDescent="0.25">
      <c r="M10215" s="34">
        <f t="shared" si="335"/>
        <v>0</v>
      </c>
    </row>
    <row r="10216" spans="13:13" x14ac:dyDescent="0.25">
      <c r="M10216" s="34">
        <f t="shared" si="335"/>
        <v>0</v>
      </c>
    </row>
    <row r="10217" spans="13:13" x14ac:dyDescent="0.25">
      <c r="M10217" s="34">
        <f t="shared" si="335"/>
        <v>0</v>
      </c>
    </row>
    <row r="10218" spans="13:13" x14ac:dyDescent="0.25">
      <c r="M10218" s="34">
        <f t="shared" si="335"/>
        <v>0</v>
      </c>
    </row>
    <row r="10219" spans="13:13" x14ac:dyDescent="0.25">
      <c r="M10219" s="34">
        <f t="shared" si="335"/>
        <v>0</v>
      </c>
    </row>
    <row r="10220" spans="13:13" x14ac:dyDescent="0.25">
      <c r="M10220" s="34">
        <f t="shared" si="335"/>
        <v>0</v>
      </c>
    </row>
    <row r="10221" spans="13:13" x14ac:dyDescent="0.25">
      <c r="M10221" s="34">
        <f t="shared" si="335"/>
        <v>0</v>
      </c>
    </row>
    <row r="10222" spans="13:13" x14ac:dyDescent="0.25">
      <c r="M10222" s="34">
        <f t="shared" si="335"/>
        <v>0</v>
      </c>
    </row>
    <row r="10223" spans="13:13" x14ac:dyDescent="0.25">
      <c r="M10223" s="34">
        <f t="shared" si="335"/>
        <v>0</v>
      </c>
    </row>
    <row r="10224" spans="13:13" x14ac:dyDescent="0.25">
      <c r="M10224" s="34">
        <f t="shared" si="335"/>
        <v>0</v>
      </c>
    </row>
    <row r="10225" spans="13:13" x14ac:dyDescent="0.25">
      <c r="M10225" s="34">
        <f t="shared" si="335"/>
        <v>0</v>
      </c>
    </row>
    <row r="10226" spans="13:13" x14ac:dyDescent="0.25">
      <c r="M10226" s="34">
        <f t="shared" si="335"/>
        <v>0</v>
      </c>
    </row>
    <row r="10227" spans="13:13" x14ac:dyDescent="0.25">
      <c r="M10227" s="34">
        <f t="shared" si="335"/>
        <v>0</v>
      </c>
    </row>
    <row r="10228" spans="13:13" x14ac:dyDescent="0.25">
      <c r="M10228" s="34">
        <f t="shared" si="335"/>
        <v>0</v>
      </c>
    </row>
    <row r="10229" spans="13:13" x14ac:dyDescent="0.25">
      <c r="M10229" s="34">
        <f t="shared" si="335"/>
        <v>0</v>
      </c>
    </row>
    <row r="10230" spans="13:13" x14ac:dyDescent="0.25">
      <c r="M10230" s="34">
        <f t="shared" si="335"/>
        <v>0</v>
      </c>
    </row>
    <row r="10231" spans="13:13" x14ac:dyDescent="0.25">
      <c r="M10231" s="34">
        <f t="shared" si="335"/>
        <v>0</v>
      </c>
    </row>
    <row r="10232" spans="13:13" x14ac:dyDescent="0.25">
      <c r="M10232" s="34">
        <f t="shared" si="335"/>
        <v>0</v>
      </c>
    </row>
    <row r="10233" spans="13:13" x14ac:dyDescent="0.25">
      <c r="M10233" s="34">
        <f t="shared" si="335"/>
        <v>0</v>
      </c>
    </row>
    <row r="10234" spans="13:13" x14ac:dyDescent="0.25">
      <c r="M10234" s="34">
        <f t="shared" si="335"/>
        <v>0</v>
      </c>
    </row>
    <row r="10235" spans="13:13" x14ac:dyDescent="0.25">
      <c r="M10235" s="34">
        <f t="shared" si="335"/>
        <v>0</v>
      </c>
    </row>
    <row r="10236" spans="13:13" x14ac:dyDescent="0.25">
      <c r="M10236" s="34">
        <f t="shared" si="335"/>
        <v>0</v>
      </c>
    </row>
    <row r="10237" spans="13:13" x14ac:dyDescent="0.25">
      <c r="M10237" s="34">
        <f t="shared" si="335"/>
        <v>0</v>
      </c>
    </row>
    <row r="10238" spans="13:13" x14ac:dyDescent="0.25">
      <c r="M10238" s="34">
        <f t="shared" si="335"/>
        <v>0</v>
      </c>
    </row>
    <row r="10239" spans="13:13" x14ac:dyDescent="0.25">
      <c r="M10239" s="34">
        <f t="shared" si="335"/>
        <v>0</v>
      </c>
    </row>
    <row r="10240" spans="13:13" x14ac:dyDescent="0.25">
      <c r="M10240" s="34">
        <f t="shared" si="335"/>
        <v>0</v>
      </c>
    </row>
    <row r="10241" spans="13:13" x14ac:dyDescent="0.25">
      <c r="M10241" s="34">
        <f t="shared" si="335"/>
        <v>0</v>
      </c>
    </row>
    <row r="10242" spans="13:13" x14ac:dyDescent="0.25">
      <c r="M10242" s="34">
        <f t="shared" si="335"/>
        <v>0</v>
      </c>
    </row>
    <row r="10243" spans="13:13" x14ac:dyDescent="0.25">
      <c r="M10243" s="34">
        <f t="shared" ref="M10243:M10306" si="336">IF(AND(E10243="Chèque",G10243="RECETTE"),F10243,0)</f>
        <v>0</v>
      </c>
    </row>
    <row r="10244" spans="13:13" x14ac:dyDescent="0.25">
      <c r="M10244" s="34">
        <f t="shared" si="336"/>
        <v>0</v>
      </c>
    </row>
    <row r="10245" spans="13:13" x14ac:dyDescent="0.25">
      <c r="M10245" s="34">
        <f t="shared" si="336"/>
        <v>0</v>
      </c>
    </row>
    <row r="10246" spans="13:13" x14ac:dyDescent="0.25">
      <c r="M10246" s="34">
        <f t="shared" si="336"/>
        <v>0</v>
      </c>
    </row>
    <row r="10247" spans="13:13" x14ac:dyDescent="0.25">
      <c r="M10247" s="34">
        <f t="shared" si="336"/>
        <v>0</v>
      </c>
    </row>
    <row r="10248" spans="13:13" x14ac:dyDescent="0.25">
      <c r="M10248" s="34">
        <f t="shared" si="336"/>
        <v>0</v>
      </c>
    </row>
    <row r="10249" spans="13:13" x14ac:dyDescent="0.25">
      <c r="M10249" s="34">
        <f t="shared" si="336"/>
        <v>0</v>
      </c>
    </row>
    <row r="10250" spans="13:13" x14ac:dyDescent="0.25">
      <c r="M10250" s="34">
        <f t="shared" si="336"/>
        <v>0</v>
      </c>
    </row>
    <row r="10251" spans="13:13" x14ac:dyDescent="0.25">
      <c r="M10251" s="34">
        <f t="shared" si="336"/>
        <v>0</v>
      </c>
    </row>
    <row r="10252" spans="13:13" x14ac:dyDescent="0.25">
      <c r="M10252" s="34">
        <f t="shared" si="336"/>
        <v>0</v>
      </c>
    </row>
    <row r="10253" spans="13:13" x14ac:dyDescent="0.25">
      <c r="M10253" s="34">
        <f t="shared" si="336"/>
        <v>0</v>
      </c>
    </row>
    <row r="10254" spans="13:13" x14ac:dyDescent="0.25">
      <c r="M10254" s="34">
        <f t="shared" si="336"/>
        <v>0</v>
      </c>
    </row>
    <row r="10255" spans="13:13" x14ac:dyDescent="0.25">
      <c r="M10255" s="34">
        <f t="shared" si="336"/>
        <v>0</v>
      </c>
    </row>
    <row r="10256" spans="13:13" x14ac:dyDescent="0.25">
      <c r="M10256" s="34">
        <f t="shared" si="336"/>
        <v>0</v>
      </c>
    </row>
    <row r="10257" spans="13:13" x14ac:dyDescent="0.25">
      <c r="M10257" s="34">
        <f t="shared" si="336"/>
        <v>0</v>
      </c>
    </row>
    <row r="10258" spans="13:13" x14ac:dyDescent="0.25">
      <c r="M10258" s="34">
        <f t="shared" si="336"/>
        <v>0</v>
      </c>
    </row>
    <row r="10259" spans="13:13" x14ac:dyDescent="0.25">
      <c r="M10259" s="34">
        <f t="shared" si="336"/>
        <v>0</v>
      </c>
    </row>
    <row r="10260" spans="13:13" x14ac:dyDescent="0.25">
      <c r="M10260" s="34">
        <f t="shared" si="336"/>
        <v>0</v>
      </c>
    </row>
    <row r="10261" spans="13:13" x14ac:dyDescent="0.25">
      <c r="M10261" s="34">
        <f t="shared" si="336"/>
        <v>0</v>
      </c>
    </row>
    <row r="10262" spans="13:13" x14ac:dyDescent="0.25">
      <c r="M10262" s="34">
        <f t="shared" si="336"/>
        <v>0</v>
      </c>
    </row>
    <row r="10263" spans="13:13" x14ac:dyDescent="0.25">
      <c r="M10263" s="34">
        <f t="shared" si="336"/>
        <v>0</v>
      </c>
    </row>
    <row r="10264" spans="13:13" x14ac:dyDescent="0.25">
      <c r="M10264" s="34">
        <f t="shared" si="336"/>
        <v>0</v>
      </c>
    </row>
    <row r="10265" spans="13:13" x14ac:dyDescent="0.25">
      <c r="M10265" s="34">
        <f t="shared" si="336"/>
        <v>0</v>
      </c>
    </row>
    <row r="10266" spans="13:13" x14ac:dyDescent="0.25">
      <c r="M10266" s="34">
        <f t="shared" si="336"/>
        <v>0</v>
      </c>
    </row>
    <row r="10267" spans="13:13" x14ac:dyDescent="0.25">
      <c r="M10267" s="34">
        <f t="shared" si="336"/>
        <v>0</v>
      </c>
    </row>
    <row r="10268" spans="13:13" x14ac:dyDescent="0.25">
      <c r="M10268" s="34">
        <f t="shared" si="336"/>
        <v>0</v>
      </c>
    </row>
    <row r="10269" spans="13:13" x14ac:dyDescent="0.25">
      <c r="M10269" s="34">
        <f t="shared" si="336"/>
        <v>0</v>
      </c>
    </row>
    <row r="10270" spans="13:13" x14ac:dyDescent="0.25">
      <c r="M10270" s="34">
        <f t="shared" si="336"/>
        <v>0</v>
      </c>
    </row>
    <row r="10271" spans="13:13" x14ac:dyDescent="0.25">
      <c r="M10271" s="34">
        <f t="shared" si="336"/>
        <v>0</v>
      </c>
    </row>
    <row r="10272" spans="13:13" x14ac:dyDescent="0.25">
      <c r="M10272" s="34">
        <f t="shared" si="336"/>
        <v>0</v>
      </c>
    </row>
    <row r="10273" spans="13:13" x14ac:dyDescent="0.25">
      <c r="M10273" s="34">
        <f t="shared" si="336"/>
        <v>0</v>
      </c>
    </row>
    <row r="10274" spans="13:13" x14ac:dyDescent="0.25">
      <c r="M10274" s="34">
        <f t="shared" si="336"/>
        <v>0</v>
      </c>
    </row>
    <row r="10275" spans="13:13" x14ac:dyDescent="0.25">
      <c r="M10275" s="34">
        <f t="shared" si="336"/>
        <v>0</v>
      </c>
    </row>
    <row r="10276" spans="13:13" x14ac:dyDescent="0.25">
      <c r="M10276" s="34">
        <f t="shared" si="336"/>
        <v>0</v>
      </c>
    </row>
    <row r="10277" spans="13:13" x14ac:dyDescent="0.25">
      <c r="M10277" s="34">
        <f t="shared" si="336"/>
        <v>0</v>
      </c>
    </row>
    <row r="10278" spans="13:13" x14ac:dyDescent="0.25">
      <c r="M10278" s="34">
        <f t="shared" si="336"/>
        <v>0</v>
      </c>
    </row>
    <row r="10279" spans="13:13" x14ac:dyDescent="0.25">
      <c r="M10279" s="34">
        <f t="shared" si="336"/>
        <v>0</v>
      </c>
    </row>
    <row r="10280" spans="13:13" x14ac:dyDescent="0.25">
      <c r="M10280" s="34">
        <f t="shared" si="336"/>
        <v>0</v>
      </c>
    </row>
    <row r="10281" spans="13:13" x14ac:dyDescent="0.25">
      <c r="M10281" s="34">
        <f t="shared" si="336"/>
        <v>0</v>
      </c>
    </row>
    <row r="10282" spans="13:13" x14ac:dyDescent="0.25">
      <c r="M10282" s="34">
        <f t="shared" si="336"/>
        <v>0</v>
      </c>
    </row>
    <row r="10283" spans="13:13" x14ac:dyDescent="0.25">
      <c r="M10283" s="34">
        <f t="shared" si="336"/>
        <v>0</v>
      </c>
    </row>
    <row r="10284" spans="13:13" x14ac:dyDescent="0.25">
      <c r="M10284" s="34">
        <f t="shared" si="336"/>
        <v>0</v>
      </c>
    </row>
    <row r="10285" spans="13:13" x14ac:dyDescent="0.25">
      <c r="M10285" s="34">
        <f t="shared" si="336"/>
        <v>0</v>
      </c>
    </row>
    <row r="10286" spans="13:13" x14ac:dyDescent="0.25">
      <c r="M10286" s="34">
        <f t="shared" si="336"/>
        <v>0</v>
      </c>
    </row>
    <row r="10287" spans="13:13" x14ac:dyDescent="0.25">
      <c r="M10287" s="34">
        <f t="shared" si="336"/>
        <v>0</v>
      </c>
    </row>
    <row r="10288" spans="13:13" x14ac:dyDescent="0.25">
      <c r="M10288" s="34">
        <f t="shared" si="336"/>
        <v>0</v>
      </c>
    </row>
    <row r="10289" spans="13:13" x14ac:dyDescent="0.25">
      <c r="M10289" s="34">
        <f t="shared" si="336"/>
        <v>0</v>
      </c>
    </row>
    <row r="10290" spans="13:13" x14ac:dyDescent="0.25">
      <c r="M10290" s="34">
        <f t="shared" si="336"/>
        <v>0</v>
      </c>
    </row>
    <row r="10291" spans="13:13" x14ac:dyDescent="0.25">
      <c r="M10291" s="34">
        <f t="shared" si="336"/>
        <v>0</v>
      </c>
    </row>
    <row r="10292" spans="13:13" x14ac:dyDescent="0.25">
      <c r="M10292" s="34">
        <f t="shared" si="336"/>
        <v>0</v>
      </c>
    </row>
    <row r="10293" spans="13:13" x14ac:dyDescent="0.25">
      <c r="M10293" s="34">
        <f t="shared" si="336"/>
        <v>0</v>
      </c>
    </row>
    <row r="10294" spans="13:13" x14ac:dyDescent="0.25">
      <c r="M10294" s="34">
        <f t="shared" si="336"/>
        <v>0</v>
      </c>
    </row>
    <row r="10295" spans="13:13" x14ac:dyDescent="0.25">
      <c r="M10295" s="34">
        <f t="shared" si="336"/>
        <v>0</v>
      </c>
    </row>
    <row r="10296" spans="13:13" x14ac:dyDescent="0.25">
      <c r="M10296" s="34">
        <f t="shared" si="336"/>
        <v>0</v>
      </c>
    </row>
    <row r="10297" spans="13:13" x14ac:dyDescent="0.25">
      <c r="M10297" s="34">
        <f t="shared" si="336"/>
        <v>0</v>
      </c>
    </row>
    <row r="10298" spans="13:13" x14ac:dyDescent="0.25">
      <c r="M10298" s="34">
        <f t="shared" si="336"/>
        <v>0</v>
      </c>
    </row>
    <row r="10299" spans="13:13" x14ac:dyDescent="0.25">
      <c r="M10299" s="34">
        <f t="shared" si="336"/>
        <v>0</v>
      </c>
    </row>
    <row r="10300" spans="13:13" x14ac:dyDescent="0.25">
      <c r="M10300" s="34">
        <f t="shared" si="336"/>
        <v>0</v>
      </c>
    </row>
    <row r="10301" spans="13:13" x14ac:dyDescent="0.25">
      <c r="M10301" s="34">
        <f t="shared" si="336"/>
        <v>0</v>
      </c>
    </row>
    <row r="10302" spans="13:13" x14ac:dyDescent="0.25">
      <c r="M10302" s="34">
        <f t="shared" si="336"/>
        <v>0</v>
      </c>
    </row>
    <row r="10303" spans="13:13" x14ac:dyDescent="0.25">
      <c r="M10303" s="34">
        <f t="shared" si="336"/>
        <v>0</v>
      </c>
    </row>
    <row r="10304" spans="13:13" x14ac:dyDescent="0.25">
      <c r="M10304" s="34">
        <f t="shared" si="336"/>
        <v>0</v>
      </c>
    </row>
    <row r="10305" spans="13:13" x14ac:dyDescent="0.25">
      <c r="M10305" s="34">
        <f t="shared" si="336"/>
        <v>0</v>
      </c>
    </row>
    <row r="10306" spans="13:13" x14ac:dyDescent="0.25">
      <c r="M10306" s="34">
        <f t="shared" si="336"/>
        <v>0</v>
      </c>
    </row>
    <row r="10307" spans="13:13" x14ac:dyDescent="0.25">
      <c r="M10307" s="34">
        <f t="shared" ref="M10307:M10370" si="337">IF(AND(E10307="Chèque",G10307="RECETTE"),F10307,0)</f>
        <v>0</v>
      </c>
    </row>
    <row r="10308" spans="13:13" x14ac:dyDescent="0.25">
      <c r="M10308" s="34">
        <f t="shared" si="337"/>
        <v>0</v>
      </c>
    </row>
    <row r="10309" spans="13:13" x14ac:dyDescent="0.25">
      <c r="M10309" s="34">
        <f t="shared" si="337"/>
        <v>0</v>
      </c>
    </row>
    <row r="10310" spans="13:13" x14ac:dyDescent="0.25">
      <c r="M10310" s="34">
        <f t="shared" si="337"/>
        <v>0</v>
      </c>
    </row>
    <row r="10311" spans="13:13" x14ac:dyDescent="0.25">
      <c r="M10311" s="34">
        <f t="shared" si="337"/>
        <v>0</v>
      </c>
    </row>
    <row r="10312" spans="13:13" x14ac:dyDescent="0.25">
      <c r="M10312" s="34">
        <f t="shared" si="337"/>
        <v>0</v>
      </c>
    </row>
    <row r="10313" spans="13:13" x14ac:dyDescent="0.25">
      <c r="M10313" s="34">
        <f t="shared" si="337"/>
        <v>0</v>
      </c>
    </row>
    <row r="10314" spans="13:13" x14ac:dyDescent="0.25">
      <c r="M10314" s="34">
        <f t="shared" si="337"/>
        <v>0</v>
      </c>
    </row>
    <row r="10315" spans="13:13" x14ac:dyDescent="0.25">
      <c r="M10315" s="34">
        <f t="shared" si="337"/>
        <v>0</v>
      </c>
    </row>
    <row r="10316" spans="13:13" x14ac:dyDescent="0.25">
      <c r="M10316" s="34">
        <f t="shared" si="337"/>
        <v>0</v>
      </c>
    </row>
    <row r="10317" spans="13:13" x14ac:dyDescent="0.25">
      <c r="M10317" s="34">
        <f t="shared" si="337"/>
        <v>0</v>
      </c>
    </row>
    <row r="10318" spans="13:13" x14ac:dyDescent="0.25">
      <c r="M10318" s="34">
        <f t="shared" si="337"/>
        <v>0</v>
      </c>
    </row>
    <row r="10319" spans="13:13" x14ac:dyDescent="0.25">
      <c r="M10319" s="34">
        <f t="shared" si="337"/>
        <v>0</v>
      </c>
    </row>
    <row r="10320" spans="13:13" x14ac:dyDescent="0.25">
      <c r="M10320" s="34">
        <f t="shared" si="337"/>
        <v>0</v>
      </c>
    </row>
    <row r="10321" spans="13:13" x14ac:dyDescent="0.25">
      <c r="M10321" s="34">
        <f t="shared" si="337"/>
        <v>0</v>
      </c>
    </row>
    <row r="10322" spans="13:13" x14ac:dyDescent="0.25">
      <c r="M10322" s="34">
        <f t="shared" si="337"/>
        <v>0</v>
      </c>
    </row>
    <row r="10323" spans="13:13" x14ac:dyDescent="0.25">
      <c r="M10323" s="34">
        <f t="shared" si="337"/>
        <v>0</v>
      </c>
    </row>
    <row r="10324" spans="13:13" x14ac:dyDescent="0.25">
      <c r="M10324" s="34">
        <f t="shared" si="337"/>
        <v>0</v>
      </c>
    </row>
    <row r="10325" spans="13:13" x14ac:dyDescent="0.25">
      <c r="M10325" s="34">
        <f t="shared" si="337"/>
        <v>0</v>
      </c>
    </row>
    <row r="10326" spans="13:13" x14ac:dyDescent="0.25">
      <c r="M10326" s="34">
        <f t="shared" si="337"/>
        <v>0</v>
      </c>
    </row>
    <row r="10327" spans="13:13" x14ac:dyDescent="0.25">
      <c r="M10327" s="34">
        <f t="shared" si="337"/>
        <v>0</v>
      </c>
    </row>
    <row r="10328" spans="13:13" x14ac:dyDescent="0.25">
      <c r="M10328" s="34">
        <f t="shared" si="337"/>
        <v>0</v>
      </c>
    </row>
    <row r="10329" spans="13:13" x14ac:dyDescent="0.25">
      <c r="M10329" s="34">
        <f t="shared" si="337"/>
        <v>0</v>
      </c>
    </row>
    <row r="10330" spans="13:13" x14ac:dyDescent="0.25">
      <c r="M10330" s="34">
        <f t="shared" si="337"/>
        <v>0</v>
      </c>
    </row>
    <row r="10331" spans="13:13" x14ac:dyDescent="0.25">
      <c r="M10331" s="34">
        <f t="shared" si="337"/>
        <v>0</v>
      </c>
    </row>
    <row r="10332" spans="13:13" x14ac:dyDescent="0.25">
      <c r="M10332" s="34">
        <f t="shared" si="337"/>
        <v>0</v>
      </c>
    </row>
    <row r="10333" spans="13:13" x14ac:dyDescent="0.25">
      <c r="M10333" s="34">
        <f t="shared" si="337"/>
        <v>0</v>
      </c>
    </row>
    <row r="10334" spans="13:13" x14ac:dyDescent="0.25">
      <c r="M10334" s="34">
        <f t="shared" si="337"/>
        <v>0</v>
      </c>
    </row>
    <row r="10335" spans="13:13" x14ac:dyDescent="0.25">
      <c r="M10335" s="34">
        <f t="shared" si="337"/>
        <v>0</v>
      </c>
    </row>
    <row r="10336" spans="13:13" x14ac:dyDescent="0.25">
      <c r="M10336" s="34">
        <f t="shared" si="337"/>
        <v>0</v>
      </c>
    </row>
    <row r="10337" spans="13:13" x14ac:dyDescent="0.25">
      <c r="M10337" s="34">
        <f t="shared" si="337"/>
        <v>0</v>
      </c>
    </row>
    <row r="10338" spans="13:13" x14ac:dyDescent="0.25">
      <c r="M10338" s="34">
        <f t="shared" si="337"/>
        <v>0</v>
      </c>
    </row>
    <row r="10339" spans="13:13" x14ac:dyDescent="0.25">
      <c r="M10339" s="34">
        <f t="shared" si="337"/>
        <v>0</v>
      </c>
    </row>
    <row r="10340" spans="13:13" x14ac:dyDescent="0.25">
      <c r="M10340" s="34">
        <f t="shared" si="337"/>
        <v>0</v>
      </c>
    </row>
    <row r="10341" spans="13:13" x14ac:dyDescent="0.25">
      <c r="M10341" s="34">
        <f t="shared" si="337"/>
        <v>0</v>
      </c>
    </row>
    <row r="10342" spans="13:13" x14ac:dyDescent="0.25">
      <c r="M10342" s="34">
        <f t="shared" si="337"/>
        <v>0</v>
      </c>
    </row>
    <row r="10343" spans="13:13" x14ac:dyDescent="0.25">
      <c r="M10343" s="34">
        <f t="shared" si="337"/>
        <v>0</v>
      </c>
    </row>
    <row r="10344" spans="13:13" x14ac:dyDescent="0.25">
      <c r="M10344" s="34">
        <f t="shared" si="337"/>
        <v>0</v>
      </c>
    </row>
    <row r="10345" spans="13:13" x14ac:dyDescent="0.25">
      <c r="M10345" s="34">
        <f t="shared" si="337"/>
        <v>0</v>
      </c>
    </row>
    <row r="10346" spans="13:13" x14ac:dyDescent="0.25">
      <c r="M10346" s="34">
        <f t="shared" si="337"/>
        <v>0</v>
      </c>
    </row>
    <row r="10347" spans="13:13" x14ac:dyDescent="0.25">
      <c r="M10347" s="34">
        <f t="shared" si="337"/>
        <v>0</v>
      </c>
    </row>
    <row r="10348" spans="13:13" x14ac:dyDescent="0.25">
      <c r="M10348" s="34">
        <f t="shared" si="337"/>
        <v>0</v>
      </c>
    </row>
    <row r="10349" spans="13:13" x14ac:dyDescent="0.25">
      <c r="M10349" s="34">
        <f t="shared" si="337"/>
        <v>0</v>
      </c>
    </row>
    <row r="10350" spans="13:13" x14ac:dyDescent="0.25">
      <c r="M10350" s="34">
        <f t="shared" si="337"/>
        <v>0</v>
      </c>
    </row>
    <row r="10351" spans="13:13" x14ac:dyDescent="0.25">
      <c r="M10351" s="34">
        <f t="shared" si="337"/>
        <v>0</v>
      </c>
    </row>
    <row r="10352" spans="13:13" x14ac:dyDescent="0.25">
      <c r="M10352" s="34">
        <f t="shared" si="337"/>
        <v>0</v>
      </c>
    </row>
    <row r="10353" spans="13:13" x14ac:dyDescent="0.25">
      <c r="M10353" s="34">
        <f t="shared" si="337"/>
        <v>0</v>
      </c>
    </row>
    <row r="10354" spans="13:13" x14ac:dyDescent="0.25">
      <c r="M10354" s="34">
        <f t="shared" si="337"/>
        <v>0</v>
      </c>
    </row>
    <row r="10355" spans="13:13" x14ac:dyDescent="0.25">
      <c r="M10355" s="34">
        <f t="shared" si="337"/>
        <v>0</v>
      </c>
    </row>
    <row r="10356" spans="13:13" x14ac:dyDescent="0.25">
      <c r="M10356" s="34">
        <f t="shared" si="337"/>
        <v>0</v>
      </c>
    </row>
    <row r="10357" spans="13:13" x14ac:dyDescent="0.25">
      <c r="M10357" s="34">
        <f t="shared" si="337"/>
        <v>0</v>
      </c>
    </row>
    <row r="10358" spans="13:13" x14ac:dyDescent="0.25">
      <c r="M10358" s="34">
        <f t="shared" si="337"/>
        <v>0</v>
      </c>
    </row>
    <row r="10359" spans="13:13" x14ac:dyDescent="0.25">
      <c r="M10359" s="34">
        <f t="shared" si="337"/>
        <v>0</v>
      </c>
    </row>
    <row r="10360" spans="13:13" x14ac:dyDescent="0.25">
      <c r="M10360" s="34">
        <f t="shared" si="337"/>
        <v>0</v>
      </c>
    </row>
    <row r="10361" spans="13:13" x14ac:dyDescent="0.25">
      <c r="M10361" s="34">
        <f t="shared" si="337"/>
        <v>0</v>
      </c>
    </row>
    <row r="10362" spans="13:13" x14ac:dyDescent="0.25">
      <c r="M10362" s="34">
        <f t="shared" si="337"/>
        <v>0</v>
      </c>
    </row>
    <row r="10363" spans="13:13" x14ac:dyDescent="0.25">
      <c r="M10363" s="34">
        <f t="shared" si="337"/>
        <v>0</v>
      </c>
    </row>
    <row r="10364" spans="13:13" x14ac:dyDescent="0.25">
      <c r="M10364" s="34">
        <f t="shared" si="337"/>
        <v>0</v>
      </c>
    </row>
    <row r="10365" spans="13:13" x14ac:dyDescent="0.25">
      <c r="M10365" s="34">
        <f t="shared" si="337"/>
        <v>0</v>
      </c>
    </row>
    <row r="10366" spans="13:13" x14ac:dyDescent="0.25">
      <c r="M10366" s="34">
        <f t="shared" si="337"/>
        <v>0</v>
      </c>
    </row>
    <row r="10367" spans="13:13" x14ac:dyDescent="0.25">
      <c r="M10367" s="34">
        <f t="shared" si="337"/>
        <v>0</v>
      </c>
    </row>
    <row r="10368" spans="13:13" x14ac:dyDescent="0.25">
      <c r="M10368" s="34">
        <f t="shared" si="337"/>
        <v>0</v>
      </c>
    </row>
    <row r="10369" spans="13:13" x14ac:dyDescent="0.25">
      <c r="M10369" s="34">
        <f t="shared" si="337"/>
        <v>0</v>
      </c>
    </row>
    <row r="10370" spans="13:13" x14ac:dyDescent="0.25">
      <c r="M10370" s="34">
        <f t="shared" si="337"/>
        <v>0</v>
      </c>
    </row>
    <row r="10371" spans="13:13" x14ac:dyDescent="0.25">
      <c r="M10371" s="34">
        <f t="shared" ref="M10371:M10434" si="338">IF(AND(E10371="Chèque",G10371="RECETTE"),F10371,0)</f>
        <v>0</v>
      </c>
    </row>
    <row r="10372" spans="13:13" x14ac:dyDescent="0.25">
      <c r="M10372" s="34">
        <f t="shared" si="338"/>
        <v>0</v>
      </c>
    </row>
    <row r="10373" spans="13:13" x14ac:dyDescent="0.25">
      <c r="M10373" s="34">
        <f t="shared" si="338"/>
        <v>0</v>
      </c>
    </row>
    <row r="10374" spans="13:13" x14ac:dyDescent="0.25">
      <c r="M10374" s="34">
        <f t="shared" si="338"/>
        <v>0</v>
      </c>
    </row>
    <row r="10375" spans="13:13" x14ac:dyDescent="0.25">
      <c r="M10375" s="34">
        <f t="shared" si="338"/>
        <v>0</v>
      </c>
    </row>
    <row r="10376" spans="13:13" x14ac:dyDescent="0.25">
      <c r="M10376" s="34">
        <f t="shared" si="338"/>
        <v>0</v>
      </c>
    </row>
    <row r="10377" spans="13:13" x14ac:dyDescent="0.25">
      <c r="M10377" s="34">
        <f t="shared" si="338"/>
        <v>0</v>
      </c>
    </row>
    <row r="10378" spans="13:13" x14ac:dyDescent="0.25">
      <c r="M10378" s="34">
        <f t="shared" si="338"/>
        <v>0</v>
      </c>
    </row>
    <row r="10379" spans="13:13" x14ac:dyDescent="0.25">
      <c r="M10379" s="34">
        <f t="shared" si="338"/>
        <v>0</v>
      </c>
    </row>
    <row r="10380" spans="13:13" x14ac:dyDescent="0.25">
      <c r="M10380" s="34">
        <f t="shared" si="338"/>
        <v>0</v>
      </c>
    </row>
    <row r="10381" spans="13:13" x14ac:dyDescent="0.25">
      <c r="M10381" s="34">
        <f t="shared" si="338"/>
        <v>0</v>
      </c>
    </row>
    <row r="10382" spans="13:13" x14ac:dyDescent="0.25">
      <c r="M10382" s="34">
        <f t="shared" si="338"/>
        <v>0</v>
      </c>
    </row>
    <row r="10383" spans="13:13" x14ac:dyDescent="0.25">
      <c r="M10383" s="34">
        <f t="shared" si="338"/>
        <v>0</v>
      </c>
    </row>
    <row r="10384" spans="13:13" x14ac:dyDescent="0.25">
      <c r="M10384" s="34">
        <f t="shared" si="338"/>
        <v>0</v>
      </c>
    </row>
    <row r="10385" spans="13:13" x14ac:dyDescent="0.25">
      <c r="M10385" s="34">
        <f t="shared" si="338"/>
        <v>0</v>
      </c>
    </row>
    <row r="10386" spans="13:13" x14ac:dyDescent="0.25">
      <c r="M10386" s="34">
        <f t="shared" si="338"/>
        <v>0</v>
      </c>
    </row>
    <row r="10387" spans="13:13" x14ac:dyDescent="0.25">
      <c r="M10387" s="34">
        <f t="shared" si="338"/>
        <v>0</v>
      </c>
    </row>
    <row r="10388" spans="13:13" x14ac:dyDescent="0.25">
      <c r="M10388" s="34">
        <f t="shared" si="338"/>
        <v>0</v>
      </c>
    </row>
    <row r="10389" spans="13:13" x14ac:dyDescent="0.25">
      <c r="M10389" s="34">
        <f t="shared" si="338"/>
        <v>0</v>
      </c>
    </row>
    <row r="10390" spans="13:13" x14ac:dyDescent="0.25">
      <c r="M10390" s="34">
        <f t="shared" si="338"/>
        <v>0</v>
      </c>
    </row>
    <row r="10391" spans="13:13" x14ac:dyDescent="0.25">
      <c r="M10391" s="34">
        <f t="shared" si="338"/>
        <v>0</v>
      </c>
    </row>
    <row r="10392" spans="13:13" x14ac:dyDescent="0.25">
      <c r="M10392" s="34">
        <f t="shared" si="338"/>
        <v>0</v>
      </c>
    </row>
    <row r="10393" spans="13:13" x14ac:dyDescent="0.25">
      <c r="M10393" s="34">
        <f t="shared" si="338"/>
        <v>0</v>
      </c>
    </row>
    <row r="10394" spans="13:13" x14ac:dyDescent="0.25">
      <c r="M10394" s="34">
        <f t="shared" si="338"/>
        <v>0</v>
      </c>
    </row>
    <row r="10395" spans="13:13" x14ac:dyDescent="0.25">
      <c r="M10395" s="34">
        <f t="shared" si="338"/>
        <v>0</v>
      </c>
    </row>
    <row r="10396" spans="13:13" x14ac:dyDescent="0.25">
      <c r="M10396" s="34">
        <f t="shared" si="338"/>
        <v>0</v>
      </c>
    </row>
    <row r="10397" spans="13:13" x14ac:dyDescent="0.25">
      <c r="M10397" s="34">
        <f t="shared" si="338"/>
        <v>0</v>
      </c>
    </row>
    <row r="10398" spans="13:13" x14ac:dyDescent="0.25">
      <c r="M10398" s="34">
        <f t="shared" si="338"/>
        <v>0</v>
      </c>
    </row>
    <row r="10399" spans="13:13" x14ac:dyDescent="0.25">
      <c r="M10399" s="34">
        <f t="shared" si="338"/>
        <v>0</v>
      </c>
    </row>
    <row r="10400" spans="13:13" x14ac:dyDescent="0.25">
      <c r="M10400" s="34">
        <f t="shared" si="338"/>
        <v>0</v>
      </c>
    </row>
    <row r="10401" spans="13:13" x14ac:dyDescent="0.25">
      <c r="M10401" s="34">
        <f t="shared" si="338"/>
        <v>0</v>
      </c>
    </row>
    <row r="10402" spans="13:13" x14ac:dyDescent="0.25">
      <c r="M10402" s="34">
        <f t="shared" si="338"/>
        <v>0</v>
      </c>
    </row>
    <row r="10403" spans="13:13" x14ac:dyDescent="0.25">
      <c r="M10403" s="34">
        <f t="shared" si="338"/>
        <v>0</v>
      </c>
    </row>
    <row r="10404" spans="13:13" x14ac:dyDescent="0.25">
      <c r="M10404" s="34">
        <f t="shared" si="338"/>
        <v>0</v>
      </c>
    </row>
    <row r="10405" spans="13:13" x14ac:dyDescent="0.25">
      <c r="M10405" s="34">
        <f t="shared" si="338"/>
        <v>0</v>
      </c>
    </row>
    <row r="10406" spans="13:13" x14ac:dyDescent="0.25">
      <c r="M10406" s="34">
        <f t="shared" si="338"/>
        <v>0</v>
      </c>
    </row>
    <row r="10407" spans="13:13" x14ac:dyDescent="0.25">
      <c r="M10407" s="34">
        <f t="shared" si="338"/>
        <v>0</v>
      </c>
    </row>
    <row r="10408" spans="13:13" x14ac:dyDescent="0.25">
      <c r="M10408" s="34">
        <f t="shared" si="338"/>
        <v>0</v>
      </c>
    </row>
    <row r="10409" spans="13:13" x14ac:dyDescent="0.25">
      <c r="M10409" s="34">
        <f t="shared" si="338"/>
        <v>0</v>
      </c>
    </row>
    <row r="10410" spans="13:13" x14ac:dyDescent="0.25">
      <c r="M10410" s="34">
        <f t="shared" si="338"/>
        <v>0</v>
      </c>
    </row>
    <row r="10411" spans="13:13" x14ac:dyDescent="0.25">
      <c r="M10411" s="34">
        <f t="shared" si="338"/>
        <v>0</v>
      </c>
    </row>
    <row r="10412" spans="13:13" x14ac:dyDescent="0.25">
      <c r="M10412" s="34">
        <f t="shared" si="338"/>
        <v>0</v>
      </c>
    </row>
    <row r="10413" spans="13:13" x14ac:dyDescent="0.25">
      <c r="M10413" s="34">
        <f t="shared" si="338"/>
        <v>0</v>
      </c>
    </row>
    <row r="10414" spans="13:13" x14ac:dyDescent="0.25">
      <c r="M10414" s="34">
        <f t="shared" si="338"/>
        <v>0</v>
      </c>
    </row>
    <row r="10415" spans="13:13" x14ac:dyDescent="0.25">
      <c r="M10415" s="34">
        <f t="shared" si="338"/>
        <v>0</v>
      </c>
    </row>
    <row r="10416" spans="13:13" x14ac:dyDescent="0.25">
      <c r="M10416" s="34">
        <f t="shared" si="338"/>
        <v>0</v>
      </c>
    </row>
    <row r="10417" spans="13:13" x14ac:dyDescent="0.25">
      <c r="M10417" s="34">
        <f t="shared" si="338"/>
        <v>0</v>
      </c>
    </row>
    <row r="10418" spans="13:13" x14ac:dyDescent="0.25">
      <c r="M10418" s="34">
        <f t="shared" si="338"/>
        <v>0</v>
      </c>
    </row>
    <row r="10419" spans="13:13" x14ac:dyDescent="0.25">
      <c r="M10419" s="34">
        <f t="shared" si="338"/>
        <v>0</v>
      </c>
    </row>
    <row r="10420" spans="13:13" x14ac:dyDescent="0.25">
      <c r="M10420" s="34">
        <f t="shared" si="338"/>
        <v>0</v>
      </c>
    </row>
    <row r="10421" spans="13:13" x14ac:dyDescent="0.25">
      <c r="M10421" s="34">
        <f t="shared" si="338"/>
        <v>0</v>
      </c>
    </row>
    <row r="10422" spans="13:13" x14ac:dyDescent="0.25">
      <c r="M10422" s="34">
        <f t="shared" si="338"/>
        <v>0</v>
      </c>
    </row>
    <row r="10423" spans="13:13" x14ac:dyDescent="0.25">
      <c r="M10423" s="34">
        <f t="shared" si="338"/>
        <v>0</v>
      </c>
    </row>
    <row r="10424" spans="13:13" x14ac:dyDescent="0.25">
      <c r="M10424" s="34">
        <f t="shared" si="338"/>
        <v>0</v>
      </c>
    </row>
    <row r="10425" spans="13:13" x14ac:dyDescent="0.25">
      <c r="M10425" s="34">
        <f t="shared" si="338"/>
        <v>0</v>
      </c>
    </row>
    <row r="10426" spans="13:13" x14ac:dyDescent="0.25">
      <c r="M10426" s="34">
        <f t="shared" si="338"/>
        <v>0</v>
      </c>
    </row>
    <row r="10427" spans="13:13" x14ac:dyDescent="0.25">
      <c r="M10427" s="34">
        <f t="shared" si="338"/>
        <v>0</v>
      </c>
    </row>
    <row r="10428" spans="13:13" x14ac:dyDescent="0.25">
      <c r="M10428" s="34">
        <f t="shared" si="338"/>
        <v>0</v>
      </c>
    </row>
    <row r="10429" spans="13:13" x14ac:dyDescent="0.25">
      <c r="M10429" s="34">
        <f t="shared" si="338"/>
        <v>0</v>
      </c>
    </row>
    <row r="10430" spans="13:13" x14ac:dyDescent="0.25">
      <c r="M10430" s="34">
        <f t="shared" si="338"/>
        <v>0</v>
      </c>
    </row>
    <row r="10431" spans="13:13" x14ac:dyDescent="0.25">
      <c r="M10431" s="34">
        <f t="shared" si="338"/>
        <v>0</v>
      </c>
    </row>
    <row r="10432" spans="13:13" x14ac:dyDescent="0.25">
      <c r="M10432" s="34">
        <f t="shared" si="338"/>
        <v>0</v>
      </c>
    </row>
    <row r="10433" spans="13:13" x14ac:dyDescent="0.25">
      <c r="M10433" s="34">
        <f t="shared" si="338"/>
        <v>0</v>
      </c>
    </row>
    <row r="10434" spans="13:13" x14ac:dyDescent="0.25">
      <c r="M10434" s="34">
        <f t="shared" si="338"/>
        <v>0</v>
      </c>
    </row>
    <row r="10435" spans="13:13" x14ac:dyDescent="0.25">
      <c r="M10435" s="34">
        <f t="shared" ref="M10435:M10498" si="339">IF(AND(E10435="Chèque",G10435="RECETTE"),F10435,0)</f>
        <v>0</v>
      </c>
    </row>
    <row r="10436" spans="13:13" x14ac:dyDescent="0.25">
      <c r="M10436" s="34">
        <f t="shared" si="339"/>
        <v>0</v>
      </c>
    </row>
    <row r="10437" spans="13:13" x14ac:dyDescent="0.25">
      <c r="M10437" s="34">
        <f t="shared" si="339"/>
        <v>0</v>
      </c>
    </row>
    <row r="10438" spans="13:13" x14ac:dyDescent="0.25">
      <c r="M10438" s="34">
        <f t="shared" si="339"/>
        <v>0</v>
      </c>
    </row>
    <row r="10439" spans="13:13" x14ac:dyDescent="0.25">
      <c r="M10439" s="34">
        <f t="shared" si="339"/>
        <v>0</v>
      </c>
    </row>
    <row r="10440" spans="13:13" x14ac:dyDescent="0.25">
      <c r="M10440" s="34">
        <f t="shared" si="339"/>
        <v>0</v>
      </c>
    </row>
    <row r="10441" spans="13:13" x14ac:dyDescent="0.25">
      <c r="M10441" s="34">
        <f t="shared" si="339"/>
        <v>0</v>
      </c>
    </row>
    <row r="10442" spans="13:13" x14ac:dyDescent="0.25">
      <c r="M10442" s="34">
        <f t="shared" si="339"/>
        <v>0</v>
      </c>
    </row>
    <row r="10443" spans="13:13" x14ac:dyDescent="0.25">
      <c r="M10443" s="34">
        <f t="shared" si="339"/>
        <v>0</v>
      </c>
    </row>
    <row r="10444" spans="13:13" x14ac:dyDescent="0.25">
      <c r="M10444" s="34">
        <f t="shared" si="339"/>
        <v>0</v>
      </c>
    </row>
    <row r="10445" spans="13:13" x14ac:dyDescent="0.25">
      <c r="M10445" s="34">
        <f t="shared" si="339"/>
        <v>0</v>
      </c>
    </row>
    <row r="10446" spans="13:13" x14ac:dyDescent="0.25">
      <c r="M10446" s="34">
        <f t="shared" si="339"/>
        <v>0</v>
      </c>
    </row>
    <row r="10447" spans="13:13" x14ac:dyDescent="0.25">
      <c r="M10447" s="34">
        <f t="shared" si="339"/>
        <v>0</v>
      </c>
    </row>
    <row r="10448" spans="13:13" x14ac:dyDescent="0.25">
      <c r="M10448" s="34">
        <f t="shared" si="339"/>
        <v>0</v>
      </c>
    </row>
    <row r="10449" spans="13:13" x14ac:dyDescent="0.25">
      <c r="M10449" s="34">
        <f t="shared" si="339"/>
        <v>0</v>
      </c>
    </row>
    <row r="10450" spans="13:13" x14ac:dyDescent="0.25">
      <c r="M10450" s="34">
        <f t="shared" si="339"/>
        <v>0</v>
      </c>
    </row>
    <row r="10451" spans="13:13" x14ac:dyDescent="0.25">
      <c r="M10451" s="34">
        <f t="shared" si="339"/>
        <v>0</v>
      </c>
    </row>
    <row r="10452" spans="13:13" x14ac:dyDescent="0.25">
      <c r="M10452" s="34">
        <f t="shared" si="339"/>
        <v>0</v>
      </c>
    </row>
    <row r="10453" spans="13:13" x14ac:dyDescent="0.25">
      <c r="M10453" s="34">
        <f t="shared" si="339"/>
        <v>0</v>
      </c>
    </row>
    <row r="10454" spans="13:13" x14ac:dyDescent="0.25">
      <c r="M10454" s="34">
        <f t="shared" si="339"/>
        <v>0</v>
      </c>
    </row>
    <row r="10455" spans="13:13" x14ac:dyDescent="0.25">
      <c r="M10455" s="34">
        <f t="shared" si="339"/>
        <v>0</v>
      </c>
    </row>
    <row r="10456" spans="13:13" x14ac:dyDescent="0.25">
      <c r="M10456" s="34">
        <f t="shared" si="339"/>
        <v>0</v>
      </c>
    </row>
    <row r="10457" spans="13:13" x14ac:dyDescent="0.25">
      <c r="M10457" s="34">
        <f t="shared" si="339"/>
        <v>0</v>
      </c>
    </row>
    <row r="10458" spans="13:13" x14ac:dyDescent="0.25">
      <c r="M10458" s="34">
        <f t="shared" si="339"/>
        <v>0</v>
      </c>
    </row>
    <row r="10459" spans="13:13" x14ac:dyDescent="0.25">
      <c r="M10459" s="34">
        <f t="shared" si="339"/>
        <v>0</v>
      </c>
    </row>
    <row r="10460" spans="13:13" x14ac:dyDescent="0.25">
      <c r="M10460" s="34">
        <f t="shared" si="339"/>
        <v>0</v>
      </c>
    </row>
    <row r="10461" spans="13:13" x14ac:dyDescent="0.25">
      <c r="M10461" s="34">
        <f t="shared" si="339"/>
        <v>0</v>
      </c>
    </row>
    <row r="10462" spans="13:13" x14ac:dyDescent="0.25">
      <c r="M10462" s="34">
        <f t="shared" si="339"/>
        <v>0</v>
      </c>
    </row>
    <row r="10463" spans="13:13" x14ac:dyDescent="0.25">
      <c r="M10463" s="34">
        <f t="shared" si="339"/>
        <v>0</v>
      </c>
    </row>
    <row r="10464" spans="13:13" x14ac:dyDescent="0.25">
      <c r="M10464" s="34">
        <f t="shared" si="339"/>
        <v>0</v>
      </c>
    </row>
    <row r="10465" spans="13:13" x14ac:dyDescent="0.25">
      <c r="M10465" s="34">
        <f t="shared" si="339"/>
        <v>0</v>
      </c>
    </row>
    <row r="10466" spans="13:13" x14ac:dyDescent="0.25">
      <c r="M10466" s="34">
        <f t="shared" si="339"/>
        <v>0</v>
      </c>
    </row>
    <row r="10467" spans="13:13" x14ac:dyDescent="0.25">
      <c r="M10467" s="34">
        <f t="shared" si="339"/>
        <v>0</v>
      </c>
    </row>
    <row r="10468" spans="13:13" x14ac:dyDescent="0.25">
      <c r="M10468" s="34">
        <f t="shared" si="339"/>
        <v>0</v>
      </c>
    </row>
    <row r="10469" spans="13:13" x14ac:dyDescent="0.25">
      <c r="M10469" s="34">
        <f t="shared" si="339"/>
        <v>0</v>
      </c>
    </row>
    <row r="10470" spans="13:13" x14ac:dyDescent="0.25">
      <c r="M10470" s="34">
        <f t="shared" si="339"/>
        <v>0</v>
      </c>
    </row>
    <row r="10471" spans="13:13" x14ac:dyDescent="0.25">
      <c r="M10471" s="34">
        <f t="shared" si="339"/>
        <v>0</v>
      </c>
    </row>
    <row r="10472" spans="13:13" x14ac:dyDescent="0.25">
      <c r="M10472" s="34">
        <f t="shared" si="339"/>
        <v>0</v>
      </c>
    </row>
    <row r="10473" spans="13:13" x14ac:dyDescent="0.25">
      <c r="M10473" s="34">
        <f t="shared" si="339"/>
        <v>0</v>
      </c>
    </row>
    <row r="10474" spans="13:13" x14ac:dyDescent="0.25">
      <c r="M10474" s="34">
        <f t="shared" si="339"/>
        <v>0</v>
      </c>
    </row>
    <row r="10475" spans="13:13" x14ac:dyDescent="0.25">
      <c r="M10475" s="34">
        <f t="shared" si="339"/>
        <v>0</v>
      </c>
    </row>
    <row r="10476" spans="13:13" x14ac:dyDescent="0.25">
      <c r="M10476" s="34">
        <f t="shared" si="339"/>
        <v>0</v>
      </c>
    </row>
    <row r="10477" spans="13:13" x14ac:dyDescent="0.25">
      <c r="M10477" s="34">
        <f t="shared" si="339"/>
        <v>0</v>
      </c>
    </row>
    <row r="10478" spans="13:13" x14ac:dyDescent="0.25">
      <c r="M10478" s="34">
        <f t="shared" si="339"/>
        <v>0</v>
      </c>
    </row>
    <row r="10479" spans="13:13" x14ac:dyDescent="0.25">
      <c r="M10479" s="34">
        <f t="shared" si="339"/>
        <v>0</v>
      </c>
    </row>
    <row r="10480" spans="13:13" x14ac:dyDescent="0.25">
      <c r="M10480" s="34">
        <f t="shared" si="339"/>
        <v>0</v>
      </c>
    </row>
    <row r="10481" spans="13:13" x14ac:dyDescent="0.25">
      <c r="M10481" s="34">
        <f t="shared" si="339"/>
        <v>0</v>
      </c>
    </row>
    <row r="10482" spans="13:13" x14ac:dyDescent="0.25">
      <c r="M10482" s="34">
        <f t="shared" si="339"/>
        <v>0</v>
      </c>
    </row>
    <row r="10483" spans="13:13" x14ac:dyDescent="0.25">
      <c r="M10483" s="34">
        <f t="shared" si="339"/>
        <v>0</v>
      </c>
    </row>
    <row r="10484" spans="13:13" x14ac:dyDescent="0.25">
      <c r="M10484" s="34">
        <f t="shared" si="339"/>
        <v>0</v>
      </c>
    </row>
    <row r="10485" spans="13:13" x14ac:dyDescent="0.25">
      <c r="M10485" s="34">
        <f t="shared" si="339"/>
        <v>0</v>
      </c>
    </row>
    <row r="10486" spans="13:13" x14ac:dyDescent="0.25">
      <c r="M10486" s="34">
        <f t="shared" si="339"/>
        <v>0</v>
      </c>
    </row>
    <row r="10487" spans="13:13" x14ac:dyDescent="0.25">
      <c r="M10487" s="34">
        <f t="shared" si="339"/>
        <v>0</v>
      </c>
    </row>
    <row r="10488" spans="13:13" x14ac:dyDescent="0.25">
      <c r="M10488" s="34">
        <f t="shared" si="339"/>
        <v>0</v>
      </c>
    </row>
    <row r="10489" spans="13:13" x14ac:dyDescent="0.25">
      <c r="M10489" s="34">
        <f t="shared" si="339"/>
        <v>0</v>
      </c>
    </row>
    <row r="10490" spans="13:13" x14ac:dyDescent="0.25">
      <c r="M10490" s="34">
        <f t="shared" si="339"/>
        <v>0</v>
      </c>
    </row>
    <row r="10491" spans="13:13" x14ac:dyDescent="0.25">
      <c r="M10491" s="34">
        <f t="shared" si="339"/>
        <v>0</v>
      </c>
    </row>
    <row r="10492" spans="13:13" x14ac:dyDescent="0.25">
      <c r="M10492" s="34">
        <f t="shared" si="339"/>
        <v>0</v>
      </c>
    </row>
    <row r="10493" spans="13:13" x14ac:dyDescent="0.25">
      <c r="M10493" s="34">
        <f t="shared" si="339"/>
        <v>0</v>
      </c>
    </row>
    <row r="10494" spans="13:13" x14ac:dyDescent="0.25">
      <c r="M10494" s="34">
        <f t="shared" si="339"/>
        <v>0</v>
      </c>
    </row>
    <row r="10495" spans="13:13" x14ac:dyDescent="0.25">
      <c r="M10495" s="34">
        <f t="shared" si="339"/>
        <v>0</v>
      </c>
    </row>
    <row r="10496" spans="13:13" x14ac:dyDescent="0.25">
      <c r="M10496" s="34">
        <f t="shared" si="339"/>
        <v>0</v>
      </c>
    </row>
    <row r="10497" spans="13:13" x14ac:dyDescent="0.25">
      <c r="M10497" s="34">
        <f t="shared" si="339"/>
        <v>0</v>
      </c>
    </row>
    <row r="10498" spans="13:13" x14ac:dyDescent="0.25">
      <c r="M10498" s="34">
        <f t="shared" si="339"/>
        <v>0</v>
      </c>
    </row>
    <row r="10499" spans="13:13" x14ac:dyDescent="0.25">
      <c r="M10499" s="34">
        <f t="shared" ref="M10499:M10562" si="340">IF(AND(E10499="Chèque",G10499="RECETTE"),F10499,0)</f>
        <v>0</v>
      </c>
    </row>
    <row r="10500" spans="13:13" x14ac:dyDescent="0.25">
      <c r="M10500" s="34">
        <f t="shared" si="340"/>
        <v>0</v>
      </c>
    </row>
    <row r="10501" spans="13:13" x14ac:dyDescent="0.25">
      <c r="M10501" s="34">
        <f t="shared" si="340"/>
        <v>0</v>
      </c>
    </row>
    <row r="10502" spans="13:13" x14ac:dyDescent="0.25">
      <c r="M10502" s="34">
        <f t="shared" si="340"/>
        <v>0</v>
      </c>
    </row>
    <row r="10503" spans="13:13" x14ac:dyDescent="0.25">
      <c r="M10503" s="34">
        <f t="shared" si="340"/>
        <v>0</v>
      </c>
    </row>
    <row r="10504" spans="13:13" x14ac:dyDescent="0.25">
      <c r="M10504" s="34">
        <f t="shared" si="340"/>
        <v>0</v>
      </c>
    </row>
    <row r="10505" spans="13:13" x14ac:dyDescent="0.25">
      <c r="M10505" s="34">
        <f t="shared" si="340"/>
        <v>0</v>
      </c>
    </row>
    <row r="10506" spans="13:13" x14ac:dyDescent="0.25">
      <c r="M10506" s="34">
        <f t="shared" si="340"/>
        <v>0</v>
      </c>
    </row>
    <row r="10507" spans="13:13" x14ac:dyDescent="0.25">
      <c r="M10507" s="34">
        <f t="shared" si="340"/>
        <v>0</v>
      </c>
    </row>
    <row r="10508" spans="13:13" x14ac:dyDescent="0.25">
      <c r="M10508" s="34">
        <f t="shared" si="340"/>
        <v>0</v>
      </c>
    </row>
    <row r="10509" spans="13:13" x14ac:dyDescent="0.25">
      <c r="M10509" s="34">
        <f t="shared" si="340"/>
        <v>0</v>
      </c>
    </row>
    <row r="10510" spans="13:13" x14ac:dyDescent="0.25">
      <c r="M10510" s="34">
        <f t="shared" si="340"/>
        <v>0</v>
      </c>
    </row>
    <row r="10511" spans="13:13" x14ac:dyDescent="0.25">
      <c r="M10511" s="34">
        <f t="shared" si="340"/>
        <v>0</v>
      </c>
    </row>
    <row r="10512" spans="13:13" x14ac:dyDescent="0.25">
      <c r="M10512" s="34">
        <f t="shared" si="340"/>
        <v>0</v>
      </c>
    </row>
    <row r="10513" spans="13:13" x14ac:dyDescent="0.25">
      <c r="M10513" s="34">
        <f t="shared" si="340"/>
        <v>0</v>
      </c>
    </row>
    <row r="10514" spans="13:13" x14ac:dyDescent="0.25">
      <c r="M10514" s="34">
        <f t="shared" si="340"/>
        <v>0</v>
      </c>
    </row>
    <row r="10515" spans="13:13" x14ac:dyDescent="0.25">
      <c r="M10515" s="34">
        <f t="shared" si="340"/>
        <v>0</v>
      </c>
    </row>
    <row r="10516" spans="13:13" x14ac:dyDescent="0.25">
      <c r="M10516" s="34">
        <f t="shared" si="340"/>
        <v>0</v>
      </c>
    </row>
    <row r="10517" spans="13:13" x14ac:dyDescent="0.25">
      <c r="M10517" s="34">
        <f t="shared" si="340"/>
        <v>0</v>
      </c>
    </row>
    <row r="10518" spans="13:13" x14ac:dyDescent="0.25">
      <c r="M10518" s="34">
        <f t="shared" si="340"/>
        <v>0</v>
      </c>
    </row>
    <row r="10519" spans="13:13" x14ac:dyDescent="0.25">
      <c r="M10519" s="34">
        <f t="shared" si="340"/>
        <v>0</v>
      </c>
    </row>
    <row r="10520" spans="13:13" x14ac:dyDescent="0.25">
      <c r="M10520" s="34">
        <f t="shared" si="340"/>
        <v>0</v>
      </c>
    </row>
    <row r="10521" spans="13:13" x14ac:dyDescent="0.25">
      <c r="M10521" s="34">
        <f t="shared" si="340"/>
        <v>0</v>
      </c>
    </row>
    <row r="10522" spans="13:13" x14ac:dyDescent="0.25">
      <c r="M10522" s="34">
        <f t="shared" si="340"/>
        <v>0</v>
      </c>
    </row>
    <row r="10523" spans="13:13" x14ac:dyDescent="0.25">
      <c r="M10523" s="34">
        <f t="shared" si="340"/>
        <v>0</v>
      </c>
    </row>
    <row r="10524" spans="13:13" x14ac:dyDescent="0.25">
      <c r="M10524" s="34">
        <f t="shared" si="340"/>
        <v>0</v>
      </c>
    </row>
    <row r="10525" spans="13:13" x14ac:dyDescent="0.25">
      <c r="M10525" s="34">
        <f t="shared" si="340"/>
        <v>0</v>
      </c>
    </row>
    <row r="10526" spans="13:13" x14ac:dyDescent="0.25">
      <c r="M10526" s="34">
        <f t="shared" si="340"/>
        <v>0</v>
      </c>
    </row>
    <row r="10527" spans="13:13" x14ac:dyDescent="0.25">
      <c r="M10527" s="34">
        <f t="shared" si="340"/>
        <v>0</v>
      </c>
    </row>
    <row r="10528" spans="13:13" x14ac:dyDescent="0.25">
      <c r="M10528" s="34">
        <f t="shared" si="340"/>
        <v>0</v>
      </c>
    </row>
    <row r="10529" spans="13:13" x14ac:dyDescent="0.25">
      <c r="M10529" s="34">
        <f t="shared" si="340"/>
        <v>0</v>
      </c>
    </row>
    <row r="10530" spans="13:13" x14ac:dyDescent="0.25">
      <c r="M10530" s="34">
        <f t="shared" si="340"/>
        <v>0</v>
      </c>
    </row>
    <row r="10531" spans="13:13" x14ac:dyDescent="0.25">
      <c r="M10531" s="34">
        <f t="shared" si="340"/>
        <v>0</v>
      </c>
    </row>
    <row r="10532" spans="13:13" x14ac:dyDescent="0.25">
      <c r="M10532" s="34">
        <f t="shared" si="340"/>
        <v>0</v>
      </c>
    </row>
    <row r="10533" spans="13:13" x14ac:dyDescent="0.25">
      <c r="M10533" s="34">
        <f t="shared" si="340"/>
        <v>0</v>
      </c>
    </row>
    <row r="10534" spans="13:13" x14ac:dyDescent="0.25">
      <c r="M10534" s="34">
        <f t="shared" si="340"/>
        <v>0</v>
      </c>
    </row>
    <row r="10535" spans="13:13" x14ac:dyDescent="0.25">
      <c r="M10535" s="34">
        <f t="shared" si="340"/>
        <v>0</v>
      </c>
    </row>
    <row r="10536" spans="13:13" x14ac:dyDescent="0.25">
      <c r="M10536" s="34">
        <f t="shared" si="340"/>
        <v>0</v>
      </c>
    </row>
    <row r="10537" spans="13:13" x14ac:dyDescent="0.25">
      <c r="M10537" s="34">
        <f t="shared" si="340"/>
        <v>0</v>
      </c>
    </row>
    <row r="10538" spans="13:13" x14ac:dyDescent="0.25">
      <c r="M10538" s="34">
        <f t="shared" si="340"/>
        <v>0</v>
      </c>
    </row>
    <row r="10539" spans="13:13" x14ac:dyDescent="0.25">
      <c r="M10539" s="34">
        <f t="shared" si="340"/>
        <v>0</v>
      </c>
    </row>
    <row r="10540" spans="13:13" x14ac:dyDescent="0.25">
      <c r="M10540" s="34">
        <f t="shared" si="340"/>
        <v>0</v>
      </c>
    </row>
    <row r="10541" spans="13:13" x14ac:dyDescent="0.25">
      <c r="M10541" s="34">
        <f t="shared" si="340"/>
        <v>0</v>
      </c>
    </row>
    <row r="10542" spans="13:13" x14ac:dyDescent="0.25">
      <c r="M10542" s="34">
        <f t="shared" si="340"/>
        <v>0</v>
      </c>
    </row>
    <row r="10543" spans="13:13" x14ac:dyDescent="0.25">
      <c r="M10543" s="34">
        <f t="shared" si="340"/>
        <v>0</v>
      </c>
    </row>
    <row r="10544" spans="13:13" x14ac:dyDescent="0.25">
      <c r="M10544" s="34">
        <f t="shared" si="340"/>
        <v>0</v>
      </c>
    </row>
    <row r="10545" spans="13:13" x14ac:dyDescent="0.25">
      <c r="M10545" s="34">
        <f t="shared" si="340"/>
        <v>0</v>
      </c>
    </row>
    <row r="10546" spans="13:13" x14ac:dyDescent="0.25">
      <c r="M10546" s="34">
        <f t="shared" si="340"/>
        <v>0</v>
      </c>
    </row>
    <row r="10547" spans="13:13" x14ac:dyDescent="0.25">
      <c r="M10547" s="34">
        <f t="shared" si="340"/>
        <v>0</v>
      </c>
    </row>
    <row r="10548" spans="13:13" x14ac:dyDescent="0.25">
      <c r="M10548" s="34">
        <f t="shared" si="340"/>
        <v>0</v>
      </c>
    </row>
    <row r="10549" spans="13:13" x14ac:dyDescent="0.25">
      <c r="M10549" s="34">
        <f t="shared" si="340"/>
        <v>0</v>
      </c>
    </row>
    <row r="10550" spans="13:13" x14ac:dyDescent="0.25">
      <c r="M10550" s="34">
        <f t="shared" si="340"/>
        <v>0</v>
      </c>
    </row>
    <row r="10551" spans="13:13" x14ac:dyDescent="0.25">
      <c r="M10551" s="34">
        <f t="shared" si="340"/>
        <v>0</v>
      </c>
    </row>
    <row r="10552" spans="13:13" x14ac:dyDescent="0.25">
      <c r="M10552" s="34">
        <f t="shared" si="340"/>
        <v>0</v>
      </c>
    </row>
    <row r="10553" spans="13:13" x14ac:dyDescent="0.25">
      <c r="M10553" s="34">
        <f t="shared" si="340"/>
        <v>0</v>
      </c>
    </row>
    <row r="10554" spans="13:13" x14ac:dyDescent="0.25">
      <c r="M10554" s="34">
        <f t="shared" si="340"/>
        <v>0</v>
      </c>
    </row>
    <row r="10555" spans="13:13" x14ac:dyDescent="0.25">
      <c r="M10555" s="34">
        <f t="shared" si="340"/>
        <v>0</v>
      </c>
    </row>
    <row r="10556" spans="13:13" x14ac:dyDescent="0.25">
      <c r="M10556" s="34">
        <f t="shared" si="340"/>
        <v>0</v>
      </c>
    </row>
    <row r="10557" spans="13:13" x14ac:dyDescent="0.25">
      <c r="M10557" s="34">
        <f t="shared" si="340"/>
        <v>0</v>
      </c>
    </row>
    <row r="10558" spans="13:13" x14ac:dyDescent="0.25">
      <c r="M10558" s="34">
        <f t="shared" si="340"/>
        <v>0</v>
      </c>
    </row>
    <row r="10559" spans="13:13" x14ac:dyDescent="0.25">
      <c r="M10559" s="34">
        <f t="shared" si="340"/>
        <v>0</v>
      </c>
    </row>
    <row r="10560" spans="13:13" x14ac:dyDescent="0.25">
      <c r="M10560" s="34">
        <f t="shared" si="340"/>
        <v>0</v>
      </c>
    </row>
    <row r="10561" spans="13:13" x14ac:dyDescent="0.25">
      <c r="M10561" s="34">
        <f t="shared" si="340"/>
        <v>0</v>
      </c>
    </row>
    <row r="10562" spans="13:13" x14ac:dyDescent="0.25">
      <c r="M10562" s="34">
        <f t="shared" si="340"/>
        <v>0</v>
      </c>
    </row>
    <row r="10563" spans="13:13" x14ac:dyDescent="0.25">
      <c r="M10563" s="34">
        <f t="shared" ref="M10563:M10626" si="341">IF(AND(E10563="Chèque",G10563="RECETTE"),F10563,0)</f>
        <v>0</v>
      </c>
    </row>
    <row r="10564" spans="13:13" x14ac:dyDescent="0.25">
      <c r="M10564" s="34">
        <f t="shared" si="341"/>
        <v>0</v>
      </c>
    </row>
    <row r="10565" spans="13:13" x14ac:dyDescent="0.25">
      <c r="M10565" s="34">
        <f t="shared" si="341"/>
        <v>0</v>
      </c>
    </row>
    <row r="10566" spans="13:13" x14ac:dyDescent="0.25">
      <c r="M10566" s="34">
        <f t="shared" si="341"/>
        <v>0</v>
      </c>
    </row>
    <row r="10567" spans="13:13" x14ac:dyDescent="0.25">
      <c r="M10567" s="34">
        <f t="shared" si="341"/>
        <v>0</v>
      </c>
    </row>
    <row r="10568" spans="13:13" x14ac:dyDescent="0.25">
      <c r="M10568" s="34">
        <f t="shared" si="341"/>
        <v>0</v>
      </c>
    </row>
    <row r="10569" spans="13:13" x14ac:dyDescent="0.25">
      <c r="M10569" s="34">
        <f t="shared" si="341"/>
        <v>0</v>
      </c>
    </row>
    <row r="10570" spans="13:13" x14ac:dyDescent="0.25">
      <c r="M10570" s="34">
        <f t="shared" si="341"/>
        <v>0</v>
      </c>
    </row>
    <row r="10571" spans="13:13" x14ac:dyDescent="0.25">
      <c r="M10571" s="34">
        <f t="shared" si="341"/>
        <v>0</v>
      </c>
    </row>
    <row r="10572" spans="13:13" x14ac:dyDescent="0.25">
      <c r="M10572" s="34">
        <f t="shared" si="341"/>
        <v>0</v>
      </c>
    </row>
    <row r="10573" spans="13:13" x14ac:dyDescent="0.25">
      <c r="M10573" s="34">
        <f t="shared" si="341"/>
        <v>0</v>
      </c>
    </row>
    <row r="10574" spans="13:13" x14ac:dyDescent="0.25">
      <c r="M10574" s="34">
        <f t="shared" si="341"/>
        <v>0</v>
      </c>
    </row>
    <row r="10575" spans="13:13" x14ac:dyDescent="0.25">
      <c r="M10575" s="34">
        <f t="shared" si="341"/>
        <v>0</v>
      </c>
    </row>
    <row r="10576" spans="13:13" x14ac:dyDescent="0.25">
      <c r="M10576" s="34">
        <f t="shared" si="341"/>
        <v>0</v>
      </c>
    </row>
    <row r="10577" spans="13:13" x14ac:dyDescent="0.25">
      <c r="M10577" s="34">
        <f t="shared" si="341"/>
        <v>0</v>
      </c>
    </row>
    <row r="10578" spans="13:13" x14ac:dyDescent="0.25">
      <c r="M10578" s="34">
        <f t="shared" si="341"/>
        <v>0</v>
      </c>
    </row>
    <row r="10579" spans="13:13" x14ac:dyDescent="0.25">
      <c r="M10579" s="34">
        <f t="shared" si="341"/>
        <v>0</v>
      </c>
    </row>
    <row r="10580" spans="13:13" x14ac:dyDescent="0.25">
      <c r="M10580" s="34">
        <f t="shared" si="341"/>
        <v>0</v>
      </c>
    </row>
    <row r="10581" spans="13:13" x14ac:dyDescent="0.25">
      <c r="M10581" s="34">
        <f t="shared" si="341"/>
        <v>0</v>
      </c>
    </row>
    <row r="10582" spans="13:13" x14ac:dyDescent="0.25">
      <c r="M10582" s="34">
        <f t="shared" si="341"/>
        <v>0</v>
      </c>
    </row>
    <row r="10583" spans="13:13" x14ac:dyDescent="0.25">
      <c r="M10583" s="34">
        <f t="shared" si="341"/>
        <v>0</v>
      </c>
    </row>
    <row r="10584" spans="13:13" x14ac:dyDescent="0.25">
      <c r="M10584" s="34">
        <f t="shared" si="341"/>
        <v>0</v>
      </c>
    </row>
    <row r="10585" spans="13:13" x14ac:dyDescent="0.25">
      <c r="M10585" s="34">
        <f t="shared" si="341"/>
        <v>0</v>
      </c>
    </row>
    <row r="10586" spans="13:13" x14ac:dyDescent="0.25">
      <c r="M10586" s="34">
        <f t="shared" si="341"/>
        <v>0</v>
      </c>
    </row>
    <row r="10587" spans="13:13" x14ac:dyDescent="0.25">
      <c r="M10587" s="34">
        <f t="shared" si="341"/>
        <v>0</v>
      </c>
    </row>
    <row r="10588" spans="13:13" x14ac:dyDescent="0.25">
      <c r="M10588" s="34">
        <f t="shared" si="341"/>
        <v>0</v>
      </c>
    </row>
    <row r="10589" spans="13:13" x14ac:dyDescent="0.25">
      <c r="M10589" s="34">
        <f t="shared" si="341"/>
        <v>0</v>
      </c>
    </row>
    <row r="10590" spans="13:13" x14ac:dyDescent="0.25">
      <c r="M10590" s="34">
        <f t="shared" si="341"/>
        <v>0</v>
      </c>
    </row>
    <row r="10591" spans="13:13" x14ac:dyDescent="0.25">
      <c r="M10591" s="34">
        <f t="shared" si="341"/>
        <v>0</v>
      </c>
    </row>
    <row r="10592" spans="13:13" x14ac:dyDescent="0.25">
      <c r="M10592" s="34">
        <f t="shared" si="341"/>
        <v>0</v>
      </c>
    </row>
    <row r="10593" spans="13:13" x14ac:dyDescent="0.25">
      <c r="M10593" s="34">
        <f t="shared" si="341"/>
        <v>0</v>
      </c>
    </row>
    <row r="10594" spans="13:13" x14ac:dyDescent="0.25">
      <c r="M10594" s="34">
        <f t="shared" si="341"/>
        <v>0</v>
      </c>
    </row>
    <row r="10595" spans="13:13" x14ac:dyDescent="0.25">
      <c r="M10595" s="34">
        <f t="shared" si="341"/>
        <v>0</v>
      </c>
    </row>
    <row r="10596" spans="13:13" x14ac:dyDescent="0.25">
      <c r="M10596" s="34">
        <f t="shared" si="341"/>
        <v>0</v>
      </c>
    </row>
    <row r="10597" spans="13:13" x14ac:dyDescent="0.25">
      <c r="M10597" s="34">
        <f t="shared" si="341"/>
        <v>0</v>
      </c>
    </row>
    <row r="10598" spans="13:13" x14ac:dyDescent="0.25">
      <c r="M10598" s="34">
        <f t="shared" si="341"/>
        <v>0</v>
      </c>
    </row>
    <row r="10599" spans="13:13" x14ac:dyDescent="0.25">
      <c r="M10599" s="34">
        <f t="shared" si="341"/>
        <v>0</v>
      </c>
    </row>
    <row r="10600" spans="13:13" x14ac:dyDescent="0.25">
      <c r="M10600" s="34">
        <f t="shared" si="341"/>
        <v>0</v>
      </c>
    </row>
    <row r="10601" spans="13:13" x14ac:dyDescent="0.25">
      <c r="M10601" s="34">
        <f t="shared" si="341"/>
        <v>0</v>
      </c>
    </row>
    <row r="10602" spans="13:13" x14ac:dyDescent="0.25">
      <c r="M10602" s="34">
        <f t="shared" si="341"/>
        <v>0</v>
      </c>
    </row>
    <row r="10603" spans="13:13" x14ac:dyDescent="0.25">
      <c r="M10603" s="34">
        <f t="shared" si="341"/>
        <v>0</v>
      </c>
    </row>
    <row r="10604" spans="13:13" x14ac:dyDescent="0.25">
      <c r="M10604" s="34">
        <f t="shared" si="341"/>
        <v>0</v>
      </c>
    </row>
    <row r="10605" spans="13:13" x14ac:dyDescent="0.25">
      <c r="M10605" s="34">
        <f t="shared" si="341"/>
        <v>0</v>
      </c>
    </row>
    <row r="10606" spans="13:13" x14ac:dyDescent="0.25">
      <c r="M10606" s="34">
        <f t="shared" si="341"/>
        <v>0</v>
      </c>
    </row>
    <row r="10607" spans="13:13" x14ac:dyDescent="0.25">
      <c r="M10607" s="34">
        <f t="shared" si="341"/>
        <v>0</v>
      </c>
    </row>
    <row r="10608" spans="13:13" x14ac:dyDescent="0.25">
      <c r="M10608" s="34">
        <f t="shared" si="341"/>
        <v>0</v>
      </c>
    </row>
    <row r="10609" spans="13:13" x14ac:dyDescent="0.25">
      <c r="M10609" s="34">
        <f t="shared" si="341"/>
        <v>0</v>
      </c>
    </row>
    <row r="10610" spans="13:13" x14ac:dyDescent="0.25">
      <c r="M10610" s="34">
        <f t="shared" si="341"/>
        <v>0</v>
      </c>
    </row>
    <row r="10611" spans="13:13" x14ac:dyDescent="0.25">
      <c r="M10611" s="34">
        <f t="shared" si="341"/>
        <v>0</v>
      </c>
    </row>
    <row r="10612" spans="13:13" x14ac:dyDescent="0.25">
      <c r="M10612" s="34">
        <f t="shared" si="341"/>
        <v>0</v>
      </c>
    </row>
    <row r="10613" spans="13:13" x14ac:dyDescent="0.25">
      <c r="M10613" s="34">
        <f t="shared" si="341"/>
        <v>0</v>
      </c>
    </row>
    <row r="10614" spans="13:13" x14ac:dyDescent="0.25">
      <c r="M10614" s="34">
        <f t="shared" si="341"/>
        <v>0</v>
      </c>
    </row>
    <row r="10615" spans="13:13" x14ac:dyDescent="0.25">
      <c r="M10615" s="34">
        <f t="shared" si="341"/>
        <v>0</v>
      </c>
    </row>
    <row r="10616" spans="13:13" x14ac:dyDescent="0.25">
      <c r="M10616" s="34">
        <f t="shared" si="341"/>
        <v>0</v>
      </c>
    </row>
    <row r="10617" spans="13:13" x14ac:dyDescent="0.25">
      <c r="M10617" s="34">
        <f t="shared" si="341"/>
        <v>0</v>
      </c>
    </row>
    <row r="10618" spans="13:13" x14ac:dyDescent="0.25">
      <c r="M10618" s="34">
        <f t="shared" si="341"/>
        <v>0</v>
      </c>
    </row>
    <row r="10619" spans="13:13" x14ac:dyDescent="0.25">
      <c r="M10619" s="34">
        <f t="shared" si="341"/>
        <v>0</v>
      </c>
    </row>
    <row r="10620" spans="13:13" x14ac:dyDescent="0.25">
      <c r="M10620" s="34">
        <f t="shared" si="341"/>
        <v>0</v>
      </c>
    </row>
    <row r="10621" spans="13:13" x14ac:dyDescent="0.25">
      <c r="M10621" s="34">
        <f t="shared" si="341"/>
        <v>0</v>
      </c>
    </row>
    <row r="10622" spans="13:13" x14ac:dyDescent="0.25">
      <c r="M10622" s="34">
        <f t="shared" si="341"/>
        <v>0</v>
      </c>
    </row>
    <row r="10623" spans="13:13" x14ac:dyDescent="0.25">
      <c r="M10623" s="34">
        <f t="shared" si="341"/>
        <v>0</v>
      </c>
    </row>
    <row r="10624" spans="13:13" x14ac:dyDescent="0.25">
      <c r="M10624" s="34">
        <f t="shared" si="341"/>
        <v>0</v>
      </c>
    </row>
    <row r="10625" spans="13:13" x14ac:dyDescent="0.25">
      <c r="M10625" s="34">
        <f t="shared" si="341"/>
        <v>0</v>
      </c>
    </row>
    <row r="10626" spans="13:13" x14ac:dyDescent="0.25">
      <c r="M10626" s="34">
        <f t="shared" si="341"/>
        <v>0</v>
      </c>
    </row>
    <row r="10627" spans="13:13" x14ac:dyDescent="0.25">
      <c r="M10627" s="34">
        <f t="shared" ref="M10627:M10690" si="342">IF(AND(E10627="Chèque",G10627="RECETTE"),F10627,0)</f>
        <v>0</v>
      </c>
    </row>
    <row r="10628" spans="13:13" x14ac:dyDescent="0.25">
      <c r="M10628" s="34">
        <f t="shared" si="342"/>
        <v>0</v>
      </c>
    </row>
    <row r="10629" spans="13:13" x14ac:dyDescent="0.25">
      <c r="M10629" s="34">
        <f t="shared" si="342"/>
        <v>0</v>
      </c>
    </row>
    <row r="10630" spans="13:13" x14ac:dyDescent="0.25">
      <c r="M10630" s="34">
        <f t="shared" si="342"/>
        <v>0</v>
      </c>
    </row>
    <row r="10631" spans="13:13" x14ac:dyDescent="0.25">
      <c r="M10631" s="34">
        <f t="shared" si="342"/>
        <v>0</v>
      </c>
    </row>
    <row r="10632" spans="13:13" x14ac:dyDescent="0.25">
      <c r="M10632" s="34">
        <f t="shared" si="342"/>
        <v>0</v>
      </c>
    </row>
    <row r="10633" spans="13:13" x14ac:dyDescent="0.25">
      <c r="M10633" s="34">
        <f t="shared" si="342"/>
        <v>0</v>
      </c>
    </row>
    <row r="10634" spans="13:13" x14ac:dyDescent="0.25">
      <c r="M10634" s="34">
        <f t="shared" si="342"/>
        <v>0</v>
      </c>
    </row>
    <row r="10635" spans="13:13" x14ac:dyDescent="0.25">
      <c r="M10635" s="34">
        <f t="shared" si="342"/>
        <v>0</v>
      </c>
    </row>
    <row r="10636" spans="13:13" x14ac:dyDescent="0.25">
      <c r="M10636" s="34">
        <f t="shared" si="342"/>
        <v>0</v>
      </c>
    </row>
    <row r="10637" spans="13:13" x14ac:dyDescent="0.25">
      <c r="M10637" s="34">
        <f t="shared" si="342"/>
        <v>0</v>
      </c>
    </row>
    <row r="10638" spans="13:13" x14ac:dyDescent="0.25">
      <c r="M10638" s="34">
        <f t="shared" si="342"/>
        <v>0</v>
      </c>
    </row>
    <row r="10639" spans="13:13" x14ac:dyDescent="0.25">
      <c r="M10639" s="34">
        <f t="shared" si="342"/>
        <v>0</v>
      </c>
    </row>
    <row r="10640" spans="13:13" x14ac:dyDescent="0.25">
      <c r="M10640" s="34">
        <f t="shared" si="342"/>
        <v>0</v>
      </c>
    </row>
    <row r="10641" spans="13:13" x14ac:dyDescent="0.25">
      <c r="M10641" s="34">
        <f t="shared" si="342"/>
        <v>0</v>
      </c>
    </row>
    <row r="10642" spans="13:13" x14ac:dyDescent="0.25">
      <c r="M10642" s="34">
        <f t="shared" si="342"/>
        <v>0</v>
      </c>
    </row>
    <row r="10643" spans="13:13" x14ac:dyDescent="0.25">
      <c r="M10643" s="34">
        <f t="shared" si="342"/>
        <v>0</v>
      </c>
    </row>
    <row r="10644" spans="13:13" x14ac:dyDescent="0.25">
      <c r="M10644" s="34">
        <f t="shared" si="342"/>
        <v>0</v>
      </c>
    </row>
    <row r="10645" spans="13:13" x14ac:dyDescent="0.25">
      <c r="M10645" s="34">
        <f t="shared" si="342"/>
        <v>0</v>
      </c>
    </row>
    <row r="10646" spans="13:13" x14ac:dyDescent="0.25">
      <c r="M10646" s="34">
        <f t="shared" si="342"/>
        <v>0</v>
      </c>
    </row>
    <row r="10647" spans="13:13" x14ac:dyDescent="0.25">
      <c r="M10647" s="34">
        <f t="shared" si="342"/>
        <v>0</v>
      </c>
    </row>
    <row r="10648" spans="13:13" x14ac:dyDescent="0.25">
      <c r="M10648" s="34">
        <f t="shared" si="342"/>
        <v>0</v>
      </c>
    </row>
    <row r="10649" spans="13:13" x14ac:dyDescent="0.25">
      <c r="M10649" s="34">
        <f t="shared" si="342"/>
        <v>0</v>
      </c>
    </row>
    <row r="10650" spans="13:13" x14ac:dyDescent="0.25">
      <c r="M10650" s="34">
        <f t="shared" si="342"/>
        <v>0</v>
      </c>
    </row>
    <row r="10651" spans="13:13" x14ac:dyDescent="0.25">
      <c r="M10651" s="34">
        <f t="shared" si="342"/>
        <v>0</v>
      </c>
    </row>
    <row r="10652" spans="13:13" x14ac:dyDescent="0.25">
      <c r="M10652" s="34">
        <f t="shared" si="342"/>
        <v>0</v>
      </c>
    </row>
    <row r="10653" spans="13:13" x14ac:dyDescent="0.25">
      <c r="M10653" s="34">
        <f t="shared" si="342"/>
        <v>0</v>
      </c>
    </row>
    <row r="10654" spans="13:13" x14ac:dyDescent="0.25">
      <c r="M10654" s="34">
        <f t="shared" si="342"/>
        <v>0</v>
      </c>
    </row>
    <row r="10655" spans="13:13" x14ac:dyDescent="0.25">
      <c r="M10655" s="34">
        <f t="shared" si="342"/>
        <v>0</v>
      </c>
    </row>
    <row r="10656" spans="13:13" x14ac:dyDescent="0.25">
      <c r="M10656" s="34">
        <f t="shared" si="342"/>
        <v>0</v>
      </c>
    </row>
    <row r="10657" spans="13:13" x14ac:dyDescent="0.25">
      <c r="M10657" s="34">
        <f t="shared" si="342"/>
        <v>0</v>
      </c>
    </row>
    <row r="10658" spans="13:13" x14ac:dyDescent="0.25">
      <c r="M10658" s="34">
        <f t="shared" si="342"/>
        <v>0</v>
      </c>
    </row>
    <row r="10659" spans="13:13" x14ac:dyDescent="0.25">
      <c r="M10659" s="34">
        <f t="shared" si="342"/>
        <v>0</v>
      </c>
    </row>
    <row r="10660" spans="13:13" x14ac:dyDescent="0.25">
      <c r="M10660" s="34">
        <f t="shared" si="342"/>
        <v>0</v>
      </c>
    </row>
    <row r="10661" spans="13:13" x14ac:dyDescent="0.25">
      <c r="M10661" s="34">
        <f t="shared" si="342"/>
        <v>0</v>
      </c>
    </row>
    <row r="10662" spans="13:13" x14ac:dyDescent="0.25">
      <c r="M10662" s="34">
        <f t="shared" si="342"/>
        <v>0</v>
      </c>
    </row>
    <row r="10663" spans="13:13" x14ac:dyDescent="0.25">
      <c r="M10663" s="34">
        <f t="shared" si="342"/>
        <v>0</v>
      </c>
    </row>
    <row r="10664" spans="13:13" x14ac:dyDescent="0.25">
      <c r="M10664" s="34">
        <f t="shared" si="342"/>
        <v>0</v>
      </c>
    </row>
    <row r="10665" spans="13:13" x14ac:dyDescent="0.25">
      <c r="M10665" s="34">
        <f t="shared" si="342"/>
        <v>0</v>
      </c>
    </row>
    <row r="10666" spans="13:13" x14ac:dyDescent="0.25">
      <c r="M10666" s="34">
        <f t="shared" si="342"/>
        <v>0</v>
      </c>
    </row>
    <row r="10667" spans="13:13" x14ac:dyDescent="0.25">
      <c r="M10667" s="34">
        <f t="shared" si="342"/>
        <v>0</v>
      </c>
    </row>
    <row r="10668" spans="13:13" x14ac:dyDescent="0.25">
      <c r="M10668" s="34">
        <f t="shared" si="342"/>
        <v>0</v>
      </c>
    </row>
    <row r="10669" spans="13:13" x14ac:dyDescent="0.25">
      <c r="M10669" s="34">
        <f t="shared" si="342"/>
        <v>0</v>
      </c>
    </row>
    <row r="10670" spans="13:13" x14ac:dyDescent="0.25">
      <c r="M10670" s="34">
        <f t="shared" si="342"/>
        <v>0</v>
      </c>
    </row>
    <row r="10671" spans="13:13" x14ac:dyDescent="0.25">
      <c r="M10671" s="34">
        <f t="shared" si="342"/>
        <v>0</v>
      </c>
    </row>
    <row r="10672" spans="13:13" x14ac:dyDescent="0.25">
      <c r="M10672" s="34">
        <f t="shared" si="342"/>
        <v>0</v>
      </c>
    </row>
    <row r="10673" spans="13:13" x14ac:dyDescent="0.25">
      <c r="M10673" s="34">
        <f t="shared" si="342"/>
        <v>0</v>
      </c>
    </row>
    <row r="10674" spans="13:13" x14ac:dyDescent="0.25">
      <c r="M10674" s="34">
        <f t="shared" si="342"/>
        <v>0</v>
      </c>
    </row>
    <row r="10675" spans="13:13" x14ac:dyDescent="0.25">
      <c r="M10675" s="34">
        <f t="shared" si="342"/>
        <v>0</v>
      </c>
    </row>
    <row r="10676" spans="13:13" x14ac:dyDescent="0.25">
      <c r="M10676" s="34">
        <f t="shared" si="342"/>
        <v>0</v>
      </c>
    </row>
    <row r="10677" spans="13:13" x14ac:dyDescent="0.25">
      <c r="M10677" s="34">
        <f t="shared" si="342"/>
        <v>0</v>
      </c>
    </row>
    <row r="10678" spans="13:13" x14ac:dyDescent="0.25">
      <c r="M10678" s="34">
        <f t="shared" si="342"/>
        <v>0</v>
      </c>
    </row>
    <row r="10679" spans="13:13" x14ac:dyDescent="0.25">
      <c r="M10679" s="34">
        <f t="shared" si="342"/>
        <v>0</v>
      </c>
    </row>
    <row r="10680" spans="13:13" x14ac:dyDescent="0.25">
      <c r="M10680" s="34">
        <f t="shared" si="342"/>
        <v>0</v>
      </c>
    </row>
    <row r="10681" spans="13:13" x14ac:dyDescent="0.25">
      <c r="M10681" s="34">
        <f t="shared" si="342"/>
        <v>0</v>
      </c>
    </row>
    <row r="10682" spans="13:13" x14ac:dyDescent="0.25">
      <c r="M10682" s="34">
        <f t="shared" si="342"/>
        <v>0</v>
      </c>
    </row>
    <row r="10683" spans="13:13" x14ac:dyDescent="0.25">
      <c r="M10683" s="34">
        <f t="shared" si="342"/>
        <v>0</v>
      </c>
    </row>
    <row r="10684" spans="13:13" x14ac:dyDescent="0.25">
      <c r="M10684" s="34">
        <f t="shared" si="342"/>
        <v>0</v>
      </c>
    </row>
    <row r="10685" spans="13:13" x14ac:dyDescent="0.25">
      <c r="M10685" s="34">
        <f t="shared" si="342"/>
        <v>0</v>
      </c>
    </row>
    <row r="10686" spans="13:13" x14ac:dyDescent="0.25">
      <c r="M10686" s="34">
        <f t="shared" si="342"/>
        <v>0</v>
      </c>
    </row>
    <row r="10687" spans="13:13" x14ac:dyDescent="0.25">
      <c r="M10687" s="34">
        <f t="shared" si="342"/>
        <v>0</v>
      </c>
    </row>
    <row r="10688" spans="13:13" x14ac:dyDescent="0.25">
      <c r="M10688" s="34">
        <f t="shared" si="342"/>
        <v>0</v>
      </c>
    </row>
    <row r="10689" spans="13:13" x14ac:dyDescent="0.25">
      <c r="M10689" s="34">
        <f t="shared" si="342"/>
        <v>0</v>
      </c>
    </row>
    <row r="10690" spans="13:13" x14ac:dyDescent="0.25">
      <c r="M10690" s="34">
        <f t="shared" si="342"/>
        <v>0</v>
      </c>
    </row>
    <row r="10691" spans="13:13" x14ac:dyDescent="0.25">
      <c r="M10691" s="34">
        <f t="shared" ref="M10691:M10754" si="343">IF(AND(E10691="Chèque",G10691="RECETTE"),F10691,0)</f>
        <v>0</v>
      </c>
    </row>
    <row r="10692" spans="13:13" x14ac:dyDescent="0.25">
      <c r="M10692" s="34">
        <f t="shared" si="343"/>
        <v>0</v>
      </c>
    </row>
    <row r="10693" spans="13:13" x14ac:dyDescent="0.25">
      <c r="M10693" s="34">
        <f t="shared" si="343"/>
        <v>0</v>
      </c>
    </row>
    <row r="10694" spans="13:13" x14ac:dyDescent="0.25">
      <c r="M10694" s="34">
        <f t="shared" si="343"/>
        <v>0</v>
      </c>
    </row>
    <row r="10695" spans="13:13" x14ac:dyDescent="0.25">
      <c r="M10695" s="34">
        <f t="shared" si="343"/>
        <v>0</v>
      </c>
    </row>
    <row r="10696" spans="13:13" x14ac:dyDescent="0.25">
      <c r="M10696" s="34">
        <f t="shared" si="343"/>
        <v>0</v>
      </c>
    </row>
    <row r="10697" spans="13:13" x14ac:dyDescent="0.25">
      <c r="M10697" s="34">
        <f t="shared" si="343"/>
        <v>0</v>
      </c>
    </row>
    <row r="10698" spans="13:13" x14ac:dyDescent="0.25">
      <c r="M10698" s="34">
        <f t="shared" si="343"/>
        <v>0</v>
      </c>
    </row>
    <row r="10699" spans="13:13" x14ac:dyDescent="0.25">
      <c r="M10699" s="34">
        <f t="shared" si="343"/>
        <v>0</v>
      </c>
    </row>
    <row r="10700" spans="13:13" x14ac:dyDescent="0.25">
      <c r="M10700" s="34">
        <f t="shared" si="343"/>
        <v>0</v>
      </c>
    </row>
    <row r="10701" spans="13:13" x14ac:dyDescent="0.25">
      <c r="M10701" s="34">
        <f t="shared" si="343"/>
        <v>0</v>
      </c>
    </row>
    <row r="10702" spans="13:13" x14ac:dyDescent="0.25">
      <c r="M10702" s="34">
        <f t="shared" si="343"/>
        <v>0</v>
      </c>
    </row>
    <row r="10703" spans="13:13" x14ac:dyDescent="0.25">
      <c r="M10703" s="34">
        <f t="shared" si="343"/>
        <v>0</v>
      </c>
    </row>
    <row r="10704" spans="13:13" x14ac:dyDescent="0.25">
      <c r="M10704" s="34">
        <f t="shared" si="343"/>
        <v>0</v>
      </c>
    </row>
    <row r="10705" spans="13:13" x14ac:dyDescent="0.25">
      <c r="M10705" s="34">
        <f t="shared" si="343"/>
        <v>0</v>
      </c>
    </row>
    <row r="10706" spans="13:13" x14ac:dyDescent="0.25">
      <c r="M10706" s="34">
        <f t="shared" si="343"/>
        <v>0</v>
      </c>
    </row>
    <row r="10707" spans="13:13" x14ac:dyDescent="0.25">
      <c r="M10707" s="34">
        <f t="shared" si="343"/>
        <v>0</v>
      </c>
    </row>
    <row r="10708" spans="13:13" x14ac:dyDescent="0.25">
      <c r="M10708" s="34">
        <f t="shared" si="343"/>
        <v>0</v>
      </c>
    </row>
    <row r="10709" spans="13:13" x14ac:dyDescent="0.25">
      <c r="M10709" s="34">
        <f t="shared" si="343"/>
        <v>0</v>
      </c>
    </row>
    <row r="10710" spans="13:13" x14ac:dyDescent="0.25">
      <c r="M10710" s="34">
        <f t="shared" si="343"/>
        <v>0</v>
      </c>
    </row>
    <row r="10711" spans="13:13" x14ac:dyDescent="0.25">
      <c r="M10711" s="34">
        <f t="shared" si="343"/>
        <v>0</v>
      </c>
    </row>
    <row r="10712" spans="13:13" x14ac:dyDescent="0.25">
      <c r="M10712" s="34">
        <f t="shared" si="343"/>
        <v>0</v>
      </c>
    </row>
    <row r="10713" spans="13:13" x14ac:dyDescent="0.25">
      <c r="M10713" s="34">
        <f t="shared" si="343"/>
        <v>0</v>
      </c>
    </row>
    <row r="10714" spans="13:13" x14ac:dyDescent="0.25">
      <c r="M10714" s="34">
        <f t="shared" si="343"/>
        <v>0</v>
      </c>
    </row>
    <row r="10715" spans="13:13" x14ac:dyDescent="0.25">
      <c r="M10715" s="34">
        <f t="shared" si="343"/>
        <v>0</v>
      </c>
    </row>
    <row r="10716" spans="13:13" x14ac:dyDescent="0.25">
      <c r="M10716" s="34">
        <f t="shared" si="343"/>
        <v>0</v>
      </c>
    </row>
    <row r="10717" spans="13:13" x14ac:dyDescent="0.25">
      <c r="M10717" s="34">
        <f t="shared" si="343"/>
        <v>0</v>
      </c>
    </row>
    <row r="10718" spans="13:13" x14ac:dyDescent="0.25">
      <c r="M10718" s="34">
        <f t="shared" si="343"/>
        <v>0</v>
      </c>
    </row>
    <row r="10719" spans="13:13" x14ac:dyDescent="0.25">
      <c r="M10719" s="34">
        <f t="shared" si="343"/>
        <v>0</v>
      </c>
    </row>
    <row r="10720" spans="13:13" x14ac:dyDescent="0.25">
      <c r="M10720" s="34">
        <f t="shared" si="343"/>
        <v>0</v>
      </c>
    </row>
    <row r="10721" spans="13:13" x14ac:dyDescent="0.25">
      <c r="M10721" s="34">
        <f t="shared" si="343"/>
        <v>0</v>
      </c>
    </row>
    <row r="10722" spans="13:13" x14ac:dyDescent="0.25">
      <c r="M10722" s="34">
        <f t="shared" si="343"/>
        <v>0</v>
      </c>
    </row>
    <row r="10723" spans="13:13" x14ac:dyDescent="0.25">
      <c r="M10723" s="34">
        <f t="shared" si="343"/>
        <v>0</v>
      </c>
    </row>
    <row r="10724" spans="13:13" x14ac:dyDescent="0.25">
      <c r="M10724" s="34">
        <f t="shared" si="343"/>
        <v>0</v>
      </c>
    </row>
    <row r="10725" spans="13:13" x14ac:dyDescent="0.25">
      <c r="M10725" s="34">
        <f t="shared" si="343"/>
        <v>0</v>
      </c>
    </row>
    <row r="10726" spans="13:13" x14ac:dyDescent="0.25">
      <c r="M10726" s="34">
        <f t="shared" si="343"/>
        <v>0</v>
      </c>
    </row>
    <row r="10727" spans="13:13" x14ac:dyDescent="0.25">
      <c r="M10727" s="34">
        <f t="shared" si="343"/>
        <v>0</v>
      </c>
    </row>
    <row r="10728" spans="13:13" x14ac:dyDescent="0.25">
      <c r="M10728" s="34">
        <f t="shared" si="343"/>
        <v>0</v>
      </c>
    </row>
    <row r="10729" spans="13:13" x14ac:dyDescent="0.25">
      <c r="M10729" s="34">
        <f t="shared" si="343"/>
        <v>0</v>
      </c>
    </row>
    <row r="10730" spans="13:13" x14ac:dyDescent="0.25">
      <c r="M10730" s="34">
        <f t="shared" si="343"/>
        <v>0</v>
      </c>
    </row>
    <row r="10731" spans="13:13" x14ac:dyDescent="0.25">
      <c r="M10731" s="34">
        <f t="shared" si="343"/>
        <v>0</v>
      </c>
    </row>
    <row r="10732" spans="13:13" x14ac:dyDescent="0.25">
      <c r="M10732" s="34">
        <f t="shared" si="343"/>
        <v>0</v>
      </c>
    </row>
    <row r="10733" spans="13:13" x14ac:dyDescent="0.25">
      <c r="M10733" s="34">
        <f t="shared" si="343"/>
        <v>0</v>
      </c>
    </row>
    <row r="10734" spans="13:13" x14ac:dyDescent="0.25">
      <c r="M10734" s="34">
        <f t="shared" si="343"/>
        <v>0</v>
      </c>
    </row>
    <row r="10735" spans="13:13" x14ac:dyDescent="0.25">
      <c r="M10735" s="34">
        <f t="shared" si="343"/>
        <v>0</v>
      </c>
    </row>
    <row r="10736" spans="13:13" x14ac:dyDescent="0.25">
      <c r="M10736" s="34">
        <f t="shared" si="343"/>
        <v>0</v>
      </c>
    </row>
    <row r="10737" spans="13:13" x14ac:dyDescent="0.25">
      <c r="M10737" s="34">
        <f t="shared" si="343"/>
        <v>0</v>
      </c>
    </row>
    <row r="10738" spans="13:13" x14ac:dyDescent="0.25">
      <c r="M10738" s="34">
        <f t="shared" si="343"/>
        <v>0</v>
      </c>
    </row>
    <row r="10739" spans="13:13" x14ac:dyDescent="0.25">
      <c r="M10739" s="34">
        <f t="shared" si="343"/>
        <v>0</v>
      </c>
    </row>
    <row r="10740" spans="13:13" x14ac:dyDescent="0.25">
      <c r="M10740" s="34">
        <f t="shared" si="343"/>
        <v>0</v>
      </c>
    </row>
    <row r="10741" spans="13:13" x14ac:dyDescent="0.25">
      <c r="M10741" s="34">
        <f t="shared" si="343"/>
        <v>0</v>
      </c>
    </row>
    <row r="10742" spans="13:13" x14ac:dyDescent="0.25">
      <c r="M10742" s="34">
        <f t="shared" si="343"/>
        <v>0</v>
      </c>
    </row>
    <row r="10743" spans="13:13" x14ac:dyDescent="0.25">
      <c r="M10743" s="34">
        <f t="shared" si="343"/>
        <v>0</v>
      </c>
    </row>
    <row r="10744" spans="13:13" x14ac:dyDescent="0.25">
      <c r="M10744" s="34">
        <f t="shared" si="343"/>
        <v>0</v>
      </c>
    </row>
    <row r="10745" spans="13:13" x14ac:dyDescent="0.25">
      <c r="M10745" s="34">
        <f t="shared" si="343"/>
        <v>0</v>
      </c>
    </row>
    <row r="10746" spans="13:13" x14ac:dyDescent="0.25">
      <c r="M10746" s="34">
        <f t="shared" si="343"/>
        <v>0</v>
      </c>
    </row>
    <row r="10747" spans="13:13" x14ac:dyDescent="0.25">
      <c r="M10747" s="34">
        <f t="shared" si="343"/>
        <v>0</v>
      </c>
    </row>
    <row r="10748" spans="13:13" x14ac:dyDescent="0.25">
      <c r="M10748" s="34">
        <f t="shared" si="343"/>
        <v>0</v>
      </c>
    </row>
    <row r="10749" spans="13:13" x14ac:dyDescent="0.25">
      <c r="M10749" s="34">
        <f t="shared" si="343"/>
        <v>0</v>
      </c>
    </row>
    <row r="10750" spans="13:13" x14ac:dyDescent="0.25">
      <c r="M10750" s="34">
        <f t="shared" si="343"/>
        <v>0</v>
      </c>
    </row>
    <row r="10751" spans="13:13" x14ac:dyDescent="0.25">
      <c r="M10751" s="34">
        <f t="shared" si="343"/>
        <v>0</v>
      </c>
    </row>
    <row r="10752" spans="13:13" x14ac:dyDescent="0.25">
      <c r="M10752" s="34">
        <f t="shared" si="343"/>
        <v>0</v>
      </c>
    </row>
    <row r="10753" spans="13:13" x14ac:dyDescent="0.25">
      <c r="M10753" s="34">
        <f t="shared" si="343"/>
        <v>0</v>
      </c>
    </row>
    <row r="10754" spans="13:13" x14ac:dyDescent="0.25">
      <c r="M10754" s="34">
        <f t="shared" si="343"/>
        <v>0</v>
      </c>
    </row>
    <row r="10755" spans="13:13" x14ac:dyDescent="0.25">
      <c r="M10755" s="34">
        <f t="shared" ref="M10755:M10818" si="344">IF(AND(E10755="Chèque",G10755="RECETTE"),F10755,0)</f>
        <v>0</v>
      </c>
    </row>
    <row r="10756" spans="13:13" x14ac:dyDescent="0.25">
      <c r="M10756" s="34">
        <f t="shared" si="344"/>
        <v>0</v>
      </c>
    </row>
    <row r="10757" spans="13:13" x14ac:dyDescent="0.25">
      <c r="M10757" s="34">
        <f t="shared" si="344"/>
        <v>0</v>
      </c>
    </row>
    <row r="10758" spans="13:13" x14ac:dyDescent="0.25">
      <c r="M10758" s="34">
        <f t="shared" si="344"/>
        <v>0</v>
      </c>
    </row>
    <row r="10759" spans="13:13" x14ac:dyDescent="0.25">
      <c r="M10759" s="34">
        <f t="shared" si="344"/>
        <v>0</v>
      </c>
    </row>
    <row r="10760" spans="13:13" x14ac:dyDescent="0.25">
      <c r="M10760" s="34">
        <f t="shared" si="344"/>
        <v>0</v>
      </c>
    </row>
    <row r="10761" spans="13:13" x14ac:dyDescent="0.25">
      <c r="M10761" s="34">
        <f t="shared" si="344"/>
        <v>0</v>
      </c>
    </row>
    <row r="10762" spans="13:13" x14ac:dyDescent="0.25">
      <c r="M10762" s="34">
        <f t="shared" si="344"/>
        <v>0</v>
      </c>
    </row>
    <row r="10763" spans="13:13" x14ac:dyDescent="0.25">
      <c r="M10763" s="34">
        <f t="shared" si="344"/>
        <v>0</v>
      </c>
    </row>
    <row r="10764" spans="13:13" x14ac:dyDescent="0.25">
      <c r="M10764" s="34">
        <f t="shared" si="344"/>
        <v>0</v>
      </c>
    </row>
    <row r="10765" spans="13:13" x14ac:dyDescent="0.25">
      <c r="M10765" s="34">
        <f t="shared" si="344"/>
        <v>0</v>
      </c>
    </row>
    <row r="10766" spans="13:13" x14ac:dyDescent="0.25">
      <c r="M10766" s="34">
        <f t="shared" si="344"/>
        <v>0</v>
      </c>
    </row>
    <row r="10767" spans="13:13" x14ac:dyDescent="0.25">
      <c r="M10767" s="34">
        <f t="shared" si="344"/>
        <v>0</v>
      </c>
    </row>
    <row r="10768" spans="13:13" x14ac:dyDescent="0.25">
      <c r="M10768" s="34">
        <f t="shared" si="344"/>
        <v>0</v>
      </c>
    </row>
    <row r="10769" spans="13:13" x14ac:dyDescent="0.25">
      <c r="M10769" s="34">
        <f t="shared" si="344"/>
        <v>0</v>
      </c>
    </row>
    <row r="10770" spans="13:13" x14ac:dyDescent="0.25">
      <c r="M10770" s="34">
        <f t="shared" si="344"/>
        <v>0</v>
      </c>
    </row>
    <row r="10771" spans="13:13" x14ac:dyDescent="0.25">
      <c r="M10771" s="34">
        <f t="shared" si="344"/>
        <v>0</v>
      </c>
    </row>
    <row r="10772" spans="13:13" x14ac:dyDescent="0.25">
      <c r="M10772" s="34">
        <f t="shared" si="344"/>
        <v>0</v>
      </c>
    </row>
    <row r="10773" spans="13:13" x14ac:dyDescent="0.25">
      <c r="M10773" s="34">
        <f t="shared" si="344"/>
        <v>0</v>
      </c>
    </row>
    <row r="10774" spans="13:13" x14ac:dyDescent="0.25">
      <c r="M10774" s="34">
        <f t="shared" si="344"/>
        <v>0</v>
      </c>
    </row>
    <row r="10775" spans="13:13" x14ac:dyDescent="0.25">
      <c r="M10775" s="34">
        <f t="shared" si="344"/>
        <v>0</v>
      </c>
    </row>
    <row r="10776" spans="13:13" x14ac:dyDescent="0.25">
      <c r="M10776" s="34">
        <f t="shared" si="344"/>
        <v>0</v>
      </c>
    </row>
    <row r="10777" spans="13:13" x14ac:dyDescent="0.25">
      <c r="M10777" s="34">
        <f t="shared" si="344"/>
        <v>0</v>
      </c>
    </row>
    <row r="10778" spans="13:13" x14ac:dyDescent="0.25">
      <c r="M10778" s="34">
        <f t="shared" si="344"/>
        <v>0</v>
      </c>
    </row>
    <row r="10779" spans="13:13" x14ac:dyDescent="0.25">
      <c r="M10779" s="34">
        <f t="shared" si="344"/>
        <v>0</v>
      </c>
    </row>
    <row r="10780" spans="13:13" x14ac:dyDescent="0.25">
      <c r="M10780" s="34">
        <f t="shared" si="344"/>
        <v>0</v>
      </c>
    </row>
    <row r="10781" spans="13:13" x14ac:dyDescent="0.25">
      <c r="M10781" s="34">
        <f t="shared" si="344"/>
        <v>0</v>
      </c>
    </row>
    <row r="10782" spans="13:13" x14ac:dyDescent="0.25">
      <c r="M10782" s="34">
        <f t="shared" si="344"/>
        <v>0</v>
      </c>
    </row>
    <row r="10783" spans="13:13" x14ac:dyDescent="0.25">
      <c r="M10783" s="34">
        <f t="shared" si="344"/>
        <v>0</v>
      </c>
    </row>
    <row r="10784" spans="13:13" x14ac:dyDescent="0.25">
      <c r="M10784" s="34">
        <f t="shared" si="344"/>
        <v>0</v>
      </c>
    </row>
    <row r="10785" spans="13:13" x14ac:dyDescent="0.25">
      <c r="M10785" s="34">
        <f t="shared" si="344"/>
        <v>0</v>
      </c>
    </row>
    <row r="10786" spans="13:13" x14ac:dyDescent="0.25">
      <c r="M10786" s="34">
        <f t="shared" si="344"/>
        <v>0</v>
      </c>
    </row>
    <row r="10787" spans="13:13" x14ac:dyDescent="0.25">
      <c r="M10787" s="34">
        <f t="shared" si="344"/>
        <v>0</v>
      </c>
    </row>
    <row r="10788" spans="13:13" x14ac:dyDescent="0.25">
      <c r="M10788" s="34">
        <f t="shared" si="344"/>
        <v>0</v>
      </c>
    </row>
    <row r="10789" spans="13:13" x14ac:dyDescent="0.25">
      <c r="M10789" s="34">
        <f t="shared" si="344"/>
        <v>0</v>
      </c>
    </row>
    <row r="10790" spans="13:13" x14ac:dyDescent="0.25">
      <c r="M10790" s="34">
        <f t="shared" si="344"/>
        <v>0</v>
      </c>
    </row>
    <row r="10791" spans="13:13" x14ac:dyDescent="0.25">
      <c r="M10791" s="34">
        <f t="shared" si="344"/>
        <v>0</v>
      </c>
    </row>
    <row r="10792" spans="13:13" x14ac:dyDescent="0.25">
      <c r="M10792" s="34">
        <f t="shared" si="344"/>
        <v>0</v>
      </c>
    </row>
    <row r="10793" spans="13:13" x14ac:dyDescent="0.25">
      <c r="M10793" s="34">
        <f t="shared" si="344"/>
        <v>0</v>
      </c>
    </row>
    <row r="10794" spans="13:13" x14ac:dyDescent="0.25">
      <c r="M10794" s="34">
        <f t="shared" si="344"/>
        <v>0</v>
      </c>
    </row>
    <row r="10795" spans="13:13" x14ac:dyDescent="0.25">
      <c r="M10795" s="34">
        <f t="shared" si="344"/>
        <v>0</v>
      </c>
    </row>
    <row r="10796" spans="13:13" x14ac:dyDescent="0.25">
      <c r="M10796" s="34">
        <f t="shared" si="344"/>
        <v>0</v>
      </c>
    </row>
    <row r="10797" spans="13:13" x14ac:dyDescent="0.25">
      <c r="M10797" s="34">
        <f t="shared" si="344"/>
        <v>0</v>
      </c>
    </row>
    <row r="10798" spans="13:13" x14ac:dyDescent="0.25">
      <c r="M10798" s="34">
        <f t="shared" si="344"/>
        <v>0</v>
      </c>
    </row>
    <row r="10799" spans="13:13" x14ac:dyDescent="0.25">
      <c r="M10799" s="34">
        <f t="shared" si="344"/>
        <v>0</v>
      </c>
    </row>
    <row r="10800" spans="13:13" x14ac:dyDescent="0.25">
      <c r="M10800" s="34">
        <f t="shared" si="344"/>
        <v>0</v>
      </c>
    </row>
    <row r="10801" spans="13:13" x14ac:dyDescent="0.25">
      <c r="M10801" s="34">
        <f t="shared" si="344"/>
        <v>0</v>
      </c>
    </row>
    <row r="10802" spans="13:13" x14ac:dyDescent="0.25">
      <c r="M10802" s="34">
        <f t="shared" si="344"/>
        <v>0</v>
      </c>
    </row>
    <row r="10803" spans="13:13" x14ac:dyDescent="0.25">
      <c r="M10803" s="34">
        <f t="shared" si="344"/>
        <v>0</v>
      </c>
    </row>
    <row r="10804" spans="13:13" x14ac:dyDescent="0.25">
      <c r="M10804" s="34">
        <f t="shared" si="344"/>
        <v>0</v>
      </c>
    </row>
    <row r="10805" spans="13:13" x14ac:dyDescent="0.25">
      <c r="M10805" s="34">
        <f t="shared" si="344"/>
        <v>0</v>
      </c>
    </row>
    <row r="10806" spans="13:13" x14ac:dyDescent="0.25">
      <c r="M10806" s="34">
        <f t="shared" si="344"/>
        <v>0</v>
      </c>
    </row>
    <row r="10807" spans="13:13" x14ac:dyDescent="0.25">
      <c r="M10807" s="34">
        <f t="shared" si="344"/>
        <v>0</v>
      </c>
    </row>
    <row r="10808" spans="13:13" x14ac:dyDescent="0.25">
      <c r="M10808" s="34">
        <f t="shared" si="344"/>
        <v>0</v>
      </c>
    </row>
    <row r="10809" spans="13:13" x14ac:dyDescent="0.25">
      <c r="M10809" s="34">
        <f t="shared" si="344"/>
        <v>0</v>
      </c>
    </row>
    <row r="10810" spans="13:13" x14ac:dyDescent="0.25">
      <c r="M10810" s="34">
        <f t="shared" si="344"/>
        <v>0</v>
      </c>
    </row>
    <row r="10811" spans="13:13" x14ac:dyDescent="0.25">
      <c r="M10811" s="34">
        <f t="shared" si="344"/>
        <v>0</v>
      </c>
    </row>
    <row r="10812" spans="13:13" x14ac:dyDescent="0.25">
      <c r="M10812" s="34">
        <f t="shared" si="344"/>
        <v>0</v>
      </c>
    </row>
    <row r="10813" spans="13:13" x14ac:dyDescent="0.25">
      <c r="M10813" s="34">
        <f t="shared" si="344"/>
        <v>0</v>
      </c>
    </row>
    <row r="10814" spans="13:13" x14ac:dyDescent="0.25">
      <c r="M10814" s="34">
        <f t="shared" si="344"/>
        <v>0</v>
      </c>
    </row>
    <row r="10815" spans="13:13" x14ac:dyDescent="0.25">
      <c r="M10815" s="34">
        <f t="shared" si="344"/>
        <v>0</v>
      </c>
    </row>
    <row r="10816" spans="13:13" x14ac:dyDescent="0.25">
      <c r="M10816" s="34">
        <f t="shared" si="344"/>
        <v>0</v>
      </c>
    </row>
    <row r="10817" spans="13:13" x14ac:dyDescent="0.25">
      <c r="M10817" s="34">
        <f t="shared" si="344"/>
        <v>0</v>
      </c>
    </row>
    <row r="10818" spans="13:13" x14ac:dyDescent="0.25">
      <c r="M10818" s="34">
        <f t="shared" si="344"/>
        <v>0</v>
      </c>
    </row>
    <row r="10819" spans="13:13" x14ac:dyDescent="0.25">
      <c r="M10819" s="34">
        <f t="shared" ref="M10819:M10882" si="345">IF(AND(E10819="Chèque",G10819="RECETTE"),F10819,0)</f>
        <v>0</v>
      </c>
    </row>
    <row r="10820" spans="13:13" x14ac:dyDescent="0.25">
      <c r="M10820" s="34">
        <f t="shared" si="345"/>
        <v>0</v>
      </c>
    </row>
    <row r="10821" spans="13:13" x14ac:dyDescent="0.25">
      <c r="M10821" s="34">
        <f t="shared" si="345"/>
        <v>0</v>
      </c>
    </row>
    <row r="10822" spans="13:13" x14ac:dyDescent="0.25">
      <c r="M10822" s="34">
        <f t="shared" si="345"/>
        <v>0</v>
      </c>
    </row>
    <row r="10823" spans="13:13" x14ac:dyDescent="0.25">
      <c r="M10823" s="34">
        <f t="shared" si="345"/>
        <v>0</v>
      </c>
    </row>
    <row r="10824" spans="13:13" x14ac:dyDescent="0.25">
      <c r="M10824" s="34">
        <f t="shared" si="345"/>
        <v>0</v>
      </c>
    </row>
    <row r="10825" spans="13:13" x14ac:dyDescent="0.25">
      <c r="M10825" s="34">
        <f t="shared" si="345"/>
        <v>0</v>
      </c>
    </row>
    <row r="10826" spans="13:13" x14ac:dyDescent="0.25">
      <c r="M10826" s="34">
        <f t="shared" si="345"/>
        <v>0</v>
      </c>
    </row>
    <row r="10827" spans="13:13" x14ac:dyDescent="0.25">
      <c r="M10827" s="34">
        <f t="shared" si="345"/>
        <v>0</v>
      </c>
    </row>
    <row r="10828" spans="13:13" x14ac:dyDescent="0.25">
      <c r="M10828" s="34">
        <f t="shared" si="345"/>
        <v>0</v>
      </c>
    </row>
    <row r="10829" spans="13:13" x14ac:dyDescent="0.25">
      <c r="M10829" s="34">
        <f t="shared" si="345"/>
        <v>0</v>
      </c>
    </row>
    <row r="10830" spans="13:13" x14ac:dyDescent="0.25">
      <c r="M10830" s="34">
        <f t="shared" si="345"/>
        <v>0</v>
      </c>
    </row>
    <row r="10831" spans="13:13" x14ac:dyDescent="0.25">
      <c r="M10831" s="34">
        <f t="shared" si="345"/>
        <v>0</v>
      </c>
    </row>
    <row r="10832" spans="13:13" x14ac:dyDescent="0.25">
      <c r="M10832" s="34">
        <f t="shared" si="345"/>
        <v>0</v>
      </c>
    </row>
    <row r="10833" spans="13:13" x14ac:dyDescent="0.25">
      <c r="M10833" s="34">
        <f t="shared" si="345"/>
        <v>0</v>
      </c>
    </row>
    <row r="10834" spans="13:13" x14ac:dyDescent="0.25">
      <c r="M10834" s="34">
        <f t="shared" si="345"/>
        <v>0</v>
      </c>
    </row>
    <row r="10835" spans="13:13" x14ac:dyDescent="0.25">
      <c r="M10835" s="34">
        <f t="shared" si="345"/>
        <v>0</v>
      </c>
    </row>
    <row r="10836" spans="13:13" x14ac:dyDescent="0.25">
      <c r="M10836" s="34">
        <f t="shared" si="345"/>
        <v>0</v>
      </c>
    </row>
    <row r="10837" spans="13:13" x14ac:dyDescent="0.25">
      <c r="M10837" s="34">
        <f t="shared" si="345"/>
        <v>0</v>
      </c>
    </row>
    <row r="10838" spans="13:13" x14ac:dyDescent="0.25">
      <c r="M10838" s="34">
        <f t="shared" si="345"/>
        <v>0</v>
      </c>
    </row>
    <row r="10839" spans="13:13" x14ac:dyDescent="0.25">
      <c r="M10839" s="34">
        <f t="shared" si="345"/>
        <v>0</v>
      </c>
    </row>
    <row r="10840" spans="13:13" x14ac:dyDescent="0.25">
      <c r="M10840" s="34">
        <f t="shared" si="345"/>
        <v>0</v>
      </c>
    </row>
    <row r="10841" spans="13:13" x14ac:dyDescent="0.25">
      <c r="M10841" s="34">
        <f t="shared" si="345"/>
        <v>0</v>
      </c>
    </row>
    <row r="10842" spans="13:13" x14ac:dyDescent="0.25">
      <c r="M10842" s="34">
        <f t="shared" si="345"/>
        <v>0</v>
      </c>
    </row>
    <row r="10843" spans="13:13" x14ac:dyDescent="0.25">
      <c r="M10843" s="34">
        <f t="shared" si="345"/>
        <v>0</v>
      </c>
    </row>
    <row r="10844" spans="13:13" x14ac:dyDescent="0.25">
      <c r="M10844" s="34">
        <f t="shared" si="345"/>
        <v>0</v>
      </c>
    </row>
    <row r="10845" spans="13:13" x14ac:dyDescent="0.25">
      <c r="M10845" s="34">
        <f t="shared" si="345"/>
        <v>0</v>
      </c>
    </row>
    <row r="10846" spans="13:13" x14ac:dyDescent="0.25">
      <c r="M10846" s="34">
        <f t="shared" si="345"/>
        <v>0</v>
      </c>
    </row>
    <row r="10847" spans="13:13" x14ac:dyDescent="0.25">
      <c r="M10847" s="34">
        <f t="shared" si="345"/>
        <v>0</v>
      </c>
    </row>
    <row r="10848" spans="13:13" x14ac:dyDescent="0.25">
      <c r="M10848" s="34">
        <f t="shared" si="345"/>
        <v>0</v>
      </c>
    </row>
    <row r="10849" spans="13:13" x14ac:dyDescent="0.25">
      <c r="M10849" s="34">
        <f t="shared" si="345"/>
        <v>0</v>
      </c>
    </row>
    <row r="10850" spans="13:13" x14ac:dyDescent="0.25">
      <c r="M10850" s="34">
        <f t="shared" si="345"/>
        <v>0</v>
      </c>
    </row>
    <row r="10851" spans="13:13" x14ac:dyDescent="0.25">
      <c r="M10851" s="34">
        <f t="shared" si="345"/>
        <v>0</v>
      </c>
    </row>
    <row r="10852" spans="13:13" x14ac:dyDescent="0.25">
      <c r="M10852" s="34">
        <f t="shared" si="345"/>
        <v>0</v>
      </c>
    </row>
    <row r="10853" spans="13:13" x14ac:dyDescent="0.25">
      <c r="M10853" s="34">
        <f t="shared" si="345"/>
        <v>0</v>
      </c>
    </row>
    <row r="10854" spans="13:13" x14ac:dyDescent="0.25">
      <c r="M10854" s="34">
        <f t="shared" si="345"/>
        <v>0</v>
      </c>
    </row>
    <row r="10855" spans="13:13" x14ac:dyDescent="0.25">
      <c r="M10855" s="34">
        <f t="shared" si="345"/>
        <v>0</v>
      </c>
    </row>
    <row r="10856" spans="13:13" x14ac:dyDescent="0.25">
      <c r="M10856" s="34">
        <f t="shared" si="345"/>
        <v>0</v>
      </c>
    </row>
    <row r="10857" spans="13:13" x14ac:dyDescent="0.25">
      <c r="M10857" s="34">
        <f t="shared" si="345"/>
        <v>0</v>
      </c>
    </row>
    <row r="10858" spans="13:13" x14ac:dyDescent="0.25">
      <c r="M10858" s="34">
        <f t="shared" si="345"/>
        <v>0</v>
      </c>
    </row>
    <row r="10859" spans="13:13" x14ac:dyDescent="0.25">
      <c r="M10859" s="34">
        <f t="shared" si="345"/>
        <v>0</v>
      </c>
    </row>
    <row r="10860" spans="13:13" x14ac:dyDescent="0.25">
      <c r="M10860" s="34">
        <f t="shared" si="345"/>
        <v>0</v>
      </c>
    </row>
    <row r="10861" spans="13:13" x14ac:dyDescent="0.25">
      <c r="M10861" s="34">
        <f t="shared" si="345"/>
        <v>0</v>
      </c>
    </row>
    <row r="10862" spans="13:13" x14ac:dyDescent="0.25">
      <c r="M10862" s="34">
        <f t="shared" si="345"/>
        <v>0</v>
      </c>
    </row>
    <row r="10863" spans="13:13" x14ac:dyDescent="0.25">
      <c r="M10863" s="34">
        <f t="shared" si="345"/>
        <v>0</v>
      </c>
    </row>
    <row r="10864" spans="13:13" x14ac:dyDescent="0.25">
      <c r="M10864" s="34">
        <f t="shared" si="345"/>
        <v>0</v>
      </c>
    </row>
    <row r="10865" spans="13:13" x14ac:dyDescent="0.25">
      <c r="M10865" s="34">
        <f t="shared" si="345"/>
        <v>0</v>
      </c>
    </row>
    <row r="10866" spans="13:13" x14ac:dyDescent="0.25">
      <c r="M10866" s="34">
        <f t="shared" si="345"/>
        <v>0</v>
      </c>
    </row>
    <row r="10867" spans="13:13" x14ac:dyDescent="0.25">
      <c r="M10867" s="34">
        <f t="shared" si="345"/>
        <v>0</v>
      </c>
    </row>
    <row r="10868" spans="13:13" x14ac:dyDescent="0.25">
      <c r="M10868" s="34">
        <f t="shared" si="345"/>
        <v>0</v>
      </c>
    </row>
    <row r="10869" spans="13:13" x14ac:dyDescent="0.25">
      <c r="M10869" s="34">
        <f t="shared" si="345"/>
        <v>0</v>
      </c>
    </row>
    <row r="10870" spans="13:13" x14ac:dyDescent="0.25">
      <c r="M10870" s="34">
        <f t="shared" si="345"/>
        <v>0</v>
      </c>
    </row>
    <row r="10871" spans="13:13" x14ac:dyDescent="0.25">
      <c r="M10871" s="34">
        <f t="shared" si="345"/>
        <v>0</v>
      </c>
    </row>
    <row r="10872" spans="13:13" x14ac:dyDescent="0.25">
      <c r="M10872" s="34">
        <f t="shared" si="345"/>
        <v>0</v>
      </c>
    </row>
    <row r="10873" spans="13:13" x14ac:dyDescent="0.25">
      <c r="M10873" s="34">
        <f t="shared" si="345"/>
        <v>0</v>
      </c>
    </row>
    <row r="10874" spans="13:13" x14ac:dyDescent="0.25">
      <c r="M10874" s="34">
        <f t="shared" si="345"/>
        <v>0</v>
      </c>
    </row>
    <row r="10875" spans="13:13" x14ac:dyDescent="0.25">
      <c r="M10875" s="34">
        <f t="shared" si="345"/>
        <v>0</v>
      </c>
    </row>
    <row r="10876" spans="13:13" x14ac:dyDescent="0.25">
      <c r="M10876" s="34">
        <f t="shared" si="345"/>
        <v>0</v>
      </c>
    </row>
    <row r="10877" spans="13:13" x14ac:dyDescent="0.25">
      <c r="M10877" s="34">
        <f t="shared" si="345"/>
        <v>0</v>
      </c>
    </row>
    <row r="10878" spans="13:13" x14ac:dyDescent="0.25">
      <c r="M10878" s="34">
        <f t="shared" si="345"/>
        <v>0</v>
      </c>
    </row>
    <row r="10879" spans="13:13" x14ac:dyDescent="0.25">
      <c r="M10879" s="34">
        <f t="shared" si="345"/>
        <v>0</v>
      </c>
    </row>
    <row r="10880" spans="13:13" x14ac:dyDescent="0.25">
      <c r="M10880" s="34">
        <f t="shared" si="345"/>
        <v>0</v>
      </c>
    </row>
    <row r="10881" spans="13:13" x14ac:dyDescent="0.25">
      <c r="M10881" s="34">
        <f t="shared" si="345"/>
        <v>0</v>
      </c>
    </row>
    <row r="10882" spans="13:13" x14ac:dyDescent="0.25">
      <c r="M10882" s="34">
        <f t="shared" si="345"/>
        <v>0</v>
      </c>
    </row>
    <row r="10883" spans="13:13" x14ac:dyDescent="0.25">
      <c r="M10883" s="34">
        <f t="shared" ref="M10883:M10946" si="346">IF(AND(E10883="Chèque",G10883="RECETTE"),F10883,0)</f>
        <v>0</v>
      </c>
    </row>
    <row r="10884" spans="13:13" x14ac:dyDescent="0.25">
      <c r="M10884" s="34">
        <f t="shared" si="346"/>
        <v>0</v>
      </c>
    </row>
    <row r="10885" spans="13:13" x14ac:dyDescent="0.25">
      <c r="M10885" s="34">
        <f t="shared" si="346"/>
        <v>0</v>
      </c>
    </row>
    <row r="10886" spans="13:13" x14ac:dyDescent="0.25">
      <c r="M10886" s="34">
        <f t="shared" si="346"/>
        <v>0</v>
      </c>
    </row>
    <row r="10887" spans="13:13" x14ac:dyDescent="0.25">
      <c r="M10887" s="34">
        <f t="shared" si="346"/>
        <v>0</v>
      </c>
    </row>
    <row r="10888" spans="13:13" x14ac:dyDescent="0.25">
      <c r="M10888" s="34">
        <f t="shared" si="346"/>
        <v>0</v>
      </c>
    </row>
    <row r="10889" spans="13:13" x14ac:dyDescent="0.25">
      <c r="M10889" s="34">
        <f t="shared" si="346"/>
        <v>0</v>
      </c>
    </row>
    <row r="10890" spans="13:13" x14ac:dyDescent="0.25">
      <c r="M10890" s="34">
        <f t="shared" si="346"/>
        <v>0</v>
      </c>
    </row>
    <row r="10891" spans="13:13" x14ac:dyDescent="0.25">
      <c r="M10891" s="34">
        <f t="shared" si="346"/>
        <v>0</v>
      </c>
    </row>
    <row r="10892" spans="13:13" x14ac:dyDescent="0.25">
      <c r="M10892" s="34">
        <f t="shared" si="346"/>
        <v>0</v>
      </c>
    </row>
    <row r="10893" spans="13:13" x14ac:dyDescent="0.25">
      <c r="M10893" s="34">
        <f t="shared" si="346"/>
        <v>0</v>
      </c>
    </row>
    <row r="10894" spans="13:13" x14ac:dyDescent="0.25">
      <c r="M10894" s="34">
        <f t="shared" si="346"/>
        <v>0</v>
      </c>
    </row>
    <row r="10895" spans="13:13" x14ac:dyDescent="0.25">
      <c r="M10895" s="34">
        <f t="shared" si="346"/>
        <v>0</v>
      </c>
    </row>
    <row r="10896" spans="13:13" x14ac:dyDescent="0.25">
      <c r="M10896" s="34">
        <f t="shared" si="346"/>
        <v>0</v>
      </c>
    </row>
    <row r="10897" spans="13:13" x14ac:dyDescent="0.25">
      <c r="M10897" s="34">
        <f t="shared" si="346"/>
        <v>0</v>
      </c>
    </row>
    <row r="10898" spans="13:13" x14ac:dyDescent="0.25">
      <c r="M10898" s="34">
        <f t="shared" si="346"/>
        <v>0</v>
      </c>
    </row>
    <row r="10899" spans="13:13" x14ac:dyDescent="0.25">
      <c r="M10899" s="34">
        <f t="shared" si="346"/>
        <v>0</v>
      </c>
    </row>
    <row r="10900" spans="13:13" x14ac:dyDescent="0.25">
      <c r="M10900" s="34">
        <f t="shared" si="346"/>
        <v>0</v>
      </c>
    </row>
    <row r="10901" spans="13:13" x14ac:dyDescent="0.25">
      <c r="M10901" s="34">
        <f t="shared" si="346"/>
        <v>0</v>
      </c>
    </row>
    <row r="10902" spans="13:13" x14ac:dyDescent="0.25">
      <c r="M10902" s="34">
        <f t="shared" si="346"/>
        <v>0</v>
      </c>
    </row>
    <row r="10903" spans="13:13" x14ac:dyDescent="0.25">
      <c r="M10903" s="34">
        <f t="shared" si="346"/>
        <v>0</v>
      </c>
    </row>
    <row r="10904" spans="13:13" x14ac:dyDescent="0.25">
      <c r="M10904" s="34">
        <f t="shared" si="346"/>
        <v>0</v>
      </c>
    </row>
    <row r="10905" spans="13:13" x14ac:dyDescent="0.25">
      <c r="M10905" s="34">
        <f t="shared" si="346"/>
        <v>0</v>
      </c>
    </row>
    <row r="10906" spans="13:13" x14ac:dyDescent="0.25">
      <c r="M10906" s="34">
        <f t="shared" si="346"/>
        <v>0</v>
      </c>
    </row>
    <row r="10907" spans="13:13" x14ac:dyDescent="0.25">
      <c r="M10907" s="34">
        <f t="shared" si="346"/>
        <v>0</v>
      </c>
    </row>
    <row r="10908" spans="13:13" x14ac:dyDescent="0.25">
      <c r="M10908" s="34">
        <f t="shared" si="346"/>
        <v>0</v>
      </c>
    </row>
    <row r="10909" spans="13:13" x14ac:dyDescent="0.25">
      <c r="M10909" s="34">
        <f t="shared" si="346"/>
        <v>0</v>
      </c>
    </row>
    <row r="10910" spans="13:13" x14ac:dyDescent="0.25">
      <c r="M10910" s="34">
        <f t="shared" si="346"/>
        <v>0</v>
      </c>
    </row>
    <row r="10911" spans="13:13" x14ac:dyDescent="0.25">
      <c r="M10911" s="34">
        <f t="shared" si="346"/>
        <v>0</v>
      </c>
    </row>
    <row r="10912" spans="13:13" x14ac:dyDescent="0.25">
      <c r="M10912" s="34">
        <f t="shared" si="346"/>
        <v>0</v>
      </c>
    </row>
    <row r="10913" spans="13:13" x14ac:dyDescent="0.25">
      <c r="M10913" s="34">
        <f t="shared" si="346"/>
        <v>0</v>
      </c>
    </row>
    <row r="10914" spans="13:13" x14ac:dyDescent="0.25">
      <c r="M10914" s="34">
        <f t="shared" si="346"/>
        <v>0</v>
      </c>
    </row>
    <row r="10915" spans="13:13" x14ac:dyDescent="0.25">
      <c r="M10915" s="34">
        <f t="shared" si="346"/>
        <v>0</v>
      </c>
    </row>
    <row r="10916" spans="13:13" x14ac:dyDescent="0.25">
      <c r="M10916" s="34">
        <f t="shared" si="346"/>
        <v>0</v>
      </c>
    </row>
    <row r="10917" spans="13:13" x14ac:dyDescent="0.25">
      <c r="M10917" s="34">
        <f t="shared" si="346"/>
        <v>0</v>
      </c>
    </row>
    <row r="10918" spans="13:13" x14ac:dyDescent="0.25">
      <c r="M10918" s="34">
        <f t="shared" si="346"/>
        <v>0</v>
      </c>
    </row>
    <row r="10919" spans="13:13" x14ac:dyDescent="0.25">
      <c r="M10919" s="34">
        <f t="shared" si="346"/>
        <v>0</v>
      </c>
    </row>
    <row r="10920" spans="13:13" x14ac:dyDescent="0.25">
      <c r="M10920" s="34">
        <f t="shared" si="346"/>
        <v>0</v>
      </c>
    </row>
    <row r="10921" spans="13:13" x14ac:dyDescent="0.25">
      <c r="M10921" s="34">
        <f t="shared" si="346"/>
        <v>0</v>
      </c>
    </row>
    <row r="10922" spans="13:13" x14ac:dyDescent="0.25">
      <c r="M10922" s="34">
        <f t="shared" si="346"/>
        <v>0</v>
      </c>
    </row>
    <row r="10923" spans="13:13" x14ac:dyDescent="0.25">
      <c r="M10923" s="34">
        <f t="shared" si="346"/>
        <v>0</v>
      </c>
    </row>
    <row r="10924" spans="13:13" x14ac:dyDescent="0.25">
      <c r="M10924" s="34">
        <f t="shared" si="346"/>
        <v>0</v>
      </c>
    </row>
    <row r="10925" spans="13:13" x14ac:dyDescent="0.25">
      <c r="M10925" s="34">
        <f t="shared" si="346"/>
        <v>0</v>
      </c>
    </row>
    <row r="10926" spans="13:13" x14ac:dyDescent="0.25">
      <c r="M10926" s="34">
        <f t="shared" si="346"/>
        <v>0</v>
      </c>
    </row>
    <row r="10927" spans="13:13" x14ac:dyDescent="0.25">
      <c r="M10927" s="34">
        <f t="shared" si="346"/>
        <v>0</v>
      </c>
    </row>
    <row r="10928" spans="13:13" x14ac:dyDescent="0.25">
      <c r="M10928" s="34">
        <f t="shared" si="346"/>
        <v>0</v>
      </c>
    </row>
    <row r="10929" spans="13:13" x14ac:dyDescent="0.25">
      <c r="M10929" s="34">
        <f t="shared" si="346"/>
        <v>0</v>
      </c>
    </row>
    <row r="10930" spans="13:13" x14ac:dyDescent="0.25">
      <c r="M10930" s="34">
        <f t="shared" si="346"/>
        <v>0</v>
      </c>
    </row>
    <row r="10931" spans="13:13" x14ac:dyDescent="0.25">
      <c r="M10931" s="34">
        <f t="shared" si="346"/>
        <v>0</v>
      </c>
    </row>
    <row r="10932" spans="13:13" x14ac:dyDescent="0.25">
      <c r="M10932" s="34">
        <f t="shared" si="346"/>
        <v>0</v>
      </c>
    </row>
    <row r="10933" spans="13:13" x14ac:dyDescent="0.25">
      <c r="M10933" s="34">
        <f t="shared" si="346"/>
        <v>0</v>
      </c>
    </row>
    <row r="10934" spans="13:13" x14ac:dyDescent="0.25">
      <c r="M10934" s="34">
        <f t="shared" si="346"/>
        <v>0</v>
      </c>
    </row>
    <row r="10935" spans="13:13" x14ac:dyDescent="0.25">
      <c r="M10935" s="34">
        <f t="shared" si="346"/>
        <v>0</v>
      </c>
    </row>
    <row r="10936" spans="13:13" x14ac:dyDescent="0.25">
      <c r="M10936" s="34">
        <f t="shared" si="346"/>
        <v>0</v>
      </c>
    </row>
    <row r="10937" spans="13:13" x14ac:dyDescent="0.25">
      <c r="M10937" s="34">
        <f t="shared" si="346"/>
        <v>0</v>
      </c>
    </row>
    <row r="10938" spans="13:13" x14ac:dyDescent="0.25">
      <c r="M10938" s="34">
        <f t="shared" si="346"/>
        <v>0</v>
      </c>
    </row>
    <row r="10939" spans="13:13" x14ac:dyDescent="0.25">
      <c r="M10939" s="34">
        <f t="shared" si="346"/>
        <v>0</v>
      </c>
    </row>
    <row r="10940" spans="13:13" x14ac:dyDescent="0.25">
      <c r="M10940" s="34">
        <f t="shared" si="346"/>
        <v>0</v>
      </c>
    </row>
    <row r="10941" spans="13:13" x14ac:dyDescent="0.25">
      <c r="M10941" s="34">
        <f t="shared" si="346"/>
        <v>0</v>
      </c>
    </row>
    <row r="10942" spans="13:13" x14ac:dyDescent="0.25">
      <c r="M10942" s="34">
        <f t="shared" si="346"/>
        <v>0</v>
      </c>
    </row>
    <row r="10943" spans="13:13" x14ac:dyDescent="0.25">
      <c r="M10943" s="34">
        <f t="shared" si="346"/>
        <v>0</v>
      </c>
    </row>
    <row r="10944" spans="13:13" x14ac:dyDescent="0.25">
      <c r="M10944" s="34">
        <f t="shared" si="346"/>
        <v>0</v>
      </c>
    </row>
    <row r="10945" spans="13:13" x14ac:dyDescent="0.25">
      <c r="M10945" s="34">
        <f t="shared" si="346"/>
        <v>0</v>
      </c>
    </row>
    <row r="10946" spans="13:13" x14ac:dyDescent="0.25">
      <c r="M10946" s="34">
        <f t="shared" si="346"/>
        <v>0</v>
      </c>
    </row>
    <row r="10947" spans="13:13" x14ac:dyDescent="0.25">
      <c r="M10947" s="34">
        <f t="shared" ref="M10947:M11010" si="347">IF(AND(E10947="Chèque",G10947="RECETTE"),F10947,0)</f>
        <v>0</v>
      </c>
    </row>
    <row r="10948" spans="13:13" x14ac:dyDescent="0.25">
      <c r="M10948" s="34">
        <f t="shared" si="347"/>
        <v>0</v>
      </c>
    </row>
    <row r="10949" spans="13:13" x14ac:dyDescent="0.25">
      <c r="M10949" s="34">
        <f t="shared" si="347"/>
        <v>0</v>
      </c>
    </row>
    <row r="10950" spans="13:13" x14ac:dyDescent="0.25">
      <c r="M10950" s="34">
        <f t="shared" si="347"/>
        <v>0</v>
      </c>
    </row>
    <row r="10951" spans="13:13" x14ac:dyDescent="0.25">
      <c r="M10951" s="34">
        <f t="shared" si="347"/>
        <v>0</v>
      </c>
    </row>
    <row r="10952" spans="13:13" x14ac:dyDescent="0.25">
      <c r="M10952" s="34">
        <f t="shared" si="347"/>
        <v>0</v>
      </c>
    </row>
    <row r="10953" spans="13:13" x14ac:dyDescent="0.25">
      <c r="M10953" s="34">
        <f t="shared" si="347"/>
        <v>0</v>
      </c>
    </row>
    <row r="10954" spans="13:13" x14ac:dyDescent="0.25">
      <c r="M10954" s="34">
        <f t="shared" si="347"/>
        <v>0</v>
      </c>
    </row>
    <row r="10955" spans="13:13" x14ac:dyDescent="0.25">
      <c r="M10955" s="34">
        <f t="shared" si="347"/>
        <v>0</v>
      </c>
    </row>
    <row r="10956" spans="13:13" x14ac:dyDescent="0.25">
      <c r="M10956" s="34">
        <f t="shared" si="347"/>
        <v>0</v>
      </c>
    </row>
    <row r="10957" spans="13:13" x14ac:dyDescent="0.25">
      <c r="M10957" s="34">
        <f t="shared" si="347"/>
        <v>0</v>
      </c>
    </row>
    <row r="10958" spans="13:13" x14ac:dyDescent="0.25">
      <c r="M10958" s="34">
        <f t="shared" si="347"/>
        <v>0</v>
      </c>
    </row>
    <row r="10959" spans="13:13" x14ac:dyDescent="0.25">
      <c r="M10959" s="34">
        <f t="shared" si="347"/>
        <v>0</v>
      </c>
    </row>
    <row r="10960" spans="13:13" x14ac:dyDescent="0.25">
      <c r="M10960" s="34">
        <f t="shared" si="347"/>
        <v>0</v>
      </c>
    </row>
    <row r="10961" spans="13:13" x14ac:dyDescent="0.25">
      <c r="M10961" s="34">
        <f t="shared" si="347"/>
        <v>0</v>
      </c>
    </row>
    <row r="10962" spans="13:13" x14ac:dyDescent="0.25">
      <c r="M10962" s="34">
        <f t="shared" si="347"/>
        <v>0</v>
      </c>
    </row>
    <row r="10963" spans="13:13" x14ac:dyDescent="0.25">
      <c r="M10963" s="34">
        <f t="shared" si="347"/>
        <v>0</v>
      </c>
    </row>
    <row r="10964" spans="13:13" x14ac:dyDescent="0.25">
      <c r="M10964" s="34">
        <f t="shared" si="347"/>
        <v>0</v>
      </c>
    </row>
    <row r="10965" spans="13:13" x14ac:dyDescent="0.25">
      <c r="M10965" s="34">
        <f t="shared" si="347"/>
        <v>0</v>
      </c>
    </row>
    <row r="10966" spans="13:13" x14ac:dyDescent="0.25">
      <c r="M10966" s="34">
        <f t="shared" si="347"/>
        <v>0</v>
      </c>
    </row>
    <row r="10967" spans="13:13" x14ac:dyDescent="0.25">
      <c r="M10967" s="34">
        <f t="shared" si="347"/>
        <v>0</v>
      </c>
    </row>
    <row r="10968" spans="13:13" x14ac:dyDescent="0.25">
      <c r="M10968" s="34">
        <f t="shared" si="347"/>
        <v>0</v>
      </c>
    </row>
    <row r="10969" spans="13:13" x14ac:dyDescent="0.25">
      <c r="M10969" s="34">
        <f t="shared" si="347"/>
        <v>0</v>
      </c>
    </row>
    <row r="10970" spans="13:13" x14ac:dyDescent="0.25">
      <c r="M10970" s="34">
        <f t="shared" si="347"/>
        <v>0</v>
      </c>
    </row>
    <row r="10971" spans="13:13" x14ac:dyDescent="0.25">
      <c r="M10971" s="34">
        <f t="shared" si="347"/>
        <v>0</v>
      </c>
    </row>
    <row r="10972" spans="13:13" x14ac:dyDescent="0.25">
      <c r="M10972" s="34">
        <f t="shared" si="347"/>
        <v>0</v>
      </c>
    </row>
    <row r="10973" spans="13:13" x14ac:dyDescent="0.25">
      <c r="M10973" s="34">
        <f t="shared" si="347"/>
        <v>0</v>
      </c>
    </row>
    <row r="10974" spans="13:13" x14ac:dyDescent="0.25">
      <c r="M10974" s="34">
        <f t="shared" si="347"/>
        <v>0</v>
      </c>
    </row>
    <row r="10975" spans="13:13" x14ac:dyDescent="0.25">
      <c r="M10975" s="34">
        <f t="shared" si="347"/>
        <v>0</v>
      </c>
    </row>
    <row r="10976" spans="13:13" x14ac:dyDescent="0.25">
      <c r="M10976" s="34">
        <f t="shared" si="347"/>
        <v>0</v>
      </c>
    </row>
    <row r="10977" spans="13:13" x14ac:dyDescent="0.25">
      <c r="M10977" s="34">
        <f t="shared" si="347"/>
        <v>0</v>
      </c>
    </row>
    <row r="10978" spans="13:13" x14ac:dyDescent="0.25">
      <c r="M10978" s="34">
        <f t="shared" si="347"/>
        <v>0</v>
      </c>
    </row>
    <row r="10979" spans="13:13" x14ac:dyDescent="0.25">
      <c r="M10979" s="34">
        <f t="shared" si="347"/>
        <v>0</v>
      </c>
    </row>
    <row r="10980" spans="13:13" x14ac:dyDescent="0.25">
      <c r="M10980" s="34">
        <f t="shared" si="347"/>
        <v>0</v>
      </c>
    </row>
    <row r="10981" spans="13:13" x14ac:dyDescent="0.25">
      <c r="M10981" s="34">
        <f t="shared" si="347"/>
        <v>0</v>
      </c>
    </row>
    <row r="10982" spans="13:13" x14ac:dyDescent="0.25">
      <c r="M10982" s="34">
        <f t="shared" si="347"/>
        <v>0</v>
      </c>
    </row>
    <row r="10983" spans="13:13" x14ac:dyDescent="0.25">
      <c r="M10983" s="34">
        <f t="shared" si="347"/>
        <v>0</v>
      </c>
    </row>
    <row r="10984" spans="13:13" x14ac:dyDescent="0.25">
      <c r="M10984" s="34">
        <f t="shared" si="347"/>
        <v>0</v>
      </c>
    </row>
    <row r="10985" spans="13:13" x14ac:dyDescent="0.25">
      <c r="M10985" s="34">
        <f t="shared" si="347"/>
        <v>0</v>
      </c>
    </row>
    <row r="10986" spans="13:13" x14ac:dyDescent="0.25">
      <c r="M10986" s="34">
        <f t="shared" si="347"/>
        <v>0</v>
      </c>
    </row>
    <row r="10987" spans="13:13" x14ac:dyDescent="0.25">
      <c r="M10987" s="34">
        <f t="shared" si="347"/>
        <v>0</v>
      </c>
    </row>
    <row r="10988" spans="13:13" x14ac:dyDescent="0.25">
      <c r="M10988" s="34">
        <f t="shared" si="347"/>
        <v>0</v>
      </c>
    </row>
    <row r="10989" spans="13:13" x14ac:dyDescent="0.25">
      <c r="M10989" s="34">
        <f t="shared" si="347"/>
        <v>0</v>
      </c>
    </row>
    <row r="10990" spans="13:13" x14ac:dyDescent="0.25">
      <c r="M10990" s="34">
        <f t="shared" si="347"/>
        <v>0</v>
      </c>
    </row>
    <row r="10991" spans="13:13" x14ac:dyDescent="0.25">
      <c r="M10991" s="34">
        <f t="shared" si="347"/>
        <v>0</v>
      </c>
    </row>
    <row r="10992" spans="13:13" x14ac:dyDescent="0.25">
      <c r="M10992" s="34">
        <f t="shared" si="347"/>
        <v>0</v>
      </c>
    </row>
    <row r="10993" spans="13:13" x14ac:dyDescent="0.25">
      <c r="M10993" s="34">
        <f t="shared" si="347"/>
        <v>0</v>
      </c>
    </row>
    <row r="10994" spans="13:13" x14ac:dyDescent="0.25">
      <c r="M10994" s="34">
        <f t="shared" si="347"/>
        <v>0</v>
      </c>
    </row>
    <row r="10995" spans="13:13" x14ac:dyDescent="0.25">
      <c r="M10995" s="34">
        <f t="shared" si="347"/>
        <v>0</v>
      </c>
    </row>
    <row r="10996" spans="13:13" x14ac:dyDescent="0.25">
      <c r="M10996" s="34">
        <f t="shared" si="347"/>
        <v>0</v>
      </c>
    </row>
    <row r="10997" spans="13:13" x14ac:dyDescent="0.25">
      <c r="M10997" s="34">
        <f t="shared" si="347"/>
        <v>0</v>
      </c>
    </row>
    <row r="10998" spans="13:13" x14ac:dyDescent="0.25">
      <c r="M10998" s="34">
        <f t="shared" si="347"/>
        <v>0</v>
      </c>
    </row>
    <row r="10999" spans="13:13" x14ac:dyDescent="0.25">
      <c r="M10999" s="34">
        <f t="shared" si="347"/>
        <v>0</v>
      </c>
    </row>
    <row r="11000" spans="13:13" x14ac:dyDescent="0.25">
      <c r="M11000" s="34">
        <f t="shared" si="347"/>
        <v>0</v>
      </c>
    </row>
    <row r="11001" spans="13:13" x14ac:dyDescent="0.25">
      <c r="M11001" s="34">
        <f t="shared" si="347"/>
        <v>0</v>
      </c>
    </row>
    <row r="11002" spans="13:13" x14ac:dyDescent="0.25">
      <c r="M11002" s="34">
        <f t="shared" si="347"/>
        <v>0</v>
      </c>
    </row>
    <row r="11003" spans="13:13" x14ac:dyDescent="0.25">
      <c r="M11003" s="34">
        <f t="shared" si="347"/>
        <v>0</v>
      </c>
    </row>
    <row r="11004" spans="13:13" x14ac:dyDescent="0.25">
      <c r="M11004" s="34">
        <f t="shared" si="347"/>
        <v>0</v>
      </c>
    </row>
    <row r="11005" spans="13:13" x14ac:dyDescent="0.25">
      <c r="M11005" s="34">
        <f t="shared" si="347"/>
        <v>0</v>
      </c>
    </row>
    <row r="11006" spans="13:13" x14ac:dyDescent="0.25">
      <c r="M11006" s="34">
        <f t="shared" si="347"/>
        <v>0</v>
      </c>
    </row>
    <row r="11007" spans="13:13" x14ac:dyDescent="0.25">
      <c r="M11007" s="34">
        <f t="shared" si="347"/>
        <v>0</v>
      </c>
    </row>
    <row r="11008" spans="13:13" x14ac:dyDescent="0.25">
      <c r="M11008" s="34">
        <f t="shared" si="347"/>
        <v>0</v>
      </c>
    </row>
    <row r="11009" spans="13:13" x14ac:dyDescent="0.25">
      <c r="M11009" s="34">
        <f t="shared" si="347"/>
        <v>0</v>
      </c>
    </row>
    <row r="11010" spans="13:13" x14ac:dyDescent="0.25">
      <c r="M11010" s="34">
        <f t="shared" si="347"/>
        <v>0</v>
      </c>
    </row>
    <row r="11011" spans="13:13" x14ac:dyDescent="0.25">
      <c r="M11011" s="34">
        <f t="shared" ref="M11011:M11074" si="348">IF(AND(E11011="Chèque",G11011="RECETTE"),F11011,0)</f>
        <v>0</v>
      </c>
    </row>
    <row r="11012" spans="13:13" x14ac:dyDescent="0.25">
      <c r="M11012" s="34">
        <f t="shared" si="348"/>
        <v>0</v>
      </c>
    </row>
    <row r="11013" spans="13:13" x14ac:dyDescent="0.25">
      <c r="M11013" s="34">
        <f t="shared" si="348"/>
        <v>0</v>
      </c>
    </row>
    <row r="11014" spans="13:13" x14ac:dyDescent="0.25">
      <c r="M11014" s="34">
        <f t="shared" si="348"/>
        <v>0</v>
      </c>
    </row>
    <row r="11015" spans="13:13" x14ac:dyDescent="0.25">
      <c r="M11015" s="34">
        <f t="shared" si="348"/>
        <v>0</v>
      </c>
    </row>
    <row r="11016" spans="13:13" x14ac:dyDescent="0.25">
      <c r="M11016" s="34">
        <f t="shared" si="348"/>
        <v>0</v>
      </c>
    </row>
    <row r="11017" spans="13:13" x14ac:dyDescent="0.25">
      <c r="M11017" s="34">
        <f t="shared" si="348"/>
        <v>0</v>
      </c>
    </row>
    <row r="11018" spans="13:13" x14ac:dyDescent="0.25">
      <c r="M11018" s="34">
        <f t="shared" si="348"/>
        <v>0</v>
      </c>
    </row>
    <row r="11019" spans="13:13" x14ac:dyDescent="0.25">
      <c r="M11019" s="34">
        <f t="shared" si="348"/>
        <v>0</v>
      </c>
    </row>
    <row r="11020" spans="13:13" x14ac:dyDescent="0.25">
      <c r="M11020" s="34">
        <f t="shared" si="348"/>
        <v>0</v>
      </c>
    </row>
    <row r="11021" spans="13:13" x14ac:dyDescent="0.25">
      <c r="M11021" s="34">
        <f t="shared" si="348"/>
        <v>0</v>
      </c>
    </row>
    <row r="11022" spans="13:13" x14ac:dyDescent="0.25">
      <c r="M11022" s="34">
        <f t="shared" si="348"/>
        <v>0</v>
      </c>
    </row>
    <row r="11023" spans="13:13" x14ac:dyDescent="0.25">
      <c r="M11023" s="34">
        <f t="shared" si="348"/>
        <v>0</v>
      </c>
    </row>
    <row r="11024" spans="13:13" x14ac:dyDescent="0.25">
      <c r="M11024" s="34">
        <f t="shared" si="348"/>
        <v>0</v>
      </c>
    </row>
    <row r="11025" spans="13:13" x14ac:dyDescent="0.25">
      <c r="M11025" s="34">
        <f t="shared" si="348"/>
        <v>0</v>
      </c>
    </row>
    <row r="11026" spans="13:13" x14ac:dyDescent="0.25">
      <c r="M11026" s="34">
        <f t="shared" si="348"/>
        <v>0</v>
      </c>
    </row>
    <row r="11027" spans="13:13" x14ac:dyDescent="0.25">
      <c r="M11027" s="34">
        <f t="shared" si="348"/>
        <v>0</v>
      </c>
    </row>
    <row r="11028" spans="13:13" x14ac:dyDescent="0.25">
      <c r="M11028" s="34">
        <f t="shared" si="348"/>
        <v>0</v>
      </c>
    </row>
    <row r="11029" spans="13:13" x14ac:dyDescent="0.25">
      <c r="M11029" s="34">
        <f t="shared" si="348"/>
        <v>0</v>
      </c>
    </row>
    <row r="11030" spans="13:13" x14ac:dyDescent="0.25">
      <c r="M11030" s="34">
        <f t="shared" si="348"/>
        <v>0</v>
      </c>
    </row>
    <row r="11031" spans="13:13" x14ac:dyDescent="0.25">
      <c r="M11031" s="34">
        <f t="shared" si="348"/>
        <v>0</v>
      </c>
    </row>
    <row r="11032" spans="13:13" x14ac:dyDescent="0.25">
      <c r="M11032" s="34">
        <f t="shared" si="348"/>
        <v>0</v>
      </c>
    </row>
    <row r="11033" spans="13:13" x14ac:dyDescent="0.25">
      <c r="M11033" s="34">
        <f t="shared" si="348"/>
        <v>0</v>
      </c>
    </row>
    <row r="11034" spans="13:13" x14ac:dyDescent="0.25">
      <c r="M11034" s="34">
        <f t="shared" si="348"/>
        <v>0</v>
      </c>
    </row>
    <row r="11035" spans="13:13" x14ac:dyDescent="0.25">
      <c r="M11035" s="34">
        <f t="shared" si="348"/>
        <v>0</v>
      </c>
    </row>
    <row r="11036" spans="13:13" x14ac:dyDescent="0.25">
      <c r="M11036" s="34">
        <f t="shared" si="348"/>
        <v>0</v>
      </c>
    </row>
    <row r="11037" spans="13:13" x14ac:dyDescent="0.25">
      <c r="M11037" s="34">
        <f t="shared" si="348"/>
        <v>0</v>
      </c>
    </row>
    <row r="11038" spans="13:13" x14ac:dyDescent="0.25">
      <c r="M11038" s="34">
        <f t="shared" si="348"/>
        <v>0</v>
      </c>
    </row>
    <row r="11039" spans="13:13" x14ac:dyDescent="0.25">
      <c r="M11039" s="34">
        <f t="shared" si="348"/>
        <v>0</v>
      </c>
    </row>
    <row r="11040" spans="13:13" x14ac:dyDescent="0.25">
      <c r="M11040" s="34">
        <f t="shared" si="348"/>
        <v>0</v>
      </c>
    </row>
    <row r="11041" spans="13:13" x14ac:dyDescent="0.25">
      <c r="M11041" s="34">
        <f t="shared" si="348"/>
        <v>0</v>
      </c>
    </row>
    <row r="11042" spans="13:13" x14ac:dyDescent="0.25">
      <c r="M11042" s="34">
        <f t="shared" si="348"/>
        <v>0</v>
      </c>
    </row>
    <row r="11043" spans="13:13" x14ac:dyDescent="0.25">
      <c r="M11043" s="34">
        <f t="shared" si="348"/>
        <v>0</v>
      </c>
    </row>
    <row r="11044" spans="13:13" x14ac:dyDescent="0.25">
      <c r="M11044" s="34">
        <f t="shared" si="348"/>
        <v>0</v>
      </c>
    </row>
    <row r="11045" spans="13:13" x14ac:dyDescent="0.25">
      <c r="M11045" s="34">
        <f t="shared" si="348"/>
        <v>0</v>
      </c>
    </row>
    <row r="11046" spans="13:13" x14ac:dyDescent="0.25">
      <c r="M11046" s="34">
        <f t="shared" si="348"/>
        <v>0</v>
      </c>
    </row>
    <row r="11047" spans="13:13" x14ac:dyDescent="0.25">
      <c r="M11047" s="34">
        <f t="shared" si="348"/>
        <v>0</v>
      </c>
    </row>
    <row r="11048" spans="13:13" x14ac:dyDescent="0.25">
      <c r="M11048" s="34">
        <f t="shared" si="348"/>
        <v>0</v>
      </c>
    </row>
    <row r="11049" spans="13:13" x14ac:dyDescent="0.25">
      <c r="M11049" s="34">
        <f t="shared" si="348"/>
        <v>0</v>
      </c>
    </row>
    <row r="11050" spans="13:13" x14ac:dyDescent="0.25">
      <c r="M11050" s="34">
        <f t="shared" si="348"/>
        <v>0</v>
      </c>
    </row>
    <row r="11051" spans="13:13" x14ac:dyDescent="0.25">
      <c r="M11051" s="34">
        <f t="shared" si="348"/>
        <v>0</v>
      </c>
    </row>
    <row r="11052" spans="13:13" x14ac:dyDescent="0.25">
      <c r="M11052" s="34">
        <f t="shared" si="348"/>
        <v>0</v>
      </c>
    </row>
    <row r="11053" spans="13:13" x14ac:dyDescent="0.25">
      <c r="M11053" s="34">
        <f t="shared" si="348"/>
        <v>0</v>
      </c>
    </row>
    <row r="11054" spans="13:13" x14ac:dyDescent="0.25">
      <c r="M11054" s="34">
        <f t="shared" si="348"/>
        <v>0</v>
      </c>
    </row>
    <row r="11055" spans="13:13" x14ac:dyDescent="0.25">
      <c r="M11055" s="34">
        <f t="shared" si="348"/>
        <v>0</v>
      </c>
    </row>
    <row r="11056" spans="13:13" x14ac:dyDescent="0.25">
      <c r="M11056" s="34">
        <f t="shared" si="348"/>
        <v>0</v>
      </c>
    </row>
    <row r="11057" spans="13:13" x14ac:dyDescent="0.25">
      <c r="M11057" s="34">
        <f t="shared" si="348"/>
        <v>0</v>
      </c>
    </row>
    <row r="11058" spans="13:13" x14ac:dyDescent="0.25">
      <c r="M11058" s="34">
        <f t="shared" si="348"/>
        <v>0</v>
      </c>
    </row>
    <row r="11059" spans="13:13" x14ac:dyDescent="0.25">
      <c r="M11059" s="34">
        <f t="shared" si="348"/>
        <v>0</v>
      </c>
    </row>
    <row r="11060" spans="13:13" x14ac:dyDescent="0.25">
      <c r="M11060" s="34">
        <f t="shared" si="348"/>
        <v>0</v>
      </c>
    </row>
    <row r="11061" spans="13:13" x14ac:dyDescent="0.25">
      <c r="M11061" s="34">
        <f t="shared" si="348"/>
        <v>0</v>
      </c>
    </row>
    <row r="11062" spans="13:13" x14ac:dyDescent="0.25">
      <c r="M11062" s="34">
        <f t="shared" si="348"/>
        <v>0</v>
      </c>
    </row>
    <row r="11063" spans="13:13" x14ac:dyDescent="0.25">
      <c r="M11063" s="34">
        <f t="shared" si="348"/>
        <v>0</v>
      </c>
    </row>
    <row r="11064" spans="13:13" x14ac:dyDescent="0.25">
      <c r="M11064" s="34">
        <f t="shared" si="348"/>
        <v>0</v>
      </c>
    </row>
    <row r="11065" spans="13:13" x14ac:dyDescent="0.25">
      <c r="M11065" s="34">
        <f t="shared" si="348"/>
        <v>0</v>
      </c>
    </row>
    <row r="11066" spans="13:13" x14ac:dyDescent="0.25">
      <c r="M11066" s="34">
        <f t="shared" si="348"/>
        <v>0</v>
      </c>
    </row>
    <row r="11067" spans="13:13" x14ac:dyDescent="0.25">
      <c r="M11067" s="34">
        <f t="shared" si="348"/>
        <v>0</v>
      </c>
    </row>
    <row r="11068" spans="13:13" x14ac:dyDescent="0.25">
      <c r="M11068" s="34">
        <f t="shared" si="348"/>
        <v>0</v>
      </c>
    </row>
    <row r="11069" spans="13:13" x14ac:dyDescent="0.25">
      <c r="M11069" s="34">
        <f t="shared" si="348"/>
        <v>0</v>
      </c>
    </row>
    <row r="11070" spans="13:13" x14ac:dyDescent="0.25">
      <c r="M11070" s="34">
        <f t="shared" si="348"/>
        <v>0</v>
      </c>
    </row>
    <row r="11071" spans="13:13" x14ac:dyDescent="0.25">
      <c r="M11071" s="34">
        <f t="shared" si="348"/>
        <v>0</v>
      </c>
    </row>
    <row r="11072" spans="13:13" x14ac:dyDescent="0.25">
      <c r="M11072" s="34">
        <f t="shared" si="348"/>
        <v>0</v>
      </c>
    </row>
    <row r="11073" spans="13:13" x14ac:dyDescent="0.25">
      <c r="M11073" s="34">
        <f t="shared" si="348"/>
        <v>0</v>
      </c>
    </row>
    <row r="11074" spans="13:13" x14ac:dyDescent="0.25">
      <c r="M11074" s="34">
        <f t="shared" si="348"/>
        <v>0</v>
      </c>
    </row>
    <row r="11075" spans="13:13" x14ac:dyDescent="0.25">
      <c r="M11075" s="34">
        <f t="shared" ref="M11075:M11138" si="349">IF(AND(E11075="Chèque",G11075="RECETTE"),F11075,0)</f>
        <v>0</v>
      </c>
    </row>
    <row r="11076" spans="13:13" x14ac:dyDescent="0.25">
      <c r="M11076" s="34">
        <f t="shared" si="349"/>
        <v>0</v>
      </c>
    </row>
    <row r="11077" spans="13:13" x14ac:dyDescent="0.25">
      <c r="M11077" s="34">
        <f t="shared" si="349"/>
        <v>0</v>
      </c>
    </row>
    <row r="11078" spans="13:13" x14ac:dyDescent="0.25">
      <c r="M11078" s="34">
        <f t="shared" si="349"/>
        <v>0</v>
      </c>
    </row>
    <row r="11079" spans="13:13" x14ac:dyDescent="0.25">
      <c r="M11079" s="34">
        <f t="shared" si="349"/>
        <v>0</v>
      </c>
    </row>
    <row r="11080" spans="13:13" x14ac:dyDescent="0.25">
      <c r="M11080" s="34">
        <f t="shared" si="349"/>
        <v>0</v>
      </c>
    </row>
    <row r="11081" spans="13:13" x14ac:dyDescent="0.25">
      <c r="M11081" s="34">
        <f t="shared" si="349"/>
        <v>0</v>
      </c>
    </row>
    <row r="11082" spans="13:13" x14ac:dyDescent="0.25">
      <c r="M11082" s="34">
        <f t="shared" si="349"/>
        <v>0</v>
      </c>
    </row>
    <row r="11083" spans="13:13" x14ac:dyDescent="0.25">
      <c r="M11083" s="34">
        <f t="shared" si="349"/>
        <v>0</v>
      </c>
    </row>
    <row r="11084" spans="13:13" x14ac:dyDescent="0.25">
      <c r="M11084" s="34">
        <f t="shared" si="349"/>
        <v>0</v>
      </c>
    </row>
    <row r="11085" spans="13:13" x14ac:dyDescent="0.25">
      <c r="M11085" s="34">
        <f t="shared" si="349"/>
        <v>0</v>
      </c>
    </row>
    <row r="11086" spans="13:13" x14ac:dyDescent="0.25">
      <c r="M11086" s="34">
        <f t="shared" si="349"/>
        <v>0</v>
      </c>
    </row>
    <row r="11087" spans="13:13" x14ac:dyDescent="0.25">
      <c r="M11087" s="34">
        <f t="shared" si="349"/>
        <v>0</v>
      </c>
    </row>
    <row r="11088" spans="13:13" x14ac:dyDescent="0.25">
      <c r="M11088" s="34">
        <f t="shared" si="349"/>
        <v>0</v>
      </c>
    </row>
    <row r="11089" spans="13:13" x14ac:dyDescent="0.25">
      <c r="M11089" s="34">
        <f t="shared" si="349"/>
        <v>0</v>
      </c>
    </row>
    <row r="11090" spans="13:13" x14ac:dyDescent="0.25">
      <c r="M11090" s="34">
        <f t="shared" si="349"/>
        <v>0</v>
      </c>
    </row>
    <row r="11091" spans="13:13" x14ac:dyDescent="0.25">
      <c r="M11091" s="34">
        <f t="shared" si="349"/>
        <v>0</v>
      </c>
    </row>
    <row r="11092" spans="13:13" x14ac:dyDescent="0.25">
      <c r="M11092" s="34">
        <f t="shared" si="349"/>
        <v>0</v>
      </c>
    </row>
    <row r="11093" spans="13:13" x14ac:dyDescent="0.25">
      <c r="M11093" s="34">
        <f t="shared" si="349"/>
        <v>0</v>
      </c>
    </row>
    <row r="11094" spans="13:13" x14ac:dyDescent="0.25">
      <c r="M11094" s="34">
        <f t="shared" si="349"/>
        <v>0</v>
      </c>
    </row>
    <row r="11095" spans="13:13" x14ac:dyDescent="0.25">
      <c r="M11095" s="34">
        <f t="shared" si="349"/>
        <v>0</v>
      </c>
    </row>
    <row r="11096" spans="13:13" x14ac:dyDescent="0.25">
      <c r="M11096" s="34">
        <f t="shared" si="349"/>
        <v>0</v>
      </c>
    </row>
    <row r="11097" spans="13:13" x14ac:dyDescent="0.25">
      <c r="M11097" s="34">
        <f t="shared" si="349"/>
        <v>0</v>
      </c>
    </row>
    <row r="11098" spans="13:13" x14ac:dyDescent="0.25">
      <c r="M11098" s="34">
        <f t="shared" si="349"/>
        <v>0</v>
      </c>
    </row>
    <row r="11099" spans="13:13" x14ac:dyDescent="0.25">
      <c r="M11099" s="34">
        <f t="shared" si="349"/>
        <v>0</v>
      </c>
    </row>
    <row r="11100" spans="13:13" x14ac:dyDescent="0.25">
      <c r="M11100" s="34">
        <f t="shared" si="349"/>
        <v>0</v>
      </c>
    </row>
    <row r="11101" spans="13:13" x14ac:dyDescent="0.25">
      <c r="M11101" s="34">
        <f t="shared" si="349"/>
        <v>0</v>
      </c>
    </row>
    <row r="11102" spans="13:13" x14ac:dyDescent="0.25">
      <c r="M11102" s="34">
        <f t="shared" si="349"/>
        <v>0</v>
      </c>
    </row>
    <row r="11103" spans="13:13" x14ac:dyDescent="0.25">
      <c r="M11103" s="34">
        <f t="shared" si="349"/>
        <v>0</v>
      </c>
    </row>
    <row r="11104" spans="13:13" x14ac:dyDescent="0.25">
      <c r="M11104" s="34">
        <f t="shared" si="349"/>
        <v>0</v>
      </c>
    </row>
    <row r="11105" spans="13:13" x14ac:dyDescent="0.25">
      <c r="M11105" s="34">
        <f t="shared" si="349"/>
        <v>0</v>
      </c>
    </row>
    <row r="11106" spans="13:13" x14ac:dyDescent="0.25">
      <c r="M11106" s="34">
        <f t="shared" si="349"/>
        <v>0</v>
      </c>
    </row>
    <row r="11107" spans="13:13" x14ac:dyDescent="0.25">
      <c r="M11107" s="34">
        <f t="shared" si="349"/>
        <v>0</v>
      </c>
    </row>
    <row r="11108" spans="13:13" x14ac:dyDescent="0.25">
      <c r="M11108" s="34">
        <f t="shared" si="349"/>
        <v>0</v>
      </c>
    </row>
    <row r="11109" spans="13:13" x14ac:dyDescent="0.25">
      <c r="M11109" s="34">
        <f t="shared" si="349"/>
        <v>0</v>
      </c>
    </row>
    <row r="11110" spans="13:13" x14ac:dyDescent="0.25">
      <c r="M11110" s="34">
        <f t="shared" si="349"/>
        <v>0</v>
      </c>
    </row>
    <row r="11111" spans="13:13" x14ac:dyDescent="0.25">
      <c r="M11111" s="34">
        <f t="shared" si="349"/>
        <v>0</v>
      </c>
    </row>
    <row r="11112" spans="13:13" x14ac:dyDescent="0.25">
      <c r="M11112" s="34">
        <f t="shared" si="349"/>
        <v>0</v>
      </c>
    </row>
    <row r="11113" spans="13:13" x14ac:dyDescent="0.25">
      <c r="M11113" s="34">
        <f t="shared" si="349"/>
        <v>0</v>
      </c>
    </row>
    <row r="11114" spans="13:13" x14ac:dyDescent="0.25">
      <c r="M11114" s="34">
        <f t="shared" si="349"/>
        <v>0</v>
      </c>
    </row>
    <row r="11115" spans="13:13" x14ac:dyDescent="0.25">
      <c r="M11115" s="34">
        <f t="shared" si="349"/>
        <v>0</v>
      </c>
    </row>
    <row r="11116" spans="13:13" x14ac:dyDescent="0.25">
      <c r="M11116" s="34">
        <f t="shared" si="349"/>
        <v>0</v>
      </c>
    </row>
    <row r="11117" spans="13:13" x14ac:dyDescent="0.25">
      <c r="M11117" s="34">
        <f t="shared" si="349"/>
        <v>0</v>
      </c>
    </row>
    <row r="11118" spans="13:13" x14ac:dyDescent="0.25">
      <c r="M11118" s="34">
        <f t="shared" si="349"/>
        <v>0</v>
      </c>
    </row>
    <row r="11119" spans="13:13" x14ac:dyDescent="0.25">
      <c r="M11119" s="34">
        <f t="shared" si="349"/>
        <v>0</v>
      </c>
    </row>
    <row r="11120" spans="13:13" x14ac:dyDescent="0.25">
      <c r="M11120" s="34">
        <f t="shared" si="349"/>
        <v>0</v>
      </c>
    </row>
    <row r="11121" spans="13:13" x14ac:dyDescent="0.25">
      <c r="M11121" s="34">
        <f t="shared" si="349"/>
        <v>0</v>
      </c>
    </row>
    <row r="11122" spans="13:13" x14ac:dyDescent="0.25">
      <c r="M11122" s="34">
        <f t="shared" si="349"/>
        <v>0</v>
      </c>
    </row>
    <row r="11123" spans="13:13" x14ac:dyDescent="0.25">
      <c r="M11123" s="34">
        <f t="shared" si="349"/>
        <v>0</v>
      </c>
    </row>
    <row r="11124" spans="13:13" x14ac:dyDescent="0.25">
      <c r="M11124" s="34">
        <f t="shared" si="349"/>
        <v>0</v>
      </c>
    </row>
    <row r="11125" spans="13:13" x14ac:dyDescent="0.25">
      <c r="M11125" s="34">
        <f t="shared" si="349"/>
        <v>0</v>
      </c>
    </row>
    <row r="11126" spans="13:13" x14ac:dyDescent="0.25">
      <c r="M11126" s="34">
        <f t="shared" si="349"/>
        <v>0</v>
      </c>
    </row>
    <row r="11127" spans="13:13" x14ac:dyDescent="0.25">
      <c r="M11127" s="34">
        <f t="shared" si="349"/>
        <v>0</v>
      </c>
    </row>
    <row r="11128" spans="13:13" x14ac:dyDescent="0.25">
      <c r="M11128" s="34">
        <f t="shared" si="349"/>
        <v>0</v>
      </c>
    </row>
    <row r="11129" spans="13:13" x14ac:dyDescent="0.25">
      <c r="M11129" s="34">
        <f t="shared" si="349"/>
        <v>0</v>
      </c>
    </row>
    <row r="11130" spans="13:13" x14ac:dyDescent="0.25">
      <c r="M11130" s="34">
        <f t="shared" si="349"/>
        <v>0</v>
      </c>
    </row>
    <row r="11131" spans="13:13" x14ac:dyDescent="0.25">
      <c r="M11131" s="34">
        <f t="shared" si="349"/>
        <v>0</v>
      </c>
    </row>
    <row r="11132" spans="13:13" x14ac:dyDescent="0.25">
      <c r="M11132" s="34">
        <f t="shared" si="349"/>
        <v>0</v>
      </c>
    </row>
    <row r="11133" spans="13:13" x14ac:dyDescent="0.25">
      <c r="M11133" s="34">
        <f t="shared" si="349"/>
        <v>0</v>
      </c>
    </row>
    <row r="11134" spans="13:13" x14ac:dyDescent="0.25">
      <c r="M11134" s="34">
        <f t="shared" si="349"/>
        <v>0</v>
      </c>
    </row>
    <row r="11135" spans="13:13" x14ac:dyDescent="0.25">
      <c r="M11135" s="34">
        <f t="shared" si="349"/>
        <v>0</v>
      </c>
    </row>
    <row r="11136" spans="13:13" x14ac:dyDescent="0.25">
      <c r="M11136" s="34">
        <f t="shared" si="349"/>
        <v>0</v>
      </c>
    </row>
    <row r="11137" spans="13:13" x14ac:dyDescent="0.25">
      <c r="M11137" s="34">
        <f t="shared" si="349"/>
        <v>0</v>
      </c>
    </row>
    <row r="11138" spans="13:13" x14ac:dyDescent="0.25">
      <c r="M11138" s="34">
        <f t="shared" si="349"/>
        <v>0</v>
      </c>
    </row>
    <row r="11139" spans="13:13" x14ac:dyDescent="0.25">
      <c r="M11139" s="34">
        <f t="shared" ref="M11139:M11202" si="350">IF(AND(E11139="Chèque",G11139="RECETTE"),F11139,0)</f>
        <v>0</v>
      </c>
    </row>
    <row r="11140" spans="13:13" x14ac:dyDescent="0.25">
      <c r="M11140" s="34">
        <f t="shared" si="350"/>
        <v>0</v>
      </c>
    </row>
    <row r="11141" spans="13:13" x14ac:dyDescent="0.25">
      <c r="M11141" s="34">
        <f t="shared" si="350"/>
        <v>0</v>
      </c>
    </row>
    <row r="11142" spans="13:13" x14ac:dyDescent="0.25">
      <c r="M11142" s="34">
        <f t="shared" si="350"/>
        <v>0</v>
      </c>
    </row>
    <row r="11143" spans="13:13" x14ac:dyDescent="0.25">
      <c r="M11143" s="34">
        <f t="shared" si="350"/>
        <v>0</v>
      </c>
    </row>
    <row r="11144" spans="13:13" x14ac:dyDescent="0.25">
      <c r="M11144" s="34">
        <f t="shared" si="350"/>
        <v>0</v>
      </c>
    </row>
    <row r="11145" spans="13:13" x14ac:dyDescent="0.25">
      <c r="M11145" s="34">
        <f t="shared" si="350"/>
        <v>0</v>
      </c>
    </row>
    <row r="11146" spans="13:13" x14ac:dyDescent="0.25">
      <c r="M11146" s="34">
        <f t="shared" si="350"/>
        <v>0</v>
      </c>
    </row>
    <row r="11147" spans="13:13" x14ac:dyDescent="0.25">
      <c r="M11147" s="34">
        <f t="shared" si="350"/>
        <v>0</v>
      </c>
    </row>
    <row r="11148" spans="13:13" x14ac:dyDescent="0.25">
      <c r="M11148" s="34">
        <f t="shared" si="350"/>
        <v>0</v>
      </c>
    </row>
    <row r="11149" spans="13:13" x14ac:dyDescent="0.25">
      <c r="M11149" s="34">
        <f t="shared" si="350"/>
        <v>0</v>
      </c>
    </row>
    <row r="11150" spans="13:13" x14ac:dyDescent="0.25">
      <c r="M11150" s="34">
        <f t="shared" si="350"/>
        <v>0</v>
      </c>
    </row>
    <row r="11151" spans="13:13" x14ac:dyDescent="0.25">
      <c r="M11151" s="34">
        <f t="shared" si="350"/>
        <v>0</v>
      </c>
    </row>
    <row r="11152" spans="13:13" x14ac:dyDescent="0.25">
      <c r="M11152" s="34">
        <f t="shared" si="350"/>
        <v>0</v>
      </c>
    </row>
    <row r="11153" spans="13:13" x14ac:dyDescent="0.25">
      <c r="M11153" s="34">
        <f t="shared" si="350"/>
        <v>0</v>
      </c>
    </row>
    <row r="11154" spans="13:13" x14ac:dyDescent="0.25">
      <c r="M11154" s="34">
        <f t="shared" si="350"/>
        <v>0</v>
      </c>
    </row>
    <row r="11155" spans="13:13" x14ac:dyDescent="0.25">
      <c r="M11155" s="34">
        <f t="shared" si="350"/>
        <v>0</v>
      </c>
    </row>
    <row r="11156" spans="13:13" x14ac:dyDescent="0.25">
      <c r="M11156" s="34">
        <f t="shared" si="350"/>
        <v>0</v>
      </c>
    </row>
    <row r="11157" spans="13:13" x14ac:dyDescent="0.25">
      <c r="M11157" s="34">
        <f t="shared" si="350"/>
        <v>0</v>
      </c>
    </row>
    <row r="11158" spans="13:13" x14ac:dyDescent="0.25">
      <c r="M11158" s="34">
        <f t="shared" si="350"/>
        <v>0</v>
      </c>
    </row>
    <row r="11159" spans="13:13" x14ac:dyDescent="0.25">
      <c r="M11159" s="34">
        <f t="shared" si="350"/>
        <v>0</v>
      </c>
    </row>
    <row r="11160" spans="13:13" x14ac:dyDescent="0.25">
      <c r="M11160" s="34">
        <f t="shared" si="350"/>
        <v>0</v>
      </c>
    </row>
    <row r="11161" spans="13:13" x14ac:dyDescent="0.25">
      <c r="M11161" s="34">
        <f t="shared" si="350"/>
        <v>0</v>
      </c>
    </row>
    <row r="11162" spans="13:13" x14ac:dyDescent="0.25">
      <c r="M11162" s="34">
        <f t="shared" si="350"/>
        <v>0</v>
      </c>
    </row>
    <row r="11163" spans="13:13" x14ac:dyDescent="0.25">
      <c r="M11163" s="34">
        <f t="shared" si="350"/>
        <v>0</v>
      </c>
    </row>
    <row r="11164" spans="13:13" x14ac:dyDescent="0.25">
      <c r="M11164" s="34">
        <f t="shared" si="350"/>
        <v>0</v>
      </c>
    </row>
    <row r="11165" spans="13:13" x14ac:dyDescent="0.25">
      <c r="M11165" s="34">
        <f t="shared" si="350"/>
        <v>0</v>
      </c>
    </row>
    <row r="11166" spans="13:13" x14ac:dyDescent="0.25">
      <c r="M11166" s="34">
        <f t="shared" si="350"/>
        <v>0</v>
      </c>
    </row>
    <row r="11167" spans="13:13" x14ac:dyDescent="0.25">
      <c r="M11167" s="34">
        <f t="shared" si="350"/>
        <v>0</v>
      </c>
    </row>
    <row r="11168" spans="13:13" x14ac:dyDescent="0.25">
      <c r="M11168" s="34">
        <f t="shared" si="350"/>
        <v>0</v>
      </c>
    </row>
    <row r="11169" spans="13:13" x14ac:dyDescent="0.25">
      <c r="M11169" s="34">
        <f t="shared" si="350"/>
        <v>0</v>
      </c>
    </row>
    <row r="11170" spans="13:13" x14ac:dyDescent="0.25">
      <c r="M11170" s="34">
        <f t="shared" si="350"/>
        <v>0</v>
      </c>
    </row>
    <row r="11171" spans="13:13" x14ac:dyDescent="0.25">
      <c r="M11171" s="34">
        <f t="shared" si="350"/>
        <v>0</v>
      </c>
    </row>
    <row r="11172" spans="13:13" x14ac:dyDescent="0.25">
      <c r="M11172" s="34">
        <f t="shared" si="350"/>
        <v>0</v>
      </c>
    </row>
    <row r="11173" spans="13:13" x14ac:dyDescent="0.25">
      <c r="M11173" s="34">
        <f t="shared" si="350"/>
        <v>0</v>
      </c>
    </row>
    <row r="11174" spans="13:13" x14ac:dyDescent="0.25">
      <c r="M11174" s="34">
        <f t="shared" si="350"/>
        <v>0</v>
      </c>
    </row>
    <row r="11175" spans="13:13" x14ac:dyDescent="0.25">
      <c r="M11175" s="34">
        <f t="shared" si="350"/>
        <v>0</v>
      </c>
    </row>
    <row r="11176" spans="13:13" x14ac:dyDescent="0.25">
      <c r="M11176" s="34">
        <f t="shared" si="350"/>
        <v>0</v>
      </c>
    </row>
    <row r="11177" spans="13:13" x14ac:dyDescent="0.25">
      <c r="M11177" s="34">
        <f t="shared" si="350"/>
        <v>0</v>
      </c>
    </row>
    <row r="11178" spans="13:13" x14ac:dyDescent="0.25">
      <c r="M11178" s="34">
        <f t="shared" si="350"/>
        <v>0</v>
      </c>
    </row>
    <row r="11179" spans="13:13" x14ac:dyDescent="0.25">
      <c r="M11179" s="34">
        <f t="shared" si="350"/>
        <v>0</v>
      </c>
    </row>
    <row r="11180" spans="13:13" x14ac:dyDescent="0.25">
      <c r="M11180" s="34">
        <f t="shared" si="350"/>
        <v>0</v>
      </c>
    </row>
    <row r="11181" spans="13:13" x14ac:dyDescent="0.25">
      <c r="M11181" s="34">
        <f t="shared" si="350"/>
        <v>0</v>
      </c>
    </row>
    <row r="11182" spans="13:13" x14ac:dyDescent="0.25">
      <c r="M11182" s="34">
        <f t="shared" si="350"/>
        <v>0</v>
      </c>
    </row>
    <row r="11183" spans="13:13" x14ac:dyDescent="0.25">
      <c r="M11183" s="34">
        <f t="shared" si="350"/>
        <v>0</v>
      </c>
    </row>
    <row r="11184" spans="13:13" x14ac:dyDescent="0.25">
      <c r="M11184" s="34">
        <f t="shared" si="350"/>
        <v>0</v>
      </c>
    </row>
    <row r="11185" spans="13:13" x14ac:dyDescent="0.25">
      <c r="M11185" s="34">
        <f t="shared" si="350"/>
        <v>0</v>
      </c>
    </row>
    <row r="11186" spans="13:13" x14ac:dyDescent="0.25">
      <c r="M11186" s="34">
        <f t="shared" si="350"/>
        <v>0</v>
      </c>
    </row>
    <row r="11187" spans="13:13" x14ac:dyDescent="0.25">
      <c r="M11187" s="34">
        <f t="shared" si="350"/>
        <v>0</v>
      </c>
    </row>
    <row r="11188" spans="13:13" x14ac:dyDescent="0.25">
      <c r="M11188" s="34">
        <f t="shared" si="350"/>
        <v>0</v>
      </c>
    </row>
    <row r="11189" spans="13:13" x14ac:dyDescent="0.25">
      <c r="M11189" s="34">
        <f t="shared" si="350"/>
        <v>0</v>
      </c>
    </row>
    <row r="11190" spans="13:13" x14ac:dyDescent="0.25">
      <c r="M11190" s="34">
        <f t="shared" si="350"/>
        <v>0</v>
      </c>
    </row>
    <row r="11191" spans="13:13" x14ac:dyDescent="0.25">
      <c r="M11191" s="34">
        <f t="shared" si="350"/>
        <v>0</v>
      </c>
    </row>
    <row r="11192" spans="13:13" x14ac:dyDescent="0.25">
      <c r="M11192" s="34">
        <f t="shared" si="350"/>
        <v>0</v>
      </c>
    </row>
    <row r="11193" spans="13:13" x14ac:dyDescent="0.25">
      <c r="M11193" s="34">
        <f t="shared" si="350"/>
        <v>0</v>
      </c>
    </row>
    <row r="11194" spans="13:13" x14ac:dyDescent="0.25">
      <c r="M11194" s="34">
        <f t="shared" si="350"/>
        <v>0</v>
      </c>
    </row>
    <row r="11195" spans="13:13" x14ac:dyDescent="0.25">
      <c r="M11195" s="34">
        <f t="shared" si="350"/>
        <v>0</v>
      </c>
    </row>
    <row r="11196" spans="13:13" x14ac:dyDescent="0.25">
      <c r="M11196" s="34">
        <f t="shared" si="350"/>
        <v>0</v>
      </c>
    </row>
    <row r="11197" spans="13:13" x14ac:dyDescent="0.25">
      <c r="M11197" s="34">
        <f t="shared" si="350"/>
        <v>0</v>
      </c>
    </row>
    <row r="11198" spans="13:13" x14ac:dyDescent="0.25">
      <c r="M11198" s="34">
        <f t="shared" si="350"/>
        <v>0</v>
      </c>
    </row>
    <row r="11199" spans="13:13" x14ac:dyDescent="0.25">
      <c r="M11199" s="34">
        <f t="shared" si="350"/>
        <v>0</v>
      </c>
    </row>
    <row r="11200" spans="13:13" x14ac:dyDescent="0.25">
      <c r="M11200" s="34">
        <f t="shared" si="350"/>
        <v>0</v>
      </c>
    </row>
    <row r="11201" spans="13:13" x14ac:dyDescent="0.25">
      <c r="M11201" s="34">
        <f t="shared" si="350"/>
        <v>0</v>
      </c>
    </row>
    <row r="11202" spans="13:13" x14ac:dyDescent="0.25">
      <c r="M11202" s="34">
        <f t="shared" si="350"/>
        <v>0</v>
      </c>
    </row>
    <row r="11203" spans="13:13" x14ac:dyDescent="0.25">
      <c r="M11203" s="34">
        <f t="shared" ref="M11203:M11266" si="351">IF(AND(E11203="Chèque",G11203="RECETTE"),F11203,0)</f>
        <v>0</v>
      </c>
    </row>
    <row r="11204" spans="13:13" x14ac:dyDescent="0.25">
      <c r="M11204" s="34">
        <f t="shared" si="351"/>
        <v>0</v>
      </c>
    </row>
    <row r="11205" spans="13:13" x14ac:dyDescent="0.25">
      <c r="M11205" s="34">
        <f t="shared" si="351"/>
        <v>0</v>
      </c>
    </row>
    <row r="11206" spans="13:13" x14ac:dyDescent="0.25">
      <c r="M11206" s="34">
        <f t="shared" si="351"/>
        <v>0</v>
      </c>
    </row>
    <row r="11207" spans="13:13" x14ac:dyDescent="0.25">
      <c r="M11207" s="34">
        <f t="shared" si="351"/>
        <v>0</v>
      </c>
    </row>
    <row r="11208" spans="13:13" x14ac:dyDescent="0.25">
      <c r="M11208" s="34">
        <f t="shared" si="351"/>
        <v>0</v>
      </c>
    </row>
    <row r="11209" spans="13:13" x14ac:dyDescent="0.25">
      <c r="M11209" s="34">
        <f t="shared" si="351"/>
        <v>0</v>
      </c>
    </row>
    <row r="11210" spans="13:13" x14ac:dyDescent="0.25">
      <c r="M11210" s="34">
        <f t="shared" si="351"/>
        <v>0</v>
      </c>
    </row>
    <row r="11211" spans="13:13" x14ac:dyDescent="0.25">
      <c r="M11211" s="34">
        <f t="shared" si="351"/>
        <v>0</v>
      </c>
    </row>
    <row r="11212" spans="13:13" x14ac:dyDescent="0.25">
      <c r="M11212" s="34">
        <f t="shared" si="351"/>
        <v>0</v>
      </c>
    </row>
    <row r="11213" spans="13:13" x14ac:dyDescent="0.25">
      <c r="M11213" s="34">
        <f t="shared" si="351"/>
        <v>0</v>
      </c>
    </row>
    <row r="11214" spans="13:13" x14ac:dyDescent="0.25">
      <c r="M11214" s="34">
        <f t="shared" si="351"/>
        <v>0</v>
      </c>
    </row>
    <row r="11215" spans="13:13" x14ac:dyDescent="0.25">
      <c r="M11215" s="34">
        <f t="shared" si="351"/>
        <v>0</v>
      </c>
    </row>
    <row r="11216" spans="13:13" x14ac:dyDescent="0.25">
      <c r="M11216" s="34">
        <f t="shared" si="351"/>
        <v>0</v>
      </c>
    </row>
    <row r="11217" spans="13:13" x14ac:dyDescent="0.25">
      <c r="M11217" s="34">
        <f t="shared" si="351"/>
        <v>0</v>
      </c>
    </row>
    <row r="11218" spans="13:13" x14ac:dyDescent="0.25">
      <c r="M11218" s="34">
        <f t="shared" si="351"/>
        <v>0</v>
      </c>
    </row>
    <row r="11219" spans="13:13" x14ac:dyDescent="0.25">
      <c r="M11219" s="34">
        <f t="shared" si="351"/>
        <v>0</v>
      </c>
    </row>
    <row r="11220" spans="13:13" x14ac:dyDescent="0.25">
      <c r="M11220" s="34">
        <f t="shared" si="351"/>
        <v>0</v>
      </c>
    </row>
    <row r="11221" spans="13:13" x14ac:dyDescent="0.25">
      <c r="M11221" s="34">
        <f t="shared" si="351"/>
        <v>0</v>
      </c>
    </row>
    <row r="11222" spans="13:13" x14ac:dyDescent="0.25">
      <c r="M11222" s="34">
        <f t="shared" si="351"/>
        <v>0</v>
      </c>
    </row>
    <row r="11223" spans="13:13" x14ac:dyDescent="0.25">
      <c r="M11223" s="34">
        <f t="shared" si="351"/>
        <v>0</v>
      </c>
    </row>
    <row r="11224" spans="13:13" x14ac:dyDescent="0.25">
      <c r="M11224" s="34">
        <f t="shared" si="351"/>
        <v>0</v>
      </c>
    </row>
    <row r="11225" spans="13:13" x14ac:dyDescent="0.25">
      <c r="M11225" s="34">
        <f t="shared" si="351"/>
        <v>0</v>
      </c>
    </row>
    <row r="11226" spans="13:13" x14ac:dyDescent="0.25">
      <c r="M11226" s="34">
        <f t="shared" si="351"/>
        <v>0</v>
      </c>
    </row>
    <row r="11227" spans="13:13" x14ac:dyDescent="0.25">
      <c r="M11227" s="34">
        <f t="shared" si="351"/>
        <v>0</v>
      </c>
    </row>
    <row r="11228" spans="13:13" x14ac:dyDescent="0.25">
      <c r="M11228" s="34">
        <f t="shared" si="351"/>
        <v>0</v>
      </c>
    </row>
    <row r="11229" spans="13:13" x14ac:dyDescent="0.25">
      <c r="M11229" s="34">
        <f t="shared" si="351"/>
        <v>0</v>
      </c>
    </row>
    <row r="11230" spans="13:13" x14ac:dyDescent="0.25">
      <c r="M11230" s="34">
        <f t="shared" si="351"/>
        <v>0</v>
      </c>
    </row>
    <row r="11231" spans="13:13" x14ac:dyDescent="0.25">
      <c r="M11231" s="34">
        <f t="shared" si="351"/>
        <v>0</v>
      </c>
    </row>
    <row r="11232" spans="13:13" x14ac:dyDescent="0.25">
      <c r="M11232" s="34">
        <f t="shared" si="351"/>
        <v>0</v>
      </c>
    </row>
    <row r="11233" spans="13:13" x14ac:dyDescent="0.25">
      <c r="M11233" s="34">
        <f t="shared" si="351"/>
        <v>0</v>
      </c>
    </row>
    <row r="11234" spans="13:13" x14ac:dyDescent="0.25">
      <c r="M11234" s="34">
        <f t="shared" si="351"/>
        <v>0</v>
      </c>
    </row>
    <row r="11235" spans="13:13" x14ac:dyDescent="0.25">
      <c r="M11235" s="34">
        <f t="shared" si="351"/>
        <v>0</v>
      </c>
    </row>
    <row r="11236" spans="13:13" x14ac:dyDescent="0.25">
      <c r="M11236" s="34">
        <f t="shared" si="351"/>
        <v>0</v>
      </c>
    </row>
    <row r="11237" spans="13:13" x14ac:dyDescent="0.25">
      <c r="M11237" s="34">
        <f t="shared" si="351"/>
        <v>0</v>
      </c>
    </row>
    <row r="11238" spans="13:13" x14ac:dyDescent="0.25">
      <c r="M11238" s="34">
        <f t="shared" si="351"/>
        <v>0</v>
      </c>
    </row>
    <row r="11239" spans="13:13" x14ac:dyDescent="0.25">
      <c r="M11239" s="34">
        <f t="shared" si="351"/>
        <v>0</v>
      </c>
    </row>
    <row r="11240" spans="13:13" x14ac:dyDescent="0.25">
      <c r="M11240" s="34">
        <f t="shared" si="351"/>
        <v>0</v>
      </c>
    </row>
    <row r="11241" spans="13:13" x14ac:dyDescent="0.25">
      <c r="M11241" s="34">
        <f t="shared" si="351"/>
        <v>0</v>
      </c>
    </row>
    <row r="11242" spans="13:13" x14ac:dyDescent="0.25">
      <c r="M11242" s="34">
        <f t="shared" si="351"/>
        <v>0</v>
      </c>
    </row>
    <row r="11243" spans="13:13" x14ac:dyDescent="0.25">
      <c r="M11243" s="34">
        <f t="shared" si="351"/>
        <v>0</v>
      </c>
    </row>
    <row r="11244" spans="13:13" x14ac:dyDescent="0.25">
      <c r="M11244" s="34">
        <f t="shared" si="351"/>
        <v>0</v>
      </c>
    </row>
    <row r="11245" spans="13:13" x14ac:dyDescent="0.25">
      <c r="M11245" s="34">
        <f t="shared" si="351"/>
        <v>0</v>
      </c>
    </row>
    <row r="11246" spans="13:13" x14ac:dyDescent="0.25">
      <c r="M11246" s="34">
        <f t="shared" si="351"/>
        <v>0</v>
      </c>
    </row>
    <row r="11247" spans="13:13" x14ac:dyDescent="0.25">
      <c r="M11247" s="34">
        <f t="shared" si="351"/>
        <v>0</v>
      </c>
    </row>
    <row r="11248" spans="13:13" x14ac:dyDescent="0.25">
      <c r="M11248" s="34">
        <f t="shared" si="351"/>
        <v>0</v>
      </c>
    </row>
    <row r="11249" spans="13:13" x14ac:dyDescent="0.25">
      <c r="M11249" s="34">
        <f t="shared" si="351"/>
        <v>0</v>
      </c>
    </row>
    <row r="11250" spans="13:13" x14ac:dyDescent="0.25">
      <c r="M11250" s="34">
        <f t="shared" si="351"/>
        <v>0</v>
      </c>
    </row>
    <row r="11251" spans="13:13" x14ac:dyDescent="0.25">
      <c r="M11251" s="34">
        <f t="shared" si="351"/>
        <v>0</v>
      </c>
    </row>
    <row r="11252" spans="13:13" x14ac:dyDescent="0.25">
      <c r="M11252" s="34">
        <f t="shared" si="351"/>
        <v>0</v>
      </c>
    </row>
    <row r="11253" spans="13:13" x14ac:dyDescent="0.25">
      <c r="M11253" s="34">
        <f t="shared" si="351"/>
        <v>0</v>
      </c>
    </row>
    <row r="11254" spans="13:13" x14ac:dyDescent="0.25">
      <c r="M11254" s="34">
        <f t="shared" si="351"/>
        <v>0</v>
      </c>
    </row>
    <row r="11255" spans="13:13" x14ac:dyDescent="0.25">
      <c r="M11255" s="34">
        <f t="shared" si="351"/>
        <v>0</v>
      </c>
    </row>
    <row r="11256" spans="13:13" x14ac:dyDescent="0.25">
      <c r="M11256" s="34">
        <f t="shared" si="351"/>
        <v>0</v>
      </c>
    </row>
    <row r="11257" spans="13:13" x14ac:dyDescent="0.25">
      <c r="M11257" s="34">
        <f t="shared" si="351"/>
        <v>0</v>
      </c>
    </row>
    <row r="11258" spans="13:13" x14ac:dyDescent="0.25">
      <c r="M11258" s="34">
        <f t="shared" si="351"/>
        <v>0</v>
      </c>
    </row>
    <row r="11259" spans="13:13" x14ac:dyDescent="0.25">
      <c r="M11259" s="34">
        <f t="shared" si="351"/>
        <v>0</v>
      </c>
    </row>
    <row r="11260" spans="13:13" x14ac:dyDescent="0.25">
      <c r="M11260" s="34">
        <f t="shared" si="351"/>
        <v>0</v>
      </c>
    </row>
    <row r="11261" spans="13:13" x14ac:dyDescent="0.25">
      <c r="M11261" s="34">
        <f t="shared" si="351"/>
        <v>0</v>
      </c>
    </row>
    <row r="11262" spans="13:13" x14ac:dyDescent="0.25">
      <c r="M11262" s="34">
        <f t="shared" si="351"/>
        <v>0</v>
      </c>
    </row>
    <row r="11263" spans="13:13" x14ac:dyDescent="0.25">
      <c r="M11263" s="34">
        <f t="shared" si="351"/>
        <v>0</v>
      </c>
    </row>
    <row r="11264" spans="13:13" x14ac:dyDescent="0.25">
      <c r="M11264" s="34">
        <f t="shared" si="351"/>
        <v>0</v>
      </c>
    </row>
    <row r="11265" spans="13:13" x14ac:dyDescent="0.25">
      <c r="M11265" s="34">
        <f t="shared" si="351"/>
        <v>0</v>
      </c>
    </row>
    <row r="11266" spans="13:13" x14ac:dyDescent="0.25">
      <c r="M11266" s="34">
        <f t="shared" si="351"/>
        <v>0</v>
      </c>
    </row>
    <row r="11267" spans="13:13" x14ac:dyDescent="0.25">
      <c r="M11267" s="34">
        <f t="shared" ref="M11267:M11330" si="352">IF(AND(E11267="Chèque",G11267="RECETTE"),F11267,0)</f>
        <v>0</v>
      </c>
    </row>
    <row r="11268" spans="13:13" x14ac:dyDescent="0.25">
      <c r="M11268" s="34">
        <f t="shared" si="352"/>
        <v>0</v>
      </c>
    </row>
    <row r="11269" spans="13:13" x14ac:dyDescent="0.25">
      <c r="M11269" s="34">
        <f t="shared" si="352"/>
        <v>0</v>
      </c>
    </row>
    <row r="11270" spans="13:13" x14ac:dyDescent="0.25">
      <c r="M11270" s="34">
        <f t="shared" si="352"/>
        <v>0</v>
      </c>
    </row>
    <row r="11271" spans="13:13" x14ac:dyDescent="0.25">
      <c r="M11271" s="34">
        <f t="shared" si="352"/>
        <v>0</v>
      </c>
    </row>
    <row r="11272" spans="13:13" x14ac:dyDescent="0.25">
      <c r="M11272" s="34">
        <f t="shared" si="352"/>
        <v>0</v>
      </c>
    </row>
    <row r="11273" spans="13:13" x14ac:dyDescent="0.25">
      <c r="M11273" s="34">
        <f t="shared" si="352"/>
        <v>0</v>
      </c>
    </row>
    <row r="11274" spans="13:13" x14ac:dyDescent="0.25">
      <c r="M11274" s="34">
        <f t="shared" si="352"/>
        <v>0</v>
      </c>
    </row>
    <row r="11275" spans="13:13" x14ac:dyDescent="0.25">
      <c r="M11275" s="34">
        <f t="shared" si="352"/>
        <v>0</v>
      </c>
    </row>
    <row r="11276" spans="13:13" x14ac:dyDescent="0.25">
      <c r="M11276" s="34">
        <f t="shared" si="352"/>
        <v>0</v>
      </c>
    </row>
    <row r="11277" spans="13:13" x14ac:dyDescent="0.25">
      <c r="M11277" s="34">
        <f t="shared" si="352"/>
        <v>0</v>
      </c>
    </row>
    <row r="11278" spans="13:13" x14ac:dyDescent="0.25">
      <c r="M11278" s="34">
        <f t="shared" si="352"/>
        <v>0</v>
      </c>
    </row>
    <row r="11279" spans="13:13" x14ac:dyDescent="0.25">
      <c r="M11279" s="34">
        <f t="shared" si="352"/>
        <v>0</v>
      </c>
    </row>
    <row r="11280" spans="13:13" x14ac:dyDescent="0.25">
      <c r="M11280" s="34">
        <f t="shared" si="352"/>
        <v>0</v>
      </c>
    </row>
    <row r="11281" spans="13:13" x14ac:dyDescent="0.25">
      <c r="M11281" s="34">
        <f t="shared" si="352"/>
        <v>0</v>
      </c>
    </row>
    <row r="11282" spans="13:13" x14ac:dyDescent="0.25">
      <c r="M11282" s="34">
        <f t="shared" si="352"/>
        <v>0</v>
      </c>
    </row>
    <row r="11283" spans="13:13" x14ac:dyDescent="0.25">
      <c r="M11283" s="34">
        <f t="shared" si="352"/>
        <v>0</v>
      </c>
    </row>
    <row r="11284" spans="13:13" x14ac:dyDescent="0.25">
      <c r="M11284" s="34">
        <f t="shared" si="352"/>
        <v>0</v>
      </c>
    </row>
    <row r="11285" spans="13:13" x14ac:dyDescent="0.25">
      <c r="M11285" s="34">
        <f t="shared" si="352"/>
        <v>0</v>
      </c>
    </row>
    <row r="11286" spans="13:13" x14ac:dyDescent="0.25">
      <c r="M11286" s="34">
        <f t="shared" si="352"/>
        <v>0</v>
      </c>
    </row>
    <row r="11287" spans="13:13" x14ac:dyDescent="0.25">
      <c r="M11287" s="34">
        <f t="shared" si="352"/>
        <v>0</v>
      </c>
    </row>
    <row r="11288" spans="13:13" x14ac:dyDescent="0.25">
      <c r="M11288" s="34">
        <f t="shared" si="352"/>
        <v>0</v>
      </c>
    </row>
    <row r="11289" spans="13:13" x14ac:dyDescent="0.25">
      <c r="M11289" s="34">
        <f t="shared" si="352"/>
        <v>0</v>
      </c>
    </row>
    <row r="11290" spans="13:13" x14ac:dyDescent="0.25">
      <c r="M11290" s="34">
        <f t="shared" si="352"/>
        <v>0</v>
      </c>
    </row>
    <row r="11291" spans="13:13" x14ac:dyDescent="0.25">
      <c r="M11291" s="34">
        <f t="shared" si="352"/>
        <v>0</v>
      </c>
    </row>
    <row r="11292" spans="13:13" x14ac:dyDescent="0.25">
      <c r="M11292" s="34">
        <f t="shared" si="352"/>
        <v>0</v>
      </c>
    </row>
    <row r="11293" spans="13:13" x14ac:dyDescent="0.25">
      <c r="M11293" s="34">
        <f t="shared" si="352"/>
        <v>0</v>
      </c>
    </row>
    <row r="11294" spans="13:13" x14ac:dyDescent="0.25">
      <c r="M11294" s="34">
        <f t="shared" si="352"/>
        <v>0</v>
      </c>
    </row>
    <row r="11295" spans="13:13" x14ac:dyDescent="0.25">
      <c r="M11295" s="34">
        <f t="shared" si="352"/>
        <v>0</v>
      </c>
    </row>
    <row r="11296" spans="13:13" x14ac:dyDescent="0.25">
      <c r="M11296" s="34">
        <f t="shared" si="352"/>
        <v>0</v>
      </c>
    </row>
    <row r="11297" spans="13:13" x14ac:dyDescent="0.25">
      <c r="M11297" s="34">
        <f t="shared" si="352"/>
        <v>0</v>
      </c>
    </row>
    <row r="11298" spans="13:13" x14ac:dyDescent="0.25">
      <c r="M11298" s="34">
        <f t="shared" si="352"/>
        <v>0</v>
      </c>
    </row>
    <row r="11299" spans="13:13" x14ac:dyDescent="0.25">
      <c r="M11299" s="34">
        <f t="shared" si="352"/>
        <v>0</v>
      </c>
    </row>
    <row r="11300" spans="13:13" x14ac:dyDescent="0.25">
      <c r="M11300" s="34">
        <f t="shared" si="352"/>
        <v>0</v>
      </c>
    </row>
    <row r="11301" spans="13:13" x14ac:dyDescent="0.25">
      <c r="M11301" s="34">
        <f t="shared" si="352"/>
        <v>0</v>
      </c>
    </row>
    <row r="11302" spans="13:13" x14ac:dyDescent="0.25">
      <c r="M11302" s="34">
        <f t="shared" si="352"/>
        <v>0</v>
      </c>
    </row>
    <row r="11303" spans="13:13" x14ac:dyDescent="0.25">
      <c r="M11303" s="34">
        <f t="shared" si="352"/>
        <v>0</v>
      </c>
    </row>
    <row r="11304" spans="13:13" x14ac:dyDescent="0.25">
      <c r="M11304" s="34">
        <f t="shared" si="352"/>
        <v>0</v>
      </c>
    </row>
    <row r="11305" spans="13:13" x14ac:dyDescent="0.25">
      <c r="M11305" s="34">
        <f t="shared" si="352"/>
        <v>0</v>
      </c>
    </row>
    <row r="11306" spans="13:13" x14ac:dyDescent="0.25">
      <c r="M11306" s="34">
        <f t="shared" si="352"/>
        <v>0</v>
      </c>
    </row>
    <row r="11307" spans="13:13" x14ac:dyDescent="0.25">
      <c r="M11307" s="34">
        <f t="shared" si="352"/>
        <v>0</v>
      </c>
    </row>
    <row r="11308" spans="13:13" x14ac:dyDescent="0.25">
      <c r="M11308" s="34">
        <f t="shared" si="352"/>
        <v>0</v>
      </c>
    </row>
    <row r="11309" spans="13:13" x14ac:dyDescent="0.25">
      <c r="M11309" s="34">
        <f t="shared" si="352"/>
        <v>0</v>
      </c>
    </row>
    <row r="11310" spans="13:13" x14ac:dyDescent="0.25">
      <c r="M11310" s="34">
        <f t="shared" si="352"/>
        <v>0</v>
      </c>
    </row>
    <row r="11311" spans="13:13" x14ac:dyDescent="0.25">
      <c r="M11311" s="34">
        <f t="shared" si="352"/>
        <v>0</v>
      </c>
    </row>
    <row r="11312" spans="13:13" x14ac:dyDescent="0.25">
      <c r="M11312" s="34">
        <f t="shared" si="352"/>
        <v>0</v>
      </c>
    </row>
    <row r="11313" spans="13:13" x14ac:dyDescent="0.25">
      <c r="M11313" s="34">
        <f t="shared" si="352"/>
        <v>0</v>
      </c>
    </row>
    <row r="11314" spans="13:13" x14ac:dyDescent="0.25">
      <c r="M11314" s="34">
        <f t="shared" si="352"/>
        <v>0</v>
      </c>
    </row>
    <row r="11315" spans="13:13" x14ac:dyDescent="0.25">
      <c r="M11315" s="34">
        <f t="shared" si="352"/>
        <v>0</v>
      </c>
    </row>
    <row r="11316" spans="13:13" x14ac:dyDescent="0.25">
      <c r="M11316" s="34">
        <f t="shared" si="352"/>
        <v>0</v>
      </c>
    </row>
    <row r="11317" spans="13:13" x14ac:dyDescent="0.25">
      <c r="M11317" s="34">
        <f t="shared" si="352"/>
        <v>0</v>
      </c>
    </row>
    <row r="11318" spans="13:13" x14ac:dyDescent="0.25">
      <c r="M11318" s="34">
        <f t="shared" si="352"/>
        <v>0</v>
      </c>
    </row>
    <row r="11319" spans="13:13" x14ac:dyDescent="0.25">
      <c r="M11319" s="34">
        <f t="shared" si="352"/>
        <v>0</v>
      </c>
    </row>
    <row r="11320" spans="13:13" x14ac:dyDescent="0.25">
      <c r="M11320" s="34">
        <f t="shared" si="352"/>
        <v>0</v>
      </c>
    </row>
    <row r="11321" spans="13:13" x14ac:dyDescent="0.25">
      <c r="M11321" s="34">
        <f t="shared" si="352"/>
        <v>0</v>
      </c>
    </row>
    <row r="11322" spans="13:13" x14ac:dyDescent="0.25">
      <c r="M11322" s="34">
        <f t="shared" si="352"/>
        <v>0</v>
      </c>
    </row>
    <row r="11323" spans="13:13" x14ac:dyDescent="0.25">
      <c r="M11323" s="34">
        <f t="shared" si="352"/>
        <v>0</v>
      </c>
    </row>
    <row r="11324" spans="13:13" x14ac:dyDescent="0.25">
      <c r="M11324" s="34">
        <f t="shared" si="352"/>
        <v>0</v>
      </c>
    </row>
    <row r="11325" spans="13:13" x14ac:dyDescent="0.25">
      <c r="M11325" s="34">
        <f t="shared" si="352"/>
        <v>0</v>
      </c>
    </row>
    <row r="11326" spans="13:13" x14ac:dyDescent="0.25">
      <c r="M11326" s="34">
        <f t="shared" si="352"/>
        <v>0</v>
      </c>
    </row>
    <row r="11327" spans="13:13" x14ac:dyDescent="0.25">
      <c r="M11327" s="34">
        <f t="shared" si="352"/>
        <v>0</v>
      </c>
    </row>
    <row r="11328" spans="13:13" x14ac:dyDescent="0.25">
      <c r="M11328" s="34">
        <f t="shared" si="352"/>
        <v>0</v>
      </c>
    </row>
    <row r="11329" spans="13:13" x14ac:dyDescent="0.25">
      <c r="M11329" s="34">
        <f t="shared" si="352"/>
        <v>0</v>
      </c>
    </row>
    <row r="11330" spans="13:13" x14ac:dyDescent="0.25">
      <c r="M11330" s="34">
        <f t="shared" si="352"/>
        <v>0</v>
      </c>
    </row>
    <row r="11331" spans="13:13" x14ac:dyDescent="0.25">
      <c r="M11331" s="34">
        <f t="shared" ref="M11331:M11394" si="353">IF(AND(E11331="Chèque",G11331="RECETTE"),F11331,0)</f>
        <v>0</v>
      </c>
    </row>
    <row r="11332" spans="13:13" x14ac:dyDescent="0.25">
      <c r="M11332" s="34">
        <f t="shared" si="353"/>
        <v>0</v>
      </c>
    </row>
    <row r="11333" spans="13:13" x14ac:dyDescent="0.25">
      <c r="M11333" s="34">
        <f t="shared" si="353"/>
        <v>0</v>
      </c>
    </row>
    <row r="11334" spans="13:13" x14ac:dyDescent="0.25">
      <c r="M11334" s="34">
        <f t="shared" si="353"/>
        <v>0</v>
      </c>
    </row>
    <row r="11335" spans="13:13" x14ac:dyDescent="0.25">
      <c r="M11335" s="34">
        <f t="shared" si="353"/>
        <v>0</v>
      </c>
    </row>
    <row r="11336" spans="13:13" x14ac:dyDescent="0.25">
      <c r="M11336" s="34">
        <f t="shared" si="353"/>
        <v>0</v>
      </c>
    </row>
    <row r="11337" spans="13:13" x14ac:dyDescent="0.25">
      <c r="M11337" s="34">
        <f t="shared" si="353"/>
        <v>0</v>
      </c>
    </row>
    <row r="11338" spans="13:13" x14ac:dyDescent="0.25">
      <c r="M11338" s="34">
        <f t="shared" si="353"/>
        <v>0</v>
      </c>
    </row>
    <row r="11339" spans="13:13" x14ac:dyDescent="0.25">
      <c r="M11339" s="34">
        <f t="shared" si="353"/>
        <v>0</v>
      </c>
    </row>
    <row r="11340" spans="13:13" x14ac:dyDescent="0.25">
      <c r="M11340" s="34">
        <f t="shared" si="353"/>
        <v>0</v>
      </c>
    </row>
    <row r="11341" spans="13:13" x14ac:dyDescent="0.25">
      <c r="M11341" s="34">
        <f t="shared" si="353"/>
        <v>0</v>
      </c>
    </row>
    <row r="11342" spans="13:13" x14ac:dyDescent="0.25">
      <c r="M11342" s="34">
        <f t="shared" si="353"/>
        <v>0</v>
      </c>
    </row>
    <row r="11343" spans="13:13" x14ac:dyDescent="0.25">
      <c r="M11343" s="34">
        <f t="shared" si="353"/>
        <v>0</v>
      </c>
    </row>
    <row r="11344" spans="13:13" x14ac:dyDescent="0.25">
      <c r="M11344" s="34">
        <f t="shared" si="353"/>
        <v>0</v>
      </c>
    </row>
    <row r="11345" spans="13:13" x14ac:dyDescent="0.25">
      <c r="M11345" s="34">
        <f t="shared" si="353"/>
        <v>0</v>
      </c>
    </row>
    <row r="11346" spans="13:13" x14ac:dyDescent="0.25">
      <c r="M11346" s="34">
        <f t="shared" si="353"/>
        <v>0</v>
      </c>
    </row>
    <row r="11347" spans="13:13" x14ac:dyDescent="0.25">
      <c r="M11347" s="34">
        <f t="shared" si="353"/>
        <v>0</v>
      </c>
    </row>
    <row r="11348" spans="13:13" x14ac:dyDescent="0.25">
      <c r="M11348" s="34">
        <f t="shared" si="353"/>
        <v>0</v>
      </c>
    </row>
    <row r="11349" spans="13:13" x14ac:dyDescent="0.25">
      <c r="M11349" s="34">
        <f t="shared" si="353"/>
        <v>0</v>
      </c>
    </row>
    <row r="11350" spans="13:13" x14ac:dyDescent="0.25">
      <c r="M11350" s="34">
        <f t="shared" si="353"/>
        <v>0</v>
      </c>
    </row>
    <row r="11351" spans="13:13" x14ac:dyDescent="0.25">
      <c r="M11351" s="34">
        <f t="shared" si="353"/>
        <v>0</v>
      </c>
    </row>
    <row r="11352" spans="13:13" x14ac:dyDescent="0.25">
      <c r="M11352" s="34">
        <f t="shared" si="353"/>
        <v>0</v>
      </c>
    </row>
    <row r="11353" spans="13:13" x14ac:dyDescent="0.25">
      <c r="M11353" s="34">
        <f t="shared" si="353"/>
        <v>0</v>
      </c>
    </row>
    <row r="11354" spans="13:13" x14ac:dyDescent="0.25">
      <c r="M11354" s="34">
        <f t="shared" si="353"/>
        <v>0</v>
      </c>
    </row>
    <row r="11355" spans="13:13" x14ac:dyDescent="0.25">
      <c r="M11355" s="34">
        <f t="shared" si="353"/>
        <v>0</v>
      </c>
    </row>
    <row r="11356" spans="13:13" x14ac:dyDescent="0.25">
      <c r="M11356" s="34">
        <f t="shared" si="353"/>
        <v>0</v>
      </c>
    </row>
    <row r="11357" spans="13:13" x14ac:dyDescent="0.25">
      <c r="M11357" s="34">
        <f t="shared" si="353"/>
        <v>0</v>
      </c>
    </row>
    <row r="11358" spans="13:13" x14ac:dyDescent="0.25">
      <c r="M11358" s="34">
        <f t="shared" si="353"/>
        <v>0</v>
      </c>
    </row>
    <row r="11359" spans="13:13" x14ac:dyDescent="0.25">
      <c r="M11359" s="34">
        <f t="shared" si="353"/>
        <v>0</v>
      </c>
    </row>
    <row r="11360" spans="13:13" x14ac:dyDescent="0.25">
      <c r="M11360" s="34">
        <f t="shared" si="353"/>
        <v>0</v>
      </c>
    </row>
    <row r="11361" spans="13:13" x14ac:dyDescent="0.25">
      <c r="M11361" s="34">
        <f t="shared" si="353"/>
        <v>0</v>
      </c>
    </row>
    <row r="11362" spans="13:13" x14ac:dyDescent="0.25">
      <c r="M11362" s="34">
        <f t="shared" si="353"/>
        <v>0</v>
      </c>
    </row>
    <row r="11363" spans="13:13" x14ac:dyDescent="0.25">
      <c r="M11363" s="34">
        <f t="shared" si="353"/>
        <v>0</v>
      </c>
    </row>
    <row r="11364" spans="13:13" x14ac:dyDescent="0.25">
      <c r="M11364" s="34">
        <f t="shared" si="353"/>
        <v>0</v>
      </c>
    </row>
    <row r="11365" spans="13:13" x14ac:dyDescent="0.25">
      <c r="M11365" s="34">
        <f t="shared" si="353"/>
        <v>0</v>
      </c>
    </row>
    <row r="11366" spans="13:13" x14ac:dyDescent="0.25">
      <c r="M11366" s="34">
        <f t="shared" si="353"/>
        <v>0</v>
      </c>
    </row>
    <row r="11367" spans="13:13" x14ac:dyDescent="0.25">
      <c r="M11367" s="34">
        <f t="shared" si="353"/>
        <v>0</v>
      </c>
    </row>
    <row r="11368" spans="13:13" x14ac:dyDescent="0.25">
      <c r="M11368" s="34">
        <f t="shared" si="353"/>
        <v>0</v>
      </c>
    </row>
    <row r="11369" spans="13:13" x14ac:dyDescent="0.25">
      <c r="M11369" s="34">
        <f t="shared" si="353"/>
        <v>0</v>
      </c>
    </row>
    <row r="11370" spans="13:13" x14ac:dyDescent="0.25">
      <c r="M11370" s="34">
        <f t="shared" si="353"/>
        <v>0</v>
      </c>
    </row>
    <row r="11371" spans="13:13" x14ac:dyDescent="0.25">
      <c r="M11371" s="34">
        <f t="shared" si="353"/>
        <v>0</v>
      </c>
    </row>
    <row r="11372" spans="13:13" x14ac:dyDescent="0.25">
      <c r="M11372" s="34">
        <f t="shared" si="353"/>
        <v>0</v>
      </c>
    </row>
    <row r="11373" spans="13:13" x14ac:dyDescent="0.25">
      <c r="M11373" s="34">
        <f t="shared" si="353"/>
        <v>0</v>
      </c>
    </row>
    <row r="11374" spans="13:13" x14ac:dyDescent="0.25">
      <c r="M11374" s="34">
        <f t="shared" si="353"/>
        <v>0</v>
      </c>
    </row>
    <row r="11375" spans="13:13" x14ac:dyDescent="0.25">
      <c r="M11375" s="34">
        <f t="shared" si="353"/>
        <v>0</v>
      </c>
    </row>
    <row r="11376" spans="13:13" x14ac:dyDescent="0.25">
      <c r="M11376" s="34">
        <f t="shared" si="353"/>
        <v>0</v>
      </c>
    </row>
    <row r="11377" spans="13:13" x14ac:dyDescent="0.25">
      <c r="M11377" s="34">
        <f t="shared" si="353"/>
        <v>0</v>
      </c>
    </row>
    <row r="11378" spans="13:13" x14ac:dyDescent="0.25">
      <c r="M11378" s="34">
        <f t="shared" si="353"/>
        <v>0</v>
      </c>
    </row>
    <row r="11379" spans="13:13" x14ac:dyDescent="0.25">
      <c r="M11379" s="34">
        <f t="shared" si="353"/>
        <v>0</v>
      </c>
    </row>
    <row r="11380" spans="13:13" x14ac:dyDescent="0.25">
      <c r="M11380" s="34">
        <f t="shared" si="353"/>
        <v>0</v>
      </c>
    </row>
    <row r="11381" spans="13:13" x14ac:dyDescent="0.25">
      <c r="M11381" s="34">
        <f t="shared" si="353"/>
        <v>0</v>
      </c>
    </row>
    <row r="11382" spans="13:13" x14ac:dyDescent="0.25">
      <c r="M11382" s="34">
        <f t="shared" si="353"/>
        <v>0</v>
      </c>
    </row>
    <row r="11383" spans="13:13" x14ac:dyDescent="0.25">
      <c r="M11383" s="34">
        <f t="shared" si="353"/>
        <v>0</v>
      </c>
    </row>
    <row r="11384" spans="13:13" x14ac:dyDescent="0.25">
      <c r="M11384" s="34">
        <f t="shared" si="353"/>
        <v>0</v>
      </c>
    </row>
    <row r="11385" spans="13:13" x14ac:dyDescent="0.25">
      <c r="M11385" s="34">
        <f t="shared" si="353"/>
        <v>0</v>
      </c>
    </row>
    <row r="11386" spans="13:13" x14ac:dyDescent="0.25">
      <c r="M11386" s="34">
        <f t="shared" si="353"/>
        <v>0</v>
      </c>
    </row>
    <row r="11387" spans="13:13" x14ac:dyDescent="0.25">
      <c r="M11387" s="34">
        <f t="shared" si="353"/>
        <v>0</v>
      </c>
    </row>
    <row r="11388" spans="13:13" x14ac:dyDescent="0.25">
      <c r="M11388" s="34">
        <f t="shared" si="353"/>
        <v>0</v>
      </c>
    </row>
    <row r="11389" spans="13:13" x14ac:dyDescent="0.25">
      <c r="M11389" s="34">
        <f t="shared" si="353"/>
        <v>0</v>
      </c>
    </row>
    <row r="11390" spans="13:13" x14ac:dyDescent="0.25">
      <c r="M11390" s="34">
        <f t="shared" si="353"/>
        <v>0</v>
      </c>
    </row>
    <row r="11391" spans="13:13" x14ac:dyDescent="0.25">
      <c r="M11391" s="34">
        <f t="shared" si="353"/>
        <v>0</v>
      </c>
    </row>
    <row r="11392" spans="13:13" x14ac:dyDescent="0.25">
      <c r="M11392" s="34">
        <f t="shared" si="353"/>
        <v>0</v>
      </c>
    </row>
    <row r="11393" spans="13:13" x14ac:dyDescent="0.25">
      <c r="M11393" s="34">
        <f t="shared" si="353"/>
        <v>0</v>
      </c>
    </row>
    <row r="11394" spans="13:13" x14ac:dyDescent="0.25">
      <c r="M11394" s="34">
        <f t="shared" si="353"/>
        <v>0</v>
      </c>
    </row>
    <row r="11395" spans="13:13" x14ac:dyDescent="0.25">
      <c r="M11395" s="34">
        <f t="shared" ref="M11395:M11458" si="354">IF(AND(E11395="Chèque",G11395="RECETTE"),F11395,0)</f>
        <v>0</v>
      </c>
    </row>
    <row r="11396" spans="13:13" x14ac:dyDescent="0.25">
      <c r="M11396" s="34">
        <f t="shared" si="354"/>
        <v>0</v>
      </c>
    </row>
    <row r="11397" spans="13:13" x14ac:dyDescent="0.25">
      <c r="M11397" s="34">
        <f t="shared" si="354"/>
        <v>0</v>
      </c>
    </row>
    <row r="11398" spans="13:13" x14ac:dyDescent="0.25">
      <c r="M11398" s="34">
        <f t="shared" si="354"/>
        <v>0</v>
      </c>
    </row>
    <row r="11399" spans="13:13" x14ac:dyDescent="0.25">
      <c r="M11399" s="34">
        <f t="shared" si="354"/>
        <v>0</v>
      </c>
    </row>
    <row r="11400" spans="13:13" x14ac:dyDescent="0.25">
      <c r="M11400" s="34">
        <f t="shared" si="354"/>
        <v>0</v>
      </c>
    </row>
    <row r="11401" spans="13:13" x14ac:dyDescent="0.25">
      <c r="M11401" s="34">
        <f t="shared" si="354"/>
        <v>0</v>
      </c>
    </row>
    <row r="11402" spans="13:13" x14ac:dyDescent="0.25">
      <c r="M11402" s="34">
        <f t="shared" si="354"/>
        <v>0</v>
      </c>
    </row>
    <row r="11403" spans="13:13" x14ac:dyDescent="0.25">
      <c r="M11403" s="34">
        <f t="shared" si="354"/>
        <v>0</v>
      </c>
    </row>
    <row r="11404" spans="13:13" x14ac:dyDescent="0.25">
      <c r="M11404" s="34">
        <f t="shared" si="354"/>
        <v>0</v>
      </c>
    </row>
    <row r="11405" spans="13:13" x14ac:dyDescent="0.25">
      <c r="M11405" s="34">
        <f t="shared" si="354"/>
        <v>0</v>
      </c>
    </row>
    <row r="11406" spans="13:13" x14ac:dyDescent="0.25">
      <c r="M11406" s="34">
        <f t="shared" si="354"/>
        <v>0</v>
      </c>
    </row>
    <row r="11407" spans="13:13" x14ac:dyDescent="0.25">
      <c r="M11407" s="34">
        <f t="shared" si="354"/>
        <v>0</v>
      </c>
    </row>
    <row r="11408" spans="13:13" x14ac:dyDescent="0.25">
      <c r="M11408" s="34">
        <f t="shared" si="354"/>
        <v>0</v>
      </c>
    </row>
    <row r="11409" spans="13:13" x14ac:dyDescent="0.25">
      <c r="M11409" s="34">
        <f t="shared" si="354"/>
        <v>0</v>
      </c>
    </row>
    <row r="11410" spans="13:13" x14ac:dyDescent="0.25">
      <c r="M11410" s="34">
        <f t="shared" si="354"/>
        <v>0</v>
      </c>
    </row>
    <row r="11411" spans="13:13" x14ac:dyDescent="0.25">
      <c r="M11411" s="34">
        <f t="shared" si="354"/>
        <v>0</v>
      </c>
    </row>
    <row r="11412" spans="13:13" x14ac:dyDescent="0.25">
      <c r="M11412" s="34">
        <f t="shared" si="354"/>
        <v>0</v>
      </c>
    </row>
    <row r="11413" spans="13:13" x14ac:dyDescent="0.25">
      <c r="M11413" s="34">
        <f t="shared" si="354"/>
        <v>0</v>
      </c>
    </row>
    <row r="11414" spans="13:13" x14ac:dyDescent="0.25">
      <c r="M11414" s="34">
        <f t="shared" si="354"/>
        <v>0</v>
      </c>
    </row>
    <row r="11415" spans="13:13" x14ac:dyDescent="0.25">
      <c r="M11415" s="34">
        <f t="shared" si="354"/>
        <v>0</v>
      </c>
    </row>
    <row r="11416" spans="13:13" x14ac:dyDescent="0.25">
      <c r="M11416" s="34">
        <f t="shared" si="354"/>
        <v>0</v>
      </c>
    </row>
    <row r="11417" spans="13:13" x14ac:dyDescent="0.25">
      <c r="M11417" s="34">
        <f t="shared" si="354"/>
        <v>0</v>
      </c>
    </row>
    <row r="11418" spans="13:13" x14ac:dyDescent="0.25">
      <c r="M11418" s="34">
        <f t="shared" si="354"/>
        <v>0</v>
      </c>
    </row>
    <row r="11419" spans="13:13" x14ac:dyDescent="0.25">
      <c r="M11419" s="34">
        <f t="shared" si="354"/>
        <v>0</v>
      </c>
    </row>
    <row r="11420" spans="13:13" x14ac:dyDescent="0.25">
      <c r="M11420" s="34">
        <f t="shared" si="354"/>
        <v>0</v>
      </c>
    </row>
    <row r="11421" spans="13:13" x14ac:dyDescent="0.25">
      <c r="M11421" s="34">
        <f t="shared" si="354"/>
        <v>0</v>
      </c>
    </row>
    <row r="11422" spans="13:13" x14ac:dyDescent="0.25">
      <c r="M11422" s="34">
        <f t="shared" si="354"/>
        <v>0</v>
      </c>
    </row>
    <row r="11423" spans="13:13" x14ac:dyDescent="0.25">
      <c r="M11423" s="34">
        <f t="shared" si="354"/>
        <v>0</v>
      </c>
    </row>
    <row r="11424" spans="13:13" x14ac:dyDescent="0.25">
      <c r="M11424" s="34">
        <f t="shared" si="354"/>
        <v>0</v>
      </c>
    </row>
    <row r="11425" spans="13:13" x14ac:dyDescent="0.25">
      <c r="M11425" s="34">
        <f t="shared" si="354"/>
        <v>0</v>
      </c>
    </row>
    <row r="11426" spans="13:13" x14ac:dyDescent="0.25">
      <c r="M11426" s="34">
        <f t="shared" si="354"/>
        <v>0</v>
      </c>
    </row>
    <row r="11427" spans="13:13" x14ac:dyDescent="0.25">
      <c r="M11427" s="34">
        <f t="shared" si="354"/>
        <v>0</v>
      </c>
    </row>
    <row r="11428" spans="13:13" x14ac:dyDescent="0.25">
      <c r="M11428" s="34">
        <f t="shared" si="354"/>
        <v>0</v>
      </c>
    </row>
    <row r="11429" spans="13:13" x14ac:dyDescent="0.25">
      <c r="M11429" s="34">
        <f t="shared" si="354"/>
        <v>0</v>
      </c>
    </row>
    <row r="11430" spans="13:13" x14ac:dyDescent="0.25">
      <c r="M11430" s="34">
        <f t="shared" si="354"/>
        <v>0</v>
      </c>
    </row>
    <row r="11431" spans="13:13" x14ac:dyDescent="0.25">
      <c r="M11431" s="34">
        <f t="shared" si="354"/>
        <v>0</v>
      </c>
    </row>
    <row r="11432" spans="13:13" x14ac:dyDescent="0.25">
      <c r="M11432" s="34">
        <f t="shared" si="354"/>
        <v>0</v>
      </c>
    </row>
    <row r="11433" spans="13:13" x14ac:dyDescent="0.25">
      <c r="M11433" s="34">
        <f t="shared" si="354"/>
        <v>0</v>
      </c>
    </row>
    <row r="11434" spans="13:13" x14ac:dyDescent="0.25">
      <c r="M11434" s="34">
        <f t="shared" si="354"/>
        <v>0</v>
      </c>
    </row>
    <row r="11435" spans="13:13" x14ac:dyDescent="0.25">
      <c r="M11435" s="34">
        <f t="shared" si="354"/>
        <v>0</v>
      </c>
    </row>
    <row r="11436" spans="13:13" x14ac:dyDescent="0.25">
      <c r="M11436" s="34">
        <f t="shared" si="354"/>
        <v>0</v>
      </c>
    </row>
    <row r="11437" spans="13:13" x14ac:dyDescent="0.25">
      <c r="M11437" s="34">
        <f t="shared" si="354"/>
        <v>0</v>
      </c>
    </row>
    <row r="11438" spans="13:13" x14ac:dyDescent="0.25">
      <c r="M11438" s="34">
        <f t="shared" si="354"/>
        <v>0</v>
      </c>
    </row>
    <row r="11439" spans="13:13" x14ac:dyDescent="0.25">
      <c r="M11439" s="34">
        <f t="shared" si="354"/>
        <v>0</v>
      </c>
    </row>
    <row r="11440" spans="13:13" x14ac:dyDescent="0.25">
      <c r="M11440" s="34">
        <f t="shared" si="354"/>
        <v>0</v>
      </c>
    </row>
    <row r="11441" spans="13:13" x14ac:dyDescent="0.25">
      <c r="M11441" s="34">
        <f t="shared" si="354"/>
        <v>0</v>
      </c>
    </row>
    <row r="11442" spans="13:13" x14ac:dyDescent="0.25">
      <c r="M11442" s="34">
        <f t="shared" si="354"/>
        <v>0</v>
      </c>
    </row>
    <row r="11443" spans="13:13" x14ac:dyDescent="0.25">
      <c r="M11443" s="34">
        <f t="shared" si="354"/>
        <v>0</v>
      </c>
    </row>
    <row r="11444" spans="13:13" x14ac:dyDescent="0.25">
      <c r="M11444" s="34">
        <f t="shared" si="354"/>
        <v>0</v>
      </c>
    </row>
    <row r="11445" spans="13:13" x14ac:dyDescent="0.25">
      <c r="M11445" s="34">
        <f t="shared" si="354"/>
        <v>0</v>
      </c>
    </row>
    <row r="11446" spans="13:13" x14ac:dyDescent="0.25">
      <c r="M11446" s="34">
        <f t="shared" si="354"/>
        <v>0</v>
      </c>
    </row>
    <row r="11447" spans="13:13" x14ac:dyDescent="0.25">
      <c r="M11447" s="34">
        <f t="shared" si="354"/>
        <v>0</v>
      </c>
    </row>
    <row r="11448" spans="13:13" x14ac:dyDescent="0.25">
      <c r="M11448" s="34">
        <f t="shared" si="354"/>
        <v>0</v>
      </c>
    </row>
    <row r="11449" spans="13:13" x14ac:dyDescent="0.25">
      <c r="M11449" s="34">
        <f t="shared" si="354"/>
        <v>0</v>
      </c>
    </row>
    <row r="11450" spans="13:13" x14ac:dyDescent="0.25">
      <c r="M11450" s="34">
        <f t="shared" si="354"/>
        <v>0</v>
      </c>
    </row>
    <row r="11451" spans="13:13" x14ac:dyDescent="0.25">
      <c r="M11451" s="34">
        <f t="shared" si="354"/>
        <v>0</v>
      </c>
    </row>
    <row r="11452" spans="13:13" x14ac:dyDescent="0.25">
      <c r="M11452" s="34">
        <f t="shared" si="354"/>
        <v>0</v>
      </c>
    </row>
    <row r="11453" spans="13:13" x14ac:dyDescent="0.25">
      <c r="M11453" s="34">
        <f t="shared" si="354"/>
        <v>0</v>
      </c>
    </row>
    <row r="11454" spans="13:13" x14ac:dyDescent="0.25">
      <c r="M11454" s="34">
        <f t="shared" si="354"/>
        <v>0</v>
      </c>
    </row>
    <row r="11455" spans="13:13" x14ac:dyDescent="0.25">
      <c r="M11455" s="34">
        <f t="shared" si="354"/>
        <v>0</v>
      </c>
    </row>
    <row r="11456" spans="13:13" x14ac:dyDescent="0.25">
      <c r="M11456" s="34">
        <f t="shared" si="354"/>
        <v>0</v>
      </c>
    </row>
    <row r="11457" spans="13:13" x14ac:dyDescent="0.25">
      <c r="M11457" s="34">
        <f t="shared" si="354"/>
        <v>0</v>
      </c>
    </row>
    <row r="11458" spans="13:13" x14ac:dyDescent="0.25">
      <c r="M11458" s="34">
        <f t="shared" si="354"/>
        <v>0</v>
      </c>
    </row>
    <row r="11459" spans="13:13" x14ac:dyDescent="0.25">
      <c r="M11459" s="34">
        <f t="shared" ref="M11459:M11522" si="355">IF(AND(E11459="Chèque",G11459="RECETTE"),F11459,0)</f>
        <v>0</v>
      </c>
    </row>
    <row r="11460" spans="13:13" x14ac:dyDescent="0.25">
      <c r="M11460" s="34">
        <f t="shared" si="355"/>
        <v>0</v>
      </c>
    </row>
    <row r="11461" spans="13:13" x14ac:dyDescent="0.25">
      <c r="M11461" s="34">
        <f t="shared" si="355"/>
        <v>0</v>
      </c>
    </row>
    <row r="11462" spans="13:13" x14ac:dyDescent="0.25">
      <c r="M11462" s="34">
        <f t="shared" si="355"/>
        <v>0</v>
      </c>
    </row>
    <row r="11463" spans="13:13" x14ac:dyDescent="0.25">
      <c r="M11463" s="34">
        <f t="shared" si="355"/>
        <v>0</v>
      </c>
    </row>
    <row r="11464" spans="13:13" x14ac:dyDescent="0.25">
      <c r="M11464" s="34">
        <f t="shared" si="355"/>
        <v>0</v>
      </c>
    </row>
    <row r="11465" spans="13:13" x14ac:dyDescent="0.25">
      <c r="M11465" s="34">
        <f t="shared" si="355"/>
        <v>0</v>
      </c>
    </row>
    <row r="11466" spans="13:13" x14ac:dyDescent="0.25">
      <c r="M11466" s="34">
        <f t="shared" si="355"/>
        <v>0</v>
      </c>
    </row>
    <row r="11467" spans="13:13" x14ac:dyDescent="0.25">
      <c r="M11467" s="34">
        <f t="shared" si="355"/>
        <v>0</v>
      </c>
    </row>
    <row r="11468" spans="13:13" x14ac:dyDescent="0.25">
      <c r="M11468" s="34">
        <f t="shared" si="355"/>
        <v>0</v>
      </c>
    </row>
    <row r="11469" spans="13:13" x14ac:dyDescent="0.25">
      <c r="M11469" s="34">
        <f t="shared" si="355"/>
        <v>0</v>
      </c>
    </row>
    <row r="11470" spans="13:13" x14ac:dyDescent="0.25">
      <c r="M11470" s="34">
        <f t="shared" si="355"/>
        <v>0</v>
      </c>
    </row>
    <row r="11471" spans="13:13" x14ac:dyDescent="0.25">
      <c r="M11471" s="34">
        <f t="shared" si="355"/>
        <v>0</v>
      </c>
    </row>
    <row r="11472" spans="13:13" x14ac:dyDescent="0.25">
      <c r="M11472" s="34">
        <f t="shared" si="355"/>
        <v>0</v>
      </c>
    </row>
    <row r="11473" spans="13:13" x14ac:dyDescent="0.25">
      <c r="M11473" s="34">
        <f t="shared" si="355"/>
        <v>0</v>
      </c>
    </row>
    <row r="11474" spans="13:13" x14ac:dyDescent="0.25">
      <c r="M11474" s="34">
        <f t="shared" si="355"/>
        <v>0</v>
      </c>
    </row>
    <row r="11475" spans="13:13" x14ac:dyDescent="0.25">
      <c r="M11475" s="34">
        <f t="shared" si="355"/>
        <v>0</v>
      </c>
    </row>
    <row r="11476" spans="13:13" x14ac:dyDescent="0.25">
      <c r="M11476" s="34">
        <f t="shared" si="355"/>
        <v>0</v>
      </c>
    </row>
    <row r="11477" spans="13:13" x14ac:dyDescent="0.25">
      <c r="M11477" s="34">
        <f t="shared" si="355"/>
        <v>0</v>
      </c>
    </row>
    <row r="11478" spans="13:13" x14ac:dyDescent="0.25">
      <c r="M11478" s="34">
        <f t="shared" si="355"/>
        <v>0</v>
      </c>
    </row>
    <row r="11479" spans="13:13" x14ac:dyDescent="0.25">
      <c r="M11479" s="34">
        <f t="shared" si="355"/>
        <v>0</v>
      </c>
    </row>
    <row r="11480" spans="13:13" x14ac:dyDescent="0.25">
      <c r="M11480" s="34">
        <f t="shared" si="355"/>
        <v>0</v>
      </c>
    </row>
    <row r="11481" spans="13:13" x14ac:dyDescent="0.25">
      <c r="M11481" s="34">
        <f t="shared" si="355"/>
        <v>0</v>
      </c>
    </row>
    <row r="11482" spans="13:13" x14ac:dyDescent="0.25">
      <c r="M11482" s="34">
        <f t="shared" si="355"/>
        <v>0</v>
      </c>
    </row>
    <row r="11483" spans="13:13" x14ac:dyDescent="0.25">
      <c r="M11483" s="34">
        <f t="shared" si="355"/>
        <v>0</v>
      </c>
    </row>
    <row r="11484" spans="13:13" x14ac:dyDescent="0.25">
      <c r="M11484" s="34">
        <f t="shared" si="355"/>
        <v>0</v>
      </c>
    </row>
    <row r="11485" spans="13:13" x14ac:dyDescent="0.25">
      <c r="M11485" s="34">
        <f t="shared" si="355"/>
        <v>0</v>
      </c>
    </row>
    <row r="11486" spans="13:13" x14ac:dyDescent="0.25">
      <c r="M11486" s="34">
        <f t="shared" si="355"/>
        <v>0</v>
      </c>
    </row>
    <row r="11487" spans="13:13" x14ac:dyDescent="0.25">
      <c r="M11487" s="34">
        <f t="shared" si="355"/>
        <v>0</v>
      </c>
    </row>
    <row r="11488" spans="13:13" x14ac:dyDescent="0.25">
      <c r="M11488" s="34">
        <f t="shared" si="355"/>
        <v>0</v>
      </c>
    </row>
    <row r="11489" spans="13:13" x14ac:dyDescent="0.25">
      <c r="M11489" s="34">
        <f t="shared" si="355"/>
        <v>0</v>
      </c>
    </row>
    <row r="11490" spans="13:13" x14ac:dyDescent="0.25">
      <c r="M11490" s="34">
        <f t="shared" si="355"/>
        <v>0</v>
      </c>
    </row>
    <row r="11491" spans="13:13" x14ac:dyDescent="0.25">
      <c r="M11491" s="34">
        <f t="shared" si="355"/>
        <v>0</v>
      </c>
    </row>
    <row r="11492" spans="13:13" x14ac:dyDescent="0.25">
      <c r="M11492" s="34">
        <f t="shared" si="355"/>
        <v>0</v>
      </c>
    </row>
    <row r="11493" spans="13:13" x14ac:dyDescent="0.25">
      <c r="M11493" s="34">
        <f t="shared" si="355"/>
        <v>0</v>
      </c>
    </row>
    <row r="11494" spans="13:13" x14ac:dyDescent="0.25">
      <c r="M11494" s="34">
        <f t="shared" si="355"/>
        <v>0</v>
      </c>
    </row>
    <row r="11495" spans="13:13" x14ac:dyDescent="0.25">
      <c r="M11495" s="34">
        <f t="shared" si="355"/>
        <v>0</v>
      </c>
    </row>
    <row r="11496" spans="13:13" x14ac:dyDescent="0.25">
      <c r="M11496" s="34">
        <f t="shared" si="355"/>
        <v>0</v>
      </c>
    </row>
    <row r="11497" spans="13:13" x14ac:dyDescent="0.25">
      <c r="M11497" s="34">
        <f t="shared" si="355"/>
        <v>0</v>
      </c>
    </row>
    <row r="11498" spans="13:13" x14ac:dyDescent="0.25">
      <c r="M11498" s="34">
        <f t="shared" si="355"/>
        <v>0</v>
      </c>
    </row>
    <row r="11499" spans="13:13" x14ac:dyDescent="0.25">
      <c r="M11499" s="34">
        <f t="shared" si="355"/>
        <v>0</v>
      </c>
    </row>
    <row r="11500" spans="13:13" x14ac:dyDescent="0.25">
      <c r="M11500" s="34">
        <f t="shared" si="355"/>
        <v>0</v>
      </c>
    </row>
    <row r="11501" spans="13:13" x14ac:dyDescent="0.25">
      <c r="M11501" s="34">
        <f t="shared" si="355"/>
        <v>0</v>
      </c>
    </row>
    <row r="11502" spans="13:13" x14ac:dyDescent="0.25">
      <c r="M11502" s="34">
        <f t="shared" si="355"/>
        <v>0</v>
      </c>
    </row>
    <row r="11503" spans="13:13" x14ac:dyDescent="0.25">
      <c r="M11503" s="34">
        <f t="shared" si="355"/>
        <v>0</v>
      </c>
    </row>
    <row r="11504" spans="13:13" x14ac:dyDescent="0.25">
      <c r="M11504" s="34">
        <f t="shared" si="355"/>
        <v>0</v>
      </c>
    </row>
    <row r="11505" spans="13:13" x14ac:dyDescent="0.25">
      <c r="M11505" s="34">
        <f t="shared" si="355"/>
        <v>0</v>
      </c>
    </row>
    <row r="11506" spans="13:13" x14ac:dyDescent="0.25">
      <c r="M11506" s="34">
        <f t="shared" si="355"/>
        <v>0</v>
      </c>
    </row>
    <row r="11507" spans="13:13" x14ac:dyDescent="0.25">
      <c r="M11507" s="34">
        <f t="shared" si="355"/>
        <v>0</v>
      </c>
    </row>
    <row r="11508" spans="13:13" x14ac:dyDescent="0.25">
      <c r="M11508" s="34">
        <f t="shared" si="355"/>
        <v>0</v>
      </c>
    </row>
    <row r="11509" spans="13:13" x14ac:dyDescent="0.25">
      <c r="M11509" s="34">
        <f t="shared" si="355"/>
        <v>0</v>
      </c>
    </row>
    <row r="11510" spans="13:13" x14ac:dyDescent="0.25">
      <c r="M11510" s="34">
        <f t="shared" si="355"/>
        <v>0</v>
      </c>
    </row>
    <row r="11511" spans="13:13" x14ac:dyDescent="0.25">
      <c r="M11511" s="34">
        <f t="shared" si="355"/>
        <v>0</v>
      </c>
    </row>
    <row r="11512" spans="13:13" x14ac:dyDescent="0.25">
      <c r="M11512" s="34">
        <f t="shared" si="355"/>
        <v>0</v>
      </c>
    </row>
    <row r="11513" spans="13:13" x14ac:dyDescent="0.25">
      <c r="M11513" s="34">
        <f t="shared" si="355"/>
        <v>0</v>
      </c>
    </row>
    <row r="11514" spans="13:13" x14ac:dyDescent="0.25">
      <c r="M11514" s="34">
        <f t="shared" si="355"/>
        <v>0</v>
      </c>
    </row>
    <row r="11515" spans="13:13" x14ac:dyDescent="0.25">
      <c r="M11515" s="34">
        <f t="shared" si="355"/>
        <v>0</v>
      </c>
    </row>
    <row r="11516" spans="13:13" x14ac:dyDescent="0.25">
      <c r="M11516" s="34">
        <f t="shared" si="355"/>
        <v>0</v>
      </c>
    </row>
    <row r="11517" spans="13:13" x14ac:dyDescent="0.25">
      <c r="M11517" s="34">
        <f t="shared" si="355"/>
        <v>0</v>
      </c>
    </row>
    <row r="11518" spans="13:13" x14ac:dyDescent="0.25">
      <c r="M11518" s="34">
        <f t="shared" si="355"/>
        <v>0</v>
      </c>
    </row>
    <row r="11519" spans="13:13" x14ac:dyDescent="0.25">
      <c r="M11519" s="34">
        <f t="shared" si="355"/>
        <v>0</v>
      </c>
    </row>
    <row r="11520" spans="13:13" x14ac:dyDescent="0.25">
      <c r="M11520" s="34">
        <f t="shared" si="355"/>
        <v>0</v>
      </c>
    </row>
    <row r="11521" spans="13:13" x14ac:dyDescent="0.25">
      <c r="M11521" s="34">
        <f t="shared" si="355"/>
        <v>0</v>
      </c>
    </row>
    <row r="11522" spans="13:13" x14ac:dyDescent="0.25">
      <c r="M11522" s="34">
        <f t="shared" si="355"/>
        <v>0</v>
      </c>
    </row>
    <row r="11523" spans="13:13" x14ac:dyDescent="0.25">
      <c r="M11523" s="34">
        <f t="shared" ref="M11523:M11586" si="356">IF(AND(E11523="Chèque",G11523="RECETTE"),F11523,0)</f>
        <v>0</v>
      </c>
    </row>
    <row r="11524" spans="13:13" x14ac:dyDescent="0.25">
      <c r="M11524" s="34">
        <f t="shared" si="356"/>
        <v>0</v>
      </c>
    </row>
    <row r="11525" spans="13:13" x14ac:dyDescent="0.25">
      <c r="M11525" s="34">
        <f t="shared" si="356"/>
        <v>0</v>
      </c>
    </row>
    <row r="11526" spans="13:13" x14ac:dyDescent="0.25">
      <c r="M11526" s="34">
        <f t="shared" si="356"/>
        <v>0</v>
      </c>
    </row>
    <row r="11527" spans="13:13" x14ac:dyDescent="0.25">
      <c r="M11527" s="34">
        <f t="shared" si="356"/>
        <v>0</v>
      </c>
    </row>
    <row r="11528" spans="13:13" x14ac:dyDescent="0.25">
      <c r="M11528" s="34">
        <f t="shared" si="356"/>
        <v>0</v>
      </c>
    </row>
    <row r="11529" spans="13:13" x14ac:dyDescent="0.25">
      <c r="M11529" s="34">
        <f t="shared" si="356"/>
        <v>0</v>
      </c>
    </row>
    <row r="11530" spans="13:13" x14ac:dyDescent="0.25">
      <c r="M11530" s="34">
        <f t="shared" si="356"/>
        <v>0</v>
      </c>
    </row>
    <row r="11531" spans="13:13" x14ac:dyDescent="0.25">
      <c r="M11531" s="34">
        <f t="shared" si="356"/>
        <v>0</v>
      </c>
    </row>
    <row r="11532" spans="13:13" x14ac:dyDescent="0.25">
      <c r="M11532" s="34">
        <f t="shared" si="356"/>
        <v>0</v>
      </c>
    </row>
    <row r="11533" spans="13:13" x14ac:dyDescent="0.25">
      <c r="M11533" s="34">
        <f t="shared" si="356"/>
        <v>0</v>
      </c>
    </row>
    <row r="11534" spans="13:13" x14ac:dyDescent="0.25">
      <c r="M11534" s="34">
        <f t="shared" si="356"/>
        <v>0</v>
      </c>
    </row>
    <row r="11535" spans="13:13" x14ac:dyDescent="0.25">
      <c r="M11535" s="34">
        <f t="shared" si="356"/>
        <v>0</v>
      </c>
    </row>
    <row r="11536" spans="13:13" x14ac:dyDescent="0.25">
      <c r="M11536" s="34">
        <f t="shared" si="356"/>
        <v>0</v>
      </c>
    </row>
    <row r="11537" spans="13:13" x14ac:dyDescent="0.25">
      <c r="M11537" s="34">
        <f t="shared" si="356"/>
        <v>0</v>
      </c>
    </row>
    <row r="11538" spans="13:13" x14ac:dyDescent="0.25">
      <c r="M11538" s="34">
        <f t="shared" si="356"/>
        <v>0</v>
      </c>
    </row>
    <row r="11539" spans="13:13" x14ac:dyDescent="0.25">
      <c r="M11539" s="34">
        <f t="shared" si="356"/>
        <v>0</v>
      </c>
    </row>
    <row r="11540" spans="13:13" x14ac:dyDescent="0.25">
      <c r="M11540" s="34">
        <f t="shared" si="356"/>
        <v>0</v>
      </c>
    </row>
    <row r="11541" spans="13:13" x14ac:dyDescent="0.25">
      <c r="M11541" s="34">
        <f t="shared" si="356"/>
        <v>0</v>
      </c>
    </row>
    <row r="11542" spans="13:13" x14ac:dyDescent="0.25">
      <c r="M11542" s="34">
        <f t="shared" si="356"/>
        <v>0</v>
      </c>
    </row>
    <row r="11543" spans="13:13" x14ac:dyDescent="0.25">
      <c r="M11543" s="34">
        <f t="shared" si="356"/>
        <v>0</v>
      </c>
    </row>
    <row r="11544" spans="13:13" x14ac:dyDescent="0.25">
      <c r="M11544" s="34">
        <f t="shared" si="356"/>
        <v>0</v>
      </c>
    </row>
    <row r="11545" spans="13:13" x14ac:dyDescent="0.25">
      <c r="M11545" s="34">
        <f t="shared" si="356"/>
        <v>0</v>
      </c>
    </row>
    <row r="11546" spans="13:13" x14ac:dyDescent="0.25">
      <c r="M11546" s="34">
        <f t="shared" si="356"/>
        <v>0</v>
      </c>
    </row>
    <row r="11547" spans="13:13" x14ac:dyDescent="0.25">
      <c r="M11547" s="34">
        <f t="shared" si="356"/>
        <v>0</v>
      </c>
    </row>
    <row r="11548" spans="13:13" x14ac:dyDescent="0.25">
      <c r="M11548" s="34">
        <f t="shared" si="356"/>
        <v>0</v>
      </c>
    </row>
    <row r="11549" spans="13:13" x14ac:dyDescent="0.25">
      <c r="M11549" s="34">
        <f t="shared" si="356"/>
        <v>0</v>
      </c>
    </row>
    <row r="11550" spans="13:13" x14ac:dyDescent="0.25">
      <c r="M11550" s="34">
        <f t="shared" si="356"/>
        <v>0</v>
      </c>
    </row>
    <row r="11551" spans="13:13" x14ac:dyDescent="0.25">
      <c r="M11551" s="34">
        <f t="shared" si="356"/>
        <v>0</v>
      </c>
    </row>
    <row r="11552" spans="13:13" x14ac:dyDescent="0.25">
      <c r="M11552" s="34">
        <f t="shared" si="356"/>
        <v>0</v>
      </c>
    </row>
    <row r="11553" spans="13:13" x14ac:dyDescent="0.25">
      <c r="M11553" s="34">
        <f t="shared" si="356"/>
        <v>0</v>
      </c>
    </row>
    <row r="11554" spans="13:13" x14ac:dyDescent="0.25">
      <c r="M11554" s="34">
        <f t="shared" si="356"/>
        <v>0</v>
      </c>
    </row>
    <row r="11555" spans="13:13" x14ac:dyDescent="0.25">
      <c r="M11555" s="34">
        <f t="shared" si="356"/>
        <v>0</v>
      </c>
    </row>
    <row r="11556" spans="13:13" x14ac:dyDescent="0.25">
      <c r="M11556" s="34">
        <f t="shared" si="356"/>
        <v>0</v>
      </c>
    </row>
    <row r="11557" spans="13:13" x14ac:dyDescent="0.25">
      <c r="M11557" s="34">
        <f t="shared" si="356"/>
        <v>0</v>
      </c>
    </row>
    <row r="11558" spans="13:13" x14ac:dyDescent="0.25">
      <c r="M11558" s="34">
        <f t="shared" si="356"/>
        <v>0</v>
      </c>
    </row>
    <row r="11559" spans="13:13" x14ac:dyDescent="0.25">
      <c r="M11559" s="34">
        <f t="shared" si="356"/>
        <v>0</v>
      </c>
    </row>
    <row r="11560" spans="13:13" x14ac:dyDescent="0.25">
      <c r="M11560" s="34">
        <f t="shared" si="356"/>
        <v>0</v>
      </c>
    </row>
    <row r="11561" spans="13:13" x14ac:dyDescent="0.25">
      <c r="M11561" s="34">
        <f t="shared" si="356"/>
        <v>0</v>
      </c>
    </row>
    <row r="11562" spans="13:13" x14ac:dyDescent="0.25">
      <c r="M11562" s="34">
        <f t="shared" si="356"/>
        <v>0</v>
      </c>
    </row>
    <row r="11563" spans="13:13" x14ac:dyDescent="0.25">
      <c r="M11563" s="34">
        <f t="shared" si="356"/>
        <v>0</v>
      </c>
    </row>
    <row r="11564" spans="13:13" x14ac:dyDescent="0.25">
      <c r="M11564" s="34">
        <f t="shared" si="356"/>
        <v>0</v>
      </c>
    </row>
    <row r="11565" spans="13:13" x14ac:dyDescent="0.25">
      <c r="M11565" s="34">
        <f t="shared" si="356"/>
        <v>0</v>
      </c>
    </row>
    <row r="11566" spans="13:13" x14ac:dyDescent="0.25">
      <c r="M11566" s="34">
        <f t="shared" si="356"/>
        <v>0</v>
      </c>
    </row>
    <row r="11567" spans="13:13" x14ac:dyDescent="0.25">
      <c r="M11567" s="34">
        <f t="shared" si="356"/>
        <v>0</v>
      </c>
    </row>
    <row r="11568" spans="13:13" x14ac:dyDescent="0.25">
      <c r="M11568" s="34">
        <f t="shared" si="356"/>
        <v>0</v>
      </c>
    </row>
    <row r="11569" spans="13:13" x14ac:dyDescent="0.25">
      <c r="M11569" s="34">
        <f t="shared" si="356"/>
        <v>0</v>
      </c>
    </row>
    <row r="11570" spans="13:13" x14ac:dyDescent="0.25">
      <c r="M11570" s="34">
        <f t="shared" si="356"/>
        <v>0</v>
      </c>
    </row>
    <row r="11571" spans="13:13" x14ac:dyDescent="0.25">
      <c r="M11571" s="34">
        <f t="shared" si="356"/>
        <v>0</v>
      </c>
    </row>
    <row r="11572" spans="13:13" x14ac:dyDescent="0.25">
      <c r="M11572" s="34">
        <f t="shared" si="356"/>
        <v>0</v>
      </c>
    </row>
    <row r="11573" spans="13:13" x14ac:dyDescent="0.25">
      <c r="M11573" s="34">
        <f t="shared" si="356"/>
        <v>0</v>
      </c>
    </row>
    <row r="11574" spans="13:13" x14ac:dyDescent="0.25">
      <c r="M11574" s="34">
        <f t="shared" si="356"/>
        <v>0</v>
      </c>
    </row>
    <row r="11575" spans="13:13" x14ac:dyDescent="0.25">
      <c r="M11575" s="34">
        <f t="shared" si="356"/>
        <v>0</v>
      </c>
    </row>
    <row r="11576" spans="13:13" x14ac:dyDescent="0.25">
      <c r="M11576" s="34">
        <f t="shared" si="356"/>
        <v>0</v>
      </c>
    </row>
    <row r="11577" spans="13:13" x14ac:dyDescent="0.25">
      <c r="M11577" s="34">
        <f t="shared" si="356"/>
        <v>0</v>
      </c>
    </row>
    <row r="11578" spans="13:13" x14ac:dyDescent="0.25">
      <c r="M11578" s="34">
        <f t="shared" si="356"/>
        <v>0</v>
      </c>
    </row>
    <row r="11579" spans="13:13" x14ac:dyDescent="0.25">
      <c r="M11579" s="34">
        <f t="shared" si="356"/>
        <v>0</v>
      </c>
    </row>
    <row r="11580" spans="13:13" x14ac:dyDescent="0.25">
      <c r="M11580" s="34">
        <f t="shared" si="356"/>
        <v>0</v>
      </c>
    </row>
    <row r="11581" spans="13:13" x14ac:dyDescent="0.25">
      <c r="M11581" s="34">
        <f t="shared" si="356"/>
        <v>0</v>
      </c>
    </row>
    <row r="11582" spans="13:13" x14ac:dyDescent="0.25">
      <c r="M11582" s="34">
        <f t="shared" si="356"/>
        <v>0</v>
      </c>
    </row>
    <row r="11583" spans="13:13" x14ac:dyDescent="0.25">
      <c r="M11583" s="34">
        <f t="shared" si="356"/>
        <v>0</v>
      </c>
    </row>
    <row r="11584" spans="13:13" x14ac:dyDescent="0.25">
      <c r="M11584" s="34">
        <f t="shared" si="356"/>
        <v>0</v>
      </c>
    </row>
    <row r="11585" spans="13:13" x14ac:dyDescent="0.25">
      <c r="M11585" s="34">
        <f t="shared" si="356"/>
        <v>0</v>
      </c>
    </row>
    <row r="11586" spans="13:13" x14ac:dyDescent="0.25">
      <c r="M11586" s="34">
        <f t="shared" si="356"/>
        <v>0</v>
      </c>
    </row>
    <row r="11587" spans="13:13" x14ac:dyDescent="0.25">
      <c r="M11587" s="34">
        <f t="shared" ref="M11587:M11650" si="357">IF(AND(E11587="Chèque",G11587="RECETTE"),F11587,0)</f>
        <v>0</v>
      </c>
    </row>
    <row r="11588" spans="13:13" x14ac:dyDescent="0.25">
      <c r="M11588" s="34">
        <f t="shared" si="357"/>
        <v>0</v>
      </c>
    </row>
    <row r="11589" spans="13:13" x14ac:dyDescent="0.25">
      <c r="M11589" s="34">
        <f t="shared" si="357"/>
        <v>0</v>
      </c>
    </row>
    <row r="11590" spans="13:13" x14ac:dyDescent="0.25">
      <c r="M11590" s="34">
        <f t="shared" si="357"/>
        <v>0</v>
      </c>
    </row>
    <row r="11591" spans="13:13" x14ac:dyDescent="0.25">
      <c r="M11591" s="34">
        <f t="shared" si="357"/>
        <v>0</v>
      </c>
    </row>
    <row r="11592" spans="13:13" x14ac:dyDescent="0.25">
      <c r="M11592" s="34">
        <f t="shared" si="357"/>
        <v>0</v>
      </c>
    </row>
    <row r="11593" spans="13:13" x14ac:dyDescent="0.25">
      <c r="M11593" s="34">
        <f t="shared" si="357"/>
        <v>0</v>
      </c>
    </row>
    <row r="11594" spans="13:13" x14ac:dyDescent="0.25">
      <c r="M11594" s="34">
        <f t="shared" si="357"/>
        <v>0</v>
      </c>
    </row>
    <row r="11595" spans="13:13" x14ac:dyDescent="0.25">
      <c r="M11595" s="34">
        <f t="shared" si="357"/>
        <v>0</v>
      </c>
    </row>
    <row r="11596" spans="13:13" x14ac:dyDescent="0.25">
      <c r="M11596" s="34">
        <f t="shared" si="357"/>
        <v>0</v>
      </c>
    </row>
    <row r="11597" spans="13:13" x14ac:dyDescent="0.25">
      <c r="M11597" s="34">
        <f t="shared" si="357"/>
        <v>0</v>
      </c>
    </row>
    <row r="11598" spans="13:13" x14ac:dyDescent="0.25">
      <c r="M11598" s="34">
        <f t="shared" si="357"/>
        <v>0</v>
      </c>
    </row>
    <row r="11599" spans="13:13" x14ac:dyDescent="0.25">
      <c r="M11599" s="34">
        <f t="shared" si="357"/>
        <v>0</v>
      </c>
    </row>
    <row r="11600" spans="13:13" x14ac:dyDescent="0.25">
      <c r="M11600" s="34">
        <f t="shared" si="357"/>
        <v>0</v>
      </c>
    </row>
    <row r="11601" spans="13:13" x14ac:dyDescent="0.25">
      <c r="M11601" s="34">
        <f t="shared" si="357"/>
        <v>0</v>
      </c>
    </row>
    <row r="11602" spans="13:13" x14ac:dyDescent="0.25">
      <c r="M11602" s="34">
        <f t="shared" si="357"/>
        <v>0</v>
      </c>
    </row>
    <row r="11603" spans="13:13" x14ac:dyDescent="0.25">
      <c r="M11603" s="34">
        <f t="shared" si="357"/>
        <v>0</v>
      </c>
    </row>
    <row r="11604" spans="13:13" x14ac:dyDescent="0.25">
      <c r="M11604" s="34">
        <f t="shared" si="357"/>
        <v>0</v>
      </c>
    </row>
    <row r="11605" spans="13:13" x14ac:dyDescent="0.25">
      <c r="M11605" s="34">
        <f t="shared" si="357"/>
        <v>0</v>
      </c>
    </row>
    <row r="11606" spans="13:13" x14ac:dyDescent="0.25">
      <c r="M11606" s="34">
        <f t="shared" si="357"/>
        <v>0</v>
      </c>
    </row>
    <row r="11607" spans="13:13" x14ac:dyDescent="0.25">
      <c r="M11607" s="34">
        <f t="shared" si="357"/>
        <v>0</v>
      </c>
    </row>
    <row r="11608" spans="13:13" x14ac:dyDescent="0.25">
      <c r="M11608" s="34">
        <f t="shared" si="357"/>
        <v>0</v>
      </c>
    </row>
    <row r="11609" spans="13:13" x14ac:dyDescent="0.25">
      <c r="M11609" s="34">
        <f t="shared" si="357"/>
        <v>0</v>
      </c>
    </row>
    <row r="11610" spans="13:13" x14ac:dyDescent="0.25">
      <c r="M11610" s="34">
        <f t="shared" si="357"/>
        <v>0</v>
      </c>
    </row>
    <row r="11611" spans="13:13" x14ac:dyDescent="0.25">
      <c r="M11611" s="34">
        <f t="shared" si="357"/>
        <v>0</v>
      </c>
    </row>
    <row r="11612" spans="13:13" x14ac:dyDescent="0.25">
      <c r="M11612" s="34">
        <f t="shared" si="357"/>
        <v>0</v>
      </c>
    </row>
    <row r="11613" spans="13:13" x14ac:dyDescent="0.25">
      <c r="M11613" s="34">
        <f t="shared" si="357"/>
        <v>0</v>
      </c>
    </row>
    <row r="11614" spans="13:13" x14ac:dyDescent="0.25">
      <c r="M11614" s="34">
        <f t="shared" si="357"/>
        <v>0</v>
      </c>
    </row>
    <row r="11615" spans="13:13" x14ac:dyDescent="0.25">
      <c r="M11615" s="34">
        <f t="shared" si="357"/>
        <v>0</v>
      </c>
    </row>
    <row r="11616" spans="13:13" x14ac:dyDescent="0.25">
      <c r="M11616" s="34">
        <f t="shared" si="357"/>
        <v>0</v>
      </c>
    </row>
    <row r="11617" spans="13:13" x14ac:dyDescent="0.25">
      <c r="M11617" s="34">
        <f t="shared" si="357"/>
        <v>0</v>
      </c>
    </row>
    <row r="11618" spans="13:13" x14ac:dyDescent="0.25">
      <c r="M11618" s="34">
        <f t="shared" si="357"/>
        <v>0</v>
      </c>
    </row>
    <row r="11619" spans="13:13" x14ac:dyDescent="0.25">
      <c r="M11619" s="34">
        <f t="shared" si="357"/>
        <v>0</v>
      </c>
    </row>
    <row r="11620" spans="13:13" x14ac:dyDescent="0.25">
      <c r="M11620" s="34">
        <f t="shared" si="357"/>
        <v>0</v>
      </c>
    </row>
    <row r="11621" spans="13:13" x14ac:dyDescent="0.25">
      <c r="M11621" s="34">
        <f t="shared" si="357"/>
        <v>0</v>
      </c>
    </row>
    <row r="11622" spans="13:13" x14ac:dyDescent="0.25">
      <c r="M11622" s="34">
        <f t="shared" si="357"/>
        <v>0</v>
      </c>
    </row>
    <row r="11623" spans="13:13" x14ac:dyDescent="0.25">
      <c r="M11623" s="34">
        <f t="shared" si="357"/>
        <v>0</v>
      </c>
    </row>
    <row r="11624" spans="13:13" x14ac:dyDescent="0.25">
      <c r="M11624" s="34">
        <f t="shared" si="357"/>
        <v>0</v>
      </c>
    </row>
    <row r="11625" spans="13:13" x14ac:dyDescent="0.25">
      <c r="M11625" s="34">
        <f t="shared" si="357"/>
        <v>0</v>
      </c>
    </row>
    <row r="11626" spans="13:13" x14ac:dyDescent="0.25">
      <c r="M11626" s="34">
        <f t="shared" si="357"/>
        <v>0</v>
      </c>
    </row>
    <row r="11627" spans="13:13" x14ac:dyDescent="0.25">
      <c r="M11627" s="34">
        <f t="shared" si="357"/>
        <v>0</v>
      </c>
    </row>
    <row r="11628" spans="13:13" x14ac:dyDescent="0.25">
      <c r="M11628" s="34">
        <f t="shared" si="357"/>
        <v>0</v>
      </c>
    </row>
    <row r="11629" spans="13:13" x14ac:dyDescent="0.25">
      <c r="M11629" s="34">
        <f t="shared" si="357"/>
        <v>0</v>
      </c>
    </row>
    <row r="11630" spans="13:13" x14ac:dyDescent="0.25">
      <c r="M11630" s="34">
        <f t="shared" si="357"/>
        <v>0</v>
      </c>
    </row>
    <row r="11631" spans="13:13" x14ac:dyDescent="0.25">
      <c r="M11631" s="34">
        <f t="shared" si="357"/>
        <v>0</v>
      </c>
    </row>
    <row r="11632" spans="13:13" x14ac:dyDescent="0.25">
      <c r="M11632" s="34">
        <f t="shared" si="357"/>
        <v>0</v>
      </c>
    </row>
    <row r="11633" spans="13:13" x14ac:dyDescent="0.25">
      <c r="M11633" s="34">
        <f t="shared" si="357"/>
        <v>0</v>
      </c>
    </row>
    <row r="11634" spans="13:13" x14ac:dyDescent="0.25">
      <c r="M11634" s="34">
        <f t="shared" si="357"/>
        <v>0</v>
      </c>
    </row>
    <row r="11635" spans="13:13" x14ac:dyDescent="0.25">
      <c r="M11635" s="34">
        <f t="shared" si="357"/>
        <v>0</v>
      </c>
    </row>
    <row r="11636" spans="13:13" x14ac:dyDescent="0.25">
      <c r="M11636" s="34">
        <f t="shared" si="357"/>
        <v>0</v>
      </c>
    </row>
    <row r="11637" spans="13:13" x14ac:dyDescent="0.25">
      <c r="M11637" s="34">
        <f t="shared" si="357"/>
        <v>0</v>
      </c>
    </row>
    <row r="11638" spans="13:13" x14ac:dyDescent="0.25">
      <c r="M11638" s="34">
        <f t="shared" si="357"/>
        <v>0</v>
      </c>
    </row>
    <row r="11639" spans="13:13" x14ac:dyDescent="0.25">
      <c r="M11639" s="34">
        <f t="shared" si="357"/>
        <v>0</v>
      </c>
    </row>
    <row r="11640" spans="13:13" x14ac:dyDescent="0.25">
      <c r="M11640" s="34">
        <f t="shared" si="357"/>
        <v>0</v>
      </c>
    </row>
    <row r="11641" spans="13:13" x14ac:dyDescent="0.25">
      <c r="M11641" s="34">
        <f t="shared" si="357"/>
        <v>0</v>
      </c>
    </row>
    <row r="11642" spans="13:13" x14ac:dyDescent="0.25">
      <c r="M11642" s="34">
        <f t="shared" si="357"/>
        <v>0</v>
      </c>
    </row>
    <row r="11643" spans="13:13" x14ac:dyDescent="0.25">
      <c r="M11643" s="34">
        <f t="shared" si="357"/>
        <v>0</v>
      </c>
    </row>
    <row r="11644" spans="13:13" x14ac:dyDescent="0.25">
      <c r="M11644" s="34">
        <f t="shared" si="357"/>
        <v>0</v>
      </c>
    </row>
    <row r="11645" spans="13:13" x14ac:dyDescent="0.25">
      <c r="M11645" s="34">
        <f t="shared" si="357"/>
        <v>0</v>
      </c>
    </row>
    <row r="11646" spans="13:13" x14ac:dyDescent="0.25">
      <c r="M11646" s="34">
        <f t="shared" si="357"/>
        <v>0</v>
      </c>
    </row>
    <row r="11647" spans="13:13" x14ac:dyDescent="0.25">
      <c r="M11647" s="34">
        <f t="shared" si="357"/>
        <v>0</v>
      </c>
    </row>
    <row r="11648" spans="13:13" x14ac:dyDescent="0.25">
      <c r="M11648" s="34">
        <f t="shared" si="357"/>
        <v>0</v>
      </c>
    </row>
    <row r="11649" spans="13:13" x14ac:dyDescent="0.25">
      <c r="M11649" s="34">
        <f t="shared" si="357"/>
        <v>0</v>
      </c>
    </row>
    <row r="11650" spans="13:13" x14ac:dyDescent="0.25">
      <c r="M11650" s="34">
        <f t="shared" si="357"/>
        <v>0</v>
      </c>
    </row>
    <row r="11651" spans="13:13" x14ac:dyDescent="0.25">
      <c r="M11651" s="34">
        <f t="shared" ref="M11651:M11714" si="358">IF(AND(E11651="Chèque",G11651="RECETTE"),F11651,0)</f>
        <v>0</v>
      </c>
    </row>
    <row r="11652" spans="13:13" x14ac:dyDescent="0.25">
      <c r="M11652" s="34">
        <f t="shared" si="358"/>
        <v>0</v>
      </c>
    </row>
    <row r="11653" spans="13:13" x14ac:dyDescent="0.25">
      <c r="M11653" s="34">
        <f t="shared" si="358"/>
        <v>0</v>
      </c>
    </row>
    <row r="11654" spans="13:13" x14ac:dyDescent="0.25">
      <c r="M11654" s="34">
        <f t="shared" si="358"/>
        <v>0</v>
      </c>
    </row>
    <row r="11655" spans="13:13" x14ac:dyDescent="0.25">
      <c r="M11655" s="34">
        <f t="shared" si="358"/>
        <v>0</v>
      </c>
    </row>
    <row r="11656" spans="13:13" x14ac:dyDescent="0.25">
      <c r="M11656" s="34">
        <f t="shared" si="358"/>
        <v>0</v>
      </c>
    </row>
    <row r="11657" spans="13:13" x14ac:dyDescent="0.25">
      <c r="M11657" s="34">
        <f t="shared" si="358"/>
        <v>0</v>
      </c>
    </row>
    <row r="11658" spans="13:13" x14ac:dyDescent="0.25">
      <c r="M11658" s="34">
        <f t="shared" si="358"/>
        <v>0</v>
      </c>
    </row>
    <row r="11659" spans="13:13" x14ac:dyDescent="0.25">
      <c r="M11659" s="34">
        <f t="shared" si="358"/>
        <v>0</v>
      </c>
    </row>
    <row r="11660" spans="13:13" x14ac:dyDescent="0.25">
      <c r="M11660" s="34">
        <f t="shared" si="358"/>
        <v>0</v>
      </c>
    </row>
    <row r="11661" spans="13:13" x14ac:dyDescent="0.25">
      <c r="M11661" s="34">
        <f t="shared" si="358"/>
        <v>0</v>
      </c>
    </row>
    <row r="11662" spans="13:13" x14ac:dyDescent="0.25">
      <c r="M11662" s="34">
        <f t="shared" si="358"/>
        <v>0</v>
      </c>
    </row>
    <row r="11663" spans="13:13" x14ac:dyDescent="0.25">
      <c r="M11663" s="34">
        <f t="shared" si="358"/>
        <v>0</v>
      </c>
    </row>
    <row r="11664" spans="13:13" x14ac:dyDescent="0.25">
      <c r="M11664" s="34">
        <f t="shared" si="358"/>
        <v>0</v>
      </c>
    </row>
    <row r="11665" spans="13:13" x14ac:dyDescent="0.25">
      <c r="M11665" s="34">
        <f t="shared" si="358"/>
        <v>0</v>
      </c>
    </row>
    <row r="11666" spans="13:13" x14ac:dyDescent="0.25">
      <c r="M11666" s="34">
        <f t="shared" si="358"/>
        <v>0</v>
      </c>
    </row>
    <row r="11667" spans="13:13" x14ac:dyDescent="0.25">
      <c r="M11667" s="34">
        <f t="shared" si="358"/>
        <v>0</v>
      </c>
    </row>
    <row r="11668" spans="13:13" x14ac:dyDescent="0.25">
      <c r="M11668" s="34">
        <f t="shared" si="358"/>
        <v>0</v>
      </c>
    </row>
    <row r="11669" spans="13:13" x14ac:dyDescent="0.25">
      <c r="M11669" s="34">
        <f t="shared" si="358"/>
        <v>0</v>
      </c>
    </row>
    <row r="11670" spans="13:13" x14ac:dyDescent="0.25">
      <c r="M11670" s="34">
        <f t="shared" si="358"/>
        <v>0</v>
      </c>
    </row>
    <row r="11671" spans="13:13" x14ac:dyDescent="0.25">
      <c r="M11671" s="34">
        <f t="shared" si="358"/>
        <v>0</v>
      </c>
    </row>
    <row r="11672" spans="13:13" x14ac:dyDescent="0.25">
      <c r="M11672" s="34">
        <f t="shared" si="358"/>
        <v>0</v>
      </c>
    </row>
    <row r="11673" spans="13:13" x14ac:dyDescent="0.25">
      <c r="M11673" s="34">
        <f t="shared" si="358"/>
        <v>0</v>
      </c>
    </row>
    <row r="11674" spans="13:13" x14ac:dyDescent="0.25">
      <c r="M11674" s="34">
        <f t="shared" si="358"/>
        <v>0</v>
      </c>
    </row>
    <row r="11675" spans="13:13" x14ac:dyDescent="0.25">
      <c r="M11675" s="34">
        <f t="shared" si="358"/>
        <v>0</v>
      </c>
    </row>
    <row r="11676" spans="13:13" x14ac:dyDescent="0.25">
      <c r="M11676" s="34">
        <f t="shared" si="358"/>
        <v>0</v>
      </c>
    </row>
    <row r="11677" spans="13:13" x14ac:dyDescent="0.25">
      <c r="M11677" s="34">
        <f t="shared" si="358"/>
        <v>0</v>
      </c>
    </row>
    <row r="11678" spans="13:13" x14ac:dyDescent="0.25">
      <c r="M11678" s="34">
        <f t="shared" si="358"/>
        <v>0</v>
      </c>
    </row>
    <row r="11679" spans="13:13" x14ac:dyDescent="0.25">
      <c r="M11679" s="34">
        <f t="shared" si="358"/>
        <v>0</v>
      </c>
    </row>
    <row r="11680" spans="13:13" x14ac:dyDescent="0.25">
      <c r="M11680" s="34">
        <f t="shared" si="358"/>
        <v>0</v>
      </c>
    </row>
    <row r="11681" spans="13:13" x14ac:dyDescent="0.25">
      <c r="M11681" s="34">
        <f t="shared" si="358"/>
        <v>0</v>
      </c>
    </row>
    <row r="11682" spans="13:13" x14ac:dyDescent="0.25">
      <c r="M11682" s="34">
        <f t="shared" si="358"/>
        <v>0</v>
      </c>
    </row>
    <row r="11683" spans="13:13" x14ac:dyDescent="0.25">
      <c r="M11683" s="34">
        <f t="shared" si="358"/>
        <v>0</v>
      </c>
    </row>
    <row r="11684" spans="13:13" x14ac:dyDescent="0.25">
      <c r="M11684" s="34">
        <f t="shared" si="358"/>
        <v>0</v>
      </c>
    </row>
    <row r="11685" spans="13:13" x14ac:dyDescent="0.25">
      <c r="M11685" s="34">
        <f t="shared" si="358"/>
        <v>0</v>
      </c>
    </row>
    <row r="11686" spans="13:13" x14ac:dyDescent="0.25">
      <c r="M11686" s="34">
        <f t="shared" si="358"/>
        <v>0</v>
      </c>
    </row>
    <row r="11687" spans="13:13" x14ac:dyDescent="0.25">
      <c r="M11687" s="34">
        <f t="shared" si="358"/>
        <v>0</v>
      </c>
    </row>
    <row r="11688" spans="13:13" x14ac:dyDescent="0.25">
      <c r="M11688" s="34">
        <f t="shared" si="358"/>
        <v>0</v>
      </c>
    </row>
    <row r="11689" spans="13:13" x14ac:dyDescent="0.25">
      <c r="M11689" s="34">
        <f t="shared" si="358"/>
        <v>0</v>
      </c>
    </row>
    <row r="11690" spans="13:13" x14ac:dyDescent="0.25">
      <c r="M11690" s="34">
        <f t="shared" si="358"/>
        <v>0</v>
      </c>
    </row>
    <row r="11691" spans="13:13" x14ac:dyDescent="0.25">
      <c r="M11691" s="34">
        <f t="shared" si="358"/>
        <v>0</v>
      </c>
    </row>
    <row r="11692" spans="13:13" x14ac:dyDescent="0.25">
      <c r="M11692" s="34">
        <f t="shared" si="358"/>
        <v>0</v>
      </c>
    </row>
    <row r="11693" spans="13:13" x14ac:dyDescent="0.25">
      <c r="M11693" s="34">
        <f t="shared" si="358"/>
        <v>0</v>
      </c>
    </row>
    <row r="11694" spans="13:13" x14ac:dyDescent="0.25">
      <c r="M11694" s="34">
        <f t="shared" si="358"/>
        <v>0</v>
      </c>
    </row>
    <row r="11695" spans="13:13" x14ac:dyDescent="0.25">
      <c r="M11695" s="34">
        <f t="shared" si="358"/>
        <v>0</v>
      </c>
    </row>
    <row r="11696" spans="13:13" x14ac:dyDescent="0.25">
      <c r="M11696" s="34">
        <f t="shared" si="358"/>
        <v>0</v>
      </c>
    </row>
    <row r="11697" spans="13:13" x14ac:dyDescent="0.25">
      <c r="M11697" s="34">
        <f t="shared" si="358"/>
        <v>0</v>
      </c>
    </row>
    <row r="11698" spans="13:13" x14ac:dyDescent="0.25">
      <c r="M11698" s="34">
        <f t="shared" si="358"/>
        <v>0</v>
      </c>
    </row>
    <row r="11699" spans="13:13" x14ac:dyDescent="0.25">
      <c r="M11699" s="34">
        <f t="shared" si="358"/>
        <v>0</v>
      </c>
    </row>
    <row r="11700" spans="13:13" x14ac:dyDescent="0.25">
      <c r="M11700" s="34">
        <f t="shared" si="358"/>
        <v>0</v>
      </c>
    </row>
    <row r="11701" spans="13:13" x14ac:dyDescent="0.25">
      <c r="M11701" s="34">
        <f t="shared" si="358"/>
        <v>0</v>
      </c>
    </row>
    <row r="11702" spans="13:13" x14ac:dyDescent="0.25">
      <c r="M11702" s="34">
        <f t="shared" si="358"/>
        <v>0</v>
      </c>
    </row>
    <row r="11703" spans="13:13" x14ac:dyDescent="0.25">
      <c r="M11703" s="34">
        <f t="shared" si="358"/>
        <v>0</v>
      </c>
    </row>
    <row r="11704" spans="13:13" x14ac:dyDescent="0.25">
      <c r="M11704" s="34">
        <f t="shared" si="358"/>
        <v>0</v>
      </c>
    </row>
    <row r="11705" spans="13:13" x14ac:dyDescent="0.25">
      <c r="M11705" s="34">
        <f t="shared" si="358"/>
        <v>0</v>
      </c>
    </row>
    <row r="11706" spans="13:13" x14ac:dyDescent="0.25">
      <c r="M11706" s="34">
        <f t="shared" si="358"/>
        <v>0</v>
      </c>
    </row>
    <row r="11707" spans="13:13" x14ac:dyDescent="0.25">
      <c r="M11707" s="34">
        <f t="shared" si="358"/>
        <v>0</v>
      </c>
    </row>
    <row r="11708" spans="13:13" x14ac:dyDescent="0.25">
      <c r="M11708" s="34">
        <f t="shared" si="358"/>
        <v>0</v>
      </c>
    </row>
    <row r="11709" spans="13:13" x14ac:dyDescent="0.25">
      <c r="M11709" s="34">
        <f t="shared" si="358"/>
        <v>0</v>
      </c>
    </row>
    <row r="11710" spans="13:13" x14ac:dyDescent="0.25">
      <c r="M11710" s="34">
        <f t="shared" si="358"/>
        <v>0</v>
      </c>
    </row>
    <row r="11711" spans="13:13" x14ac:dyDescent="0.25">
      <c r="M11711" s="34">
        <f t="shared" si="358"/>
        <v>0</v>
      </c>
    </row>
    <row r="11712" spans="13:13" x14ac:dyDescent="0.25">
      <c r="M11712" s="34">
        <f t="shared" si="358"/>
        <v>0</v>
      </c>
    </row>
    <row r="11713" spans="13:13" x14ac:dyDescent="0.25">
      <c r="M11713" s="34">
        <f t="shared" si="358"/>
        <v>0</v>
      </c>
    </row>
    <row r="11714" spans="13:13" x14ac:dyDescent="0.25">
      <c r="M11714" s="34">
        <f t="shared" si="358"/>
        <v>0</v>
      </c>
    </row>
    <row r="11715" spans="13:13" x14ac:dyDescent="0.25">
      <c r="M11715" s="34">
        <f t="shared" ref="M11715:M11778" si="359">IF(AND(E11715="Chèque",G11715="RECETTE"),F11715,0)</f>
        <v>0</v>
      </c>
    </row>
    <row r="11716" spans="13:13" x14ac:dyDescent="0.25">
      <c r="M11716" s="34">
        <f t="shared" si="359"/>
        <v>0</v>
      </c>
    </row>
    <row r="11717" spans="13:13" x14ac:dyDescent="0.25">
      <c r="M11717" s="34">
        <f t="shared" si="359"/>
        <v>0</v>
      </c>
    </row>
    <row r="11718" spans="13:13" x14ac:dyDescent="0.25">
      <c r="M11718" s="34">
        <f t="shared" si="359"/>
        <v>0</v>
      </c>
    </row>
    <row r="11719" spans="13:13" x14ac:dyDescent="0.25">
      <c r="M11719" s="34">
        <f t="shared" si="359"/>
        <v>0</v>
      </c>
    </row>
    <row r="11720" spans="13:13" x14ac:dyDescent="0.25">
      <c r="M11720" s="34">
        <f t="shared" si="359"/>
        <v>0</v>
      </c>
    </row>
    <row r="11721" spans="13:13" x14ac:dyDescent="0.25">
      <c r="M11721" s="34">
        <f t="shared" si="359"/>
        <v>0</v>
      </c>
    </row>
    <row r="11722" spans="13:13" x14ac:dyDescent="0.25">
      <c r="M11722" s="34">
        <f t="shared" si="359"/>
        <v>0</v>
      </c>
    </row>
    <row r="11723" spans="13:13" x14ac:dyDescent="0.25">
      <c r="M11723" s="34">
        <f t="shared" si="359"/>
        <v>0</v>
      </c>
    </row>
    <row r="11724" spans="13:13" x14ac:dyDescent="0.25">
      <c r="M11724" s="34">
        <f t="shared" si="359"/>
        <v>0</v>
      </c>
    </row>
    <row r="11725" spans="13:13" x14ac:dyDescent="0.25">
      <c r="M11725" s="34">
        <f t="shared" si="359"/>
        <v>0</v>
      </c>
    </row>
    <row r="11726" spans="13:13" x14ac:dyDescent="0.25">
      <c r="M11726" s="34">
        <f t="shared" si="359"/>
        <v>0</v>
      </c>
    </row>
    <row r="11727" spans="13:13" x14ac:dyDescent="0.25">
      <c r="M11727" s="34">
        <f t="shared" si="359"/>
        <v>0</v>
      </c>
    </row>
    <row r="11728" spans="13:13" x14ac:dyDescent="0.25">
      <c r="M11728" s="34">
        <f t="shared" si="359"/>
        <v>0</v>
      </c>
    </row>
    <row r="11729" spans="13:13" x14ac:dyDescent="0.25">
      <c r="M11729" s="34">
        <f t="shared" si="359"/>
        <v>0</v>
      </c>
    </row>
    <row r="11730" spans="13:13" x14ac:dyDescent="0.25">
      <c r="M11730" s="34">
        <f t="shared" si="359"/>
        <v>0</v>
      </c>
    </row>
    <row r="11731" spans="13:13" x14ac:dyDescent="0.25">
      <c r="M11731" s="34">
        <f t="shared" si="359"/>
        <v>0</v>
      </c>
    </row>
    <row r="11732" spans="13:13" x14ac:dyDescent="0.25">
      <c r="M11732" s="34">
        <f t="shared" si="359"/>
        <v>0</v>
      </c>
    </row>
    <row r="11733" spans="13:13" x14ac:dyDescent="0.25">
      <c r="M11733" s="34">
        <f t="shared" si="359"/>
        <v>0</v>
      </c>
    </row>
    <row r="11734" spans="13:13" x14ac:dyDescent="0.25">
      <c r="M11734" s="34">
        <f t="shared" si="359"/>
        <v>0</v>
      </c>
    </row>
    <row r="11735" spans="13:13" x14ac:dyDescent="0.25">
      <c r="M11735" s="34">
        <f t="shared" si="359"/>
        <v>0</v>
      </c>
    </row>
    <row r="11736" spans="13:13" x14ac:dyDescent="0.25">
      <c r="M11736" s="34">
        <f t="shared" si="359"/>
        <v>0</v>
      </c>
    </row>
    <row r="11737" spans="13:13" x14ac:dyDescent="0.25">
      <c r="M11737" s="34">
        <f t="shared" si="359"/>
        <v>0</v>
      </c>
    </row>
    <row r="11738" spans="13:13" x14ac:dyDescent="0.25">
      <c r="M11738" s="34">
        <f t="shared" si="359"/>
        <v>0</v>
      </c>
    </row>
    <row r="11739" spans="13:13" x14ac:dyDescent="0.25">
      <c r="M11739" s="34">
        <f t="shared" si="359"/>
        <v>0</v>
      </c>
    </row>
    <row r="11740" spans="13:13" x14ac:dyDescent="0.25">
      <c r="M11740" s="34">
        <f t="shared" si="359"/>
        <v>0</v>
      </c>
    </row>
    <row r="11741" spans="13:13" x14ac:dyDescent="0.25">
      <c r="M11741" s="34">
        <f t="shared" si="359"/>
        <v>0</v>
      </c>
    </row>
    <row r="11742" spans="13:13" x14ac:dyDescent="0.25">
      <c r="M11742" s="34">
        <f t="shared" si="359"/>
        <v>0</v>
      </c>
    </row>
    <row r="11743" spans="13:13" x14ac:dyDescent="0.25">
      <c r="M11743" s="34">
        <f t="shared" si="359"/>
        <v>0</v>
      </c>
    </row>
    <row r="11744" spans="13:13" x14ac:dyDescent="0.25">
      <c r="M11744" s="34">
        <f t="shared" si="359"/>
        <v>0</v>
      </c>
    </row>
    <row r="11745" spans="13:13" x14ac:dyDescent="0.25">
      <c r="M11745" s="34">
        <f t="shared" si="359"/>
        <v>0</v>
      </c>
    </row>
    <row r="11746" spans="13:13" x14ac:dyDescent="0.25">
      <c r="M11746" s="34">
        <f t="shared" si="359"/>
        <v>0</v>
      </c>
    </row>
    <row r="11747" spans="13:13" x14ac:dyDescent="0.25">
      <c r="M11747" s="34">
        <f t="shared" si="359"/>
        <v>0</v>
      </c>
    </row>
    <row r="11748" spans="13:13" x14ac:dyDescent="0.25">
      <c r="M11748" s="34">
        <f t="shared" si="359"/>
        <v>0</v>
      </c>
    </row>
    <row r="11749" spans="13:13" x14ac:dyDescent="0.25">
      <c r="M11749" s="34">
        <f t="shared" si="359"/>
        <v>0</v>
      </c>
    </row>
    <row r="11750" spans="13:13" x14ac:dyDescent="0.25">
      <c r="M11750" s="34">
        <f t="shared" si="359"/>
        <v>0</v>
      </c>
    </row>
    <row r="11751" spans="13:13" x14ac:dyDescent="0.25">
      <c r="M11751" s="34">
        <f t="shared" si="359"/>
        <v>0</v>
      </c>
    </row>
    <row r="11752" spans="13:13" x14ac:dyDescent="0.25">
      <c r="M11752" s="34">
        <f t="shared" si="359"/>
        <v>0</v>
      </c>
    </row>
    <row r="11753" spans="13:13" x14ac:dyDescent="0.25">
      <c r="M11753" s="34">
        <f t="shared" si="359"/>
        <v>0</v>
      </c>
    </row>
    <row r="11754" spans="13:13" x14ac:dyDescent="0.25">
      <c r="M11754" s="34">
        <f t="shared" si="359"/>
        <v>0</v>
      </c>
    </row>
    <row r="11755" spans="13:13" x14ac:dyDescent="0.25">
      <c r="M11755" s="34">
        <f t="shared" si="359"/>
        <v>0</v>
      </c>
    </row>
    <row r="11756" spans="13:13" x14ac:dyDescent="0.25">
      <c r="M11756" s="34">
        <f t="shared" si="359"/>
        <v>0</v>
      </c>
    </row>
    <row r="11757" spans="13:13" x14ac:dyDescent="0.25">
      <c r="M11757" s="34">
        <f t="shared" si="359"/>
        <v>0</v>
      </c>
    </row>
    <row r="11758" spans="13:13" x14ac:dyDescent="0.25">
      <c r="M11758" s="34">
        <f t="shared" si="359"/>
        <v>0</v>
      </c>
    </row>
    <row r="11759" spans="13:13" x14ac:dyDescent="0.25">
      <c r="M11759" s="34">
        <f t="shared" si="359"/>
        <v>0</v>
      </c>
    </row>
    <row r="11760" spans="13:13" x14ac:dyDescent="0.25">
      <c r="M11760" s="34">
        <f t="shared" si="359"/>
        <v>0</v>
      </c>
    </row>
    <row r="11761" spans="13:13" x14ac:dyDescent="0.25">
      <c r="M11761" s="34">
        <f t="shared" si="359"/>
        <v>0</v>
      </c>
    </row>
    <row r="11762" spans="13:13" x14ac:dyDescent="0.25">
      <c r="M11762" s="34">
        <f t="shared" si="359"/>
        <v>0</v>
      </c>
    </row>
    <row r="11763" spans="13:13" x14ac:dyDescent="0.25">
      <c r="M11763" s="34">
        <f t="shared" si="359"/>
        <v>0</v>
      </c>
    </row>
    <row r="11764" spans="13:13" x14ac:dyDescent="0.25">
      <c r="M11764" s="34">
        <f t="shared" si="359"/>
        <v>0</v>
      </c>
    </row>
    <row r="11765" spans="13:13" x14ac:dyDescent="0.25">
      <c r="M11765" s="34">
        <f t="shared" si="359"/>
        <v>0</v>
      </c>
    </row>
    <row r="11766" spans="13:13" x14ac:dyDescent="0.25">
      <c r="M11766" s="34">
        <f t="shared" si="359"/>
        <v>0</v>
      </c>
    </row>
    <row r="11767" spans="13:13" x14ac:dyDescent="0.25">
      <c r="M11767" s="34">
        <f t="shared" si="359"/>
        <v>0</v>
      </c>
    </row>
    <row r="11768" spans="13:13" x14ac:dyDescent="0.25">
      <c r="M11768" s="34">
        <f t="shared" si="359"/>
        <v>0</v>
      </c>
    </row>
    <row r="11769" spans="13:13" x14ac:dyDescent="0.25">
      <c r="M11769" s="34">
        <f t="shared" si="359"/>
        <v>0</v>
      </c>
    </row>
    <row r="11770" spans="13:13" x14ac:dyDescent="0.25">
      <c r="M11770" s="34">
        <f t="shared" si="359"/>
        <v>0</v>
      </c>
    </row>
    <row r="11771" spans="13:13" x14ac:dyDescent="0.25">
      <c r="M11771" s="34">
        <f t="shared" si="359"/>
        <v>0</v>
      </c>
    </row>
    <row r="11772" spans="13:13" x14ac:dyDescent="0.25">
      <c r="M11772" s="34">
        <f t="shared" si="359"/>
        <v>0</v>
      </c>
    </row>
    <row r="11773" spans="13:13" x14ac:dyDescent="0.25">
      <c r="M11773" s="34">
        <f t="shared" si="359"/>
        <v>0</v>
      </c>
    </row>
    <row r="11774" spans="13:13" x14ac:dyDescent="0.25">
      <c r="M11774" s="34">
        <f t="shared" si="359"/>
        <v>0</v>
      </c>
    </row>
    <row r="11775" spans="13:13" x14ac:dyDescent="0.25">
      <c r="M11775" s="34">
        <f t="shared" si="359"/>
        <v>0</v>
      </c>
    </row>
    <row r="11776" spans="13:13" x14ac:dyDescent="0.25">
      <c r="M11776" s="34">
        <f t="shared" si="359"/>
        <v>0</v>
      </c>
    </row>
    <row r="11777" spans="13:13" x14ac:dyDescent="0.25">
      <c r="M11777" s="34">
        <f t="shared" si="359"/>
        <v>0</v>
      </c>
    </row>
    <row r="11778" spans="13:13" x14ac:dyDescent="0.25">
      <c r="M11778" s="34">
        <f t="shared" si="359"/>
        <v>0</v>
      </c>
    </row>
    <row r="11779" spans="13:13" x14ac:dyDescent="0.25">
      <c r="M11779" s="34">
        <f t="shared" ref="M11779:M11842" si="360">IF(AND(E11779="Chèque",G11779="RECETTE"),F11779,0)</f>
        <v>0</v>
      </c>
    </row>
    <row r="11780" spans="13:13" x14ac:dyDescent="0.25">
      <c r="M11780" s="34">
        <f t="shared" si="360"/>
        <v>0</v>
      </c>
    </row>
    <row r="11781" spans="13:13" x14ac:dyDescent="0.25">
      <c r="M11781" s="34">
        <f t="shared" si="360"/>
        <v>0</v>
      </c>
    </row>
    <row r="11782" spans="13:13" x14ac:dyDescent="0.25">
      <c r="M11782" s="34">
        <f t="shared" si="360"/>
        <v>0</v>
      </c>
    </row>
    <row r="11783" spans="13:13" x14ac:dyDescent="0.25">
      <c r="M11783" s="34">
        <f t="shared" si="360"/>
        <v>0</v>
      </c>
    </row>
    <row r="11784" spans="13:13" x14ac:dyDescent="0.25">
      <c r="M11784" s="34">
        <f t="shared" si="360"/>
        <v>0</v>
      </c>
    </row>
    <row r="11785" spans="13:13" x14ac:dyDescent="0.25">
      <c r="M11785" s="34">
        <f t="shared" si="360"/>
        <v>0</v>
      </c>
    </row>
    <row r="11786" spans="13:13" x14ac:dyDescent="0.25">
      <c r="M11786" s="34">
        <f t="shared" si="360"/>
        <v>0</v>
      </c>
    </row>
    <row r="11787" spans="13:13" x14ac:dyDescent="0.25">
      <c r="M11787" s="34">
        <f t="shared" si="360"/>
        <v>0</v>
      </c>
    </row>
    <row r="11788" spans="13:13" x14ac:dyDescent="0.25">
      <c r="M11788" s="34">
        <f t="shared" si="360"/>
        <v>0</v>
      </c>
    </row>
    <row r="11789" spans="13:13" x14ac:dyDescent="0.25">
      <c r="M11789" s="34">
        <f t="shared" si="360"/>
        <v>0</v>
      </c>
    </row>
    <row r="11790" spans="13:13" x14ac:dyDescent="0.25">
      <c r="M11790" s="34">
        <f t="shared" si="360"/>
        <v>0</v>
      </c>
    </row>
    <row r="11791" spans="13:13" x14ac:dyDescent="0.25">
      <c r="M11791" s="34">
        <f t="shared" si="360"/>
        <v>0</v>
      </c>
    </row>
    <row r="11792" spans="13:13" x14ac:dyDescent="0.25">
      <c r="M11792" s="34">
        <f t="shared" si="360"/>
        <v>0</v>
      </c>
    </row>
    <row r="11793" spans="13:13" x14ac:dyDescent="0.25">
      <c r="M11793" s="34">
        <f t="shared" si="360"/>
        <v>0</v>
      </c>
    </row>
    <row r="11794" spans="13:13" x14ac:dyDescent="0.25">
      <c r="M11794" s="34">
        <f t="shared" si="360"/>
        <v>0</v>
      </c>
    </row>
    <row r="11795" spans="13:13" x14ac:dyDescent="0.25">
      <c r="M11795" s="34">
        <f t="shared" si="360"/>
        <v>0</v>
      </c>
    </row>
    <row r="11796" spans="13:13" x14ac:dyDescent="0.25">
      <c r="M11796" s="34">
        <f t="shared" si="360"/>
        <v>0</v>
      </c>
    </row>
    <row r="11797" spans="13:13" x14ac:dyDescent="0.25">
      <c r="M11797" s="34">
        <f t="shared" si="360"/>
        <v>0</v>
      </c>
    </row>
    <row r="11798" spans="13:13" x14ac:dyDescent="0.25">
      <c r="M11798" s="34">
        <f t="shared" si="360"/>
        <v>0</v>
      </c>
    </row>
    <row r="11799" spans="13:13" x14ac:dyDescent="0.25">
      <c r="M11799" s="34">
        <f t="shared" si="360"/>
        <v>0</v>
      </c>
    </row>
    <row r="11800" spans="13:13" x14ac:dyDescent="0.25">
      <c r="M11800" s="34">
        <f t="shared" si="360"/>
        <v>0</v>
      </c>
    </row>
    <row r="11801" spans="13:13" x14ac:dyDescent="0.25">
      <c r="M11801" s="34">
        <f t="shared" si="360"/>
        <v>0</v>
      </c>
    </row>
    <row r="11802" spans="13:13" x14ac:dyDescent="0.25">
      <c r="M11802" s="34">
        <f t="shared" si="360"/>
        <v>0</v>
      </c>
    </row>
    <row r="11803" spans="13:13" x14ac:dyDescent="0.25">
      <c r="M11803" s="34">
        <f t="shared" si="360"/>
        <v>0</v>
      </c>
    </row>
    <row r="11804" spans="13:13" x14ac:dyDescent="0.25">
      <c r="M11804" s="34">
        <f t="shared" si="360"/>
        <v>0</v>
      </c>
    </row>
    <row r="11805" spans="13:13" x14ac:dyDescent="0.25">
      <c r="M11805" s="34">
        <f t="shared" si="360"/>
        <v>0</v>
      </c>
    </row>
    <row r="11806" spans="13:13" x14ac:dyDescent="0.25">
      <c r="M11806" s="34">
        <f t="shared" si="360"/>
        <v>0</v>
      </c>
    </row>
    <row r="11807" spans="13:13" x14ac:dyDescent="0.25">
      <c r="M11807" s="34">
        <f t="shared" si="360"/>
        <v>0</v>
      </c>
    </row>
    <row r="11808" spans="13:13" x14ac:dyDescent="0.25">
      <c r="M11808" s="34">
        <f t="shared" si="360"/>
        <v>0</v>
      </c>
    </row>
    <row r="11809" spans="13:13" x14ac:dyDescent="0.25">
      <c r="M11809" s="34">
        <f t="shared" si="360"/>
        <v>0</v>
      </c>
    </row>
    <row r="11810" spans="13:13" x14ac:dyDescent="0.25">
      <c r="M11810" s="34">
        <f t="shared" si="360"/>
        <v>0</v>
      </c>
    </row>
    <row r="11811" spans="13:13" x14ac:dyDescent="0.25">
      <c r="M11811" s="34">
        <f t="shared" si="360"/>
        <v>0</v>
      </c>
    </row>
    <row r="11812" spans="13:13" x14ac:dyDescent="0.25">
      <c r="M11812" s="34">
        <f t="shared" si="360"/>
        <v>0</v>
      </c>
    </row>
    <row r="11813" spans="13:13" x14ac:dyDescent="0.25">
      <c r="M11813" s="34">
        <f t="shared" si="360"/>
        <v>0</v>
      </c>
    </row>
    <row r="11814" spans="13:13" x14ac:dyDescent="0.25">
      <c r="M11814" s="34">
        <f t="shared" si="360"/>
        <v>0</v>
      </c>
    </row>
    <row r="11815" spans="13:13" x14ac:dyDescent="0.25">
      <c r="M11815" s="34">
        <f t="shared" si="360"/>
        <v>0</v>
      </c>
    </row>
    <row r="11816" spans="13:13" x14ac:dyDescent="0.25">
      <c r="M11816" s="34">
        <f t="shared" si="360"/>
        <v>0</v>
      </c>
    </row>
    <row r="11817" spans="13:13" x14ac:dyDescent="0.25">
      <c r="M11817" s="34">
        <f t="shared" si="360"/>
        <v>0</v>
      </c>
    </row>
    <row r="11818" spans="13:13" x14ac:dyDescent="0.25">
      <c r="M11818" s="34">
        <f t="shared" si="360"/>
        <v>0</v>
      </c>
    </row>
    <row r="11819" spans="13:13" x14ac:dyDescent="0.25">
      <c r="M11819" s="34">
        <f t="shared" si="360"/>
        <v>0</v>
      </c>
    </row>
    <row r="11820" spans="13:13" x14ac:dyDescent="0.25">
      <c r="M11820" s="34">
        <f t="shared" si="360"/>
        <v>0</v>
      </c>
    </row>
    <row r="11821" spans="13:13" x14ac:dyDescent="0.25">
      <c r="M11821" s="34">
        <f t="shared" si="360"/>
        <v>0</v>
      </c>
    </row>
    <row r="11822" spans="13:13" x14ac:dyDescent="0.25">
      <c r="M11822" s="34">
        <f t="shared" si="360"/>
        <v>0</v>
      </c>
    </row>
    <row r="11823" spans="13:13" x14ac:dyDescent="0.25">
      <c r="M11823" s="34">
        <f t="shared" si="360"/>
        <v>0</v>
      </c>
    </row>
    <row r="11824" spans="13:13" x14ac:dyDescent="0.25">
      <c r="M11824" s="34">
        <f t="shared" si="360"/>
        <v>0</v>
      </c>
    </row>
    <row r="11825" spans="13:13" x14ac:dyDescent="0.25">
      <c r="M11825" s="34">
        <f t="shared" si="360"/>
        <v>0</v>
      </c>
    </row>
    <row r="11826" spans="13:13" x14ac:dyDescent="0.25">
      <c r="M11826" s="34">
        <f t="shared" si="360"/>
        <v>0</v>
      </c>
    </row>
    <row r="11827" spans="13:13" x14ac:dyDescent="0.25">
      <c r="M11827" s="34">
        <f t="shared" si="360"/>
        <v>0</v>
      </c>
    </row>
    <row r="11828" spans="13:13" x14ac:dyDescent="0.25">
      <c r="M11828" s="34">
        <f t="shared" si="360"/>
        <v>0</v>
      </c>
    </row>
    <row r="11829" spans="13:13" x14ac:dyDescent="0.25">
      <c r="M11829" s="34">
        <f t="shared" si="360"/>
        <v>0</v>
      </c>
    </row>
    <row r="11830" spans="13:13" x14ac:dyDescent="0.25">
      <c r="M11830" s="34">
        <f t="shared" si="360"/>
        <v>0</v>
      </c>
    </row>
    <row r="11831" spans="13:13" x14ac:dyDescent="0.25">
      <c r="M11831" s="34">
        <f t="shared" si="360"/>
        <v>0</v>
      </c>
    </row>
    <row r="11832" spans="13:13" x14ac:dyDescent="0.25">
      <c r="M11832" s="34">
        <f t="shared" si="360"/>
        <v>0</v>
      </c>
    </row>
    <row r="11833" spans="13:13" x14ac:dyDescent="0.25">
      <c r="M11833" s="34">
        <f t="shared" si="360"/>
        <v>0</v>
      </c>
    </row>
    <row r="11834" spans="13:13" x14ac:dyDescent="0.25">
      <c r="M11834" s="34">
        <f t="shared" si="360"/>
        <v>0</v>
      </c>
    </row>
    <row r="11835" spans="13:13" x14ac:dyDescent="0.25">
      <c r="M11835" s="34">
        <f t="shared" si="360"/>
        <v>0</v>
      </c>
    </row>
    <row r="11836" spans="13:13" x14ac:dyDescent="0.25">
      <c r="M11836" s="34">
        <f t="shared" si="360"/>
        <v>0</v>
      </c>
    </row>
    <row r="11837" spans="13:13" x14ac:dyDescent="0.25">
      <c r="M11837" s="34">
        <f t="shared" si="360"/>
        <v>0</v>
      </c>
    </row>
    <row r="11838" spans="13:13" x14ac:dyDescent="0.25">
      <c r="M11838" s="34">
        <f t="shared" si="360"/>
        <v>0</v>
      </c>
    </row>
    <row r="11839" spans="13:13" x14ac:dyDescent="0.25">
      <c r="M11839" s="34">
        <f t="shared" si="360"/>
        <v>0</v>
      </c>
    </row>
    <row r="11840" spans="13:13" x14ac:dyDescent="0.25">
      <c r="M11840" s="34">
        <f t="shared" si="360"/>
        <v>0</v>
      </c>
    </row>
    <row r="11841" spans="13:13" x14ac:dyDescent="0.25">
      <c r="M11841" s="34">
        <f t="shared" si="360"/>
        <v>0</v>
      </c>
    </row>
    <row r="11842" spans="13:13" x14ac:dyDescent="0.25">
      <c r="M11842" s="34">
        <f t="shared" si="360"/>
        <v>0</v>
      </c>
    </row>
    <row r="11843" spans="13:13" x14ac:dyDescent="0.25">
      <c r="M11843" s="34">
        <f t="shared" ref="M11843:M11906" si="361">IF(AND(E11843="Chèque",G11843="RECETTE"),F11843,0)</f>
        <v>0</v>
      </c>
    </row>
    <row r="11844" spans="13:13" x14ac:dyDescent="0.25">
      <c r="M11844" s="34">
        <f t="shared" si="361"/>
        <v>0</v>
      </c>
    </row>
    <row r="11845" spans="13:13" x14ac:dyDescent="0.25">
      <c r="M11845" s="34">
        <f t="shared" si="361"/>
        <v>0</v>
      </c>
    </row>
    <row r="11846" spans="13:13" x14ac:dyDescent="0.25">
      <c r="M11846" s="34">
        <f t="shared" si="361"/>
        <v>0</v>
      </c>
    </row>
    <row r="11847" spans="13:13" x14ac:dyDescent="0.25">
      <c r="M11847" s="34">
        <f t="shared" si="361"/>
        <v>0</v>
      </c>
    </row>
    <row r="11848" spans="13:13" x14ac:dyDescent="0.25">
      <c r="M11848" s="34">
        <f t="shared" si="361"/>
        <v>0</v>
      </c>
    </row>
    <row r="11849" spans="13:13" x14ac:dyDescent="0.25">
      <c r="M11849" s="34">
        <f t="shared" si="361"/>
        <v>0</v>
      </c>
    </row>
    <row r="11850" spans="13:13" x14ac:dyDescent="0.25">
      <c r="M11850" s="34">
        <f t="shared" si="361"/>
        <v>0</v>
      </c>
    </row>
    <row r="11851" spans="13:13" x14ac:dyDescent="0.25">
      <c r="M11851" s="34">
        <f t="shared" si="361"/>
        <v>0</v>
      </c>
    </row>
    <row r="11852" spans="13:13" x14ac:dyDescent="0.25">
      <c r="M11852" s="34">
        <f t="shared" si="361"/>
        <v>0</v>
      </c>
    </row>
    <row r="11853" spans="13:13" x14ac:dyDescent="0.25">
      <c r="M11853" s="34">
        <f t="shared" si="361"/>
        <v>0</v>
      </c>
    </row>
    <row r="11854" spans="13:13" x14ac:dyDescent="0.25">
      <c r="M11854" s="34">
        <f t="shared" si="361"/>
        <v>0</v>
      </c>
    </row>
    <row r="11855" spans="13:13" x14ac:dyDescent="0.25">
      <c r="M11855" s="34">
        <f t="shared" si="361"/>
        <v>0</v>
      </c>
    </row>
    <row r="11856" spans="13:13" x14ac:dyDescent="0.25">
      <c r="M11856" s="34">
        <f t="shared" si="361"/>
        <v>0</v>
      </c>
    </row>
    <row r="11857" spans="13:13" x14ac:dyDescent="0.25">
      <c r="M11857" s="34">
        <f t="shared" si="361"/>
        <v>0</v>
      </c>
    </row>
    <row r="11858" spans="13:13" x14ac:dyDescent="0.25">
      <c r="M11858" s="34">
        <f t="shared" si="361"/>
        <v>0</v>
      </c>
    </row>
    <row r="11859" spans="13:13" x14ac:dyDescent="0.25">
      <c r="M11859" s="34">
        <f t="shared" si="361"/>
        <v>0</v>
      </c>
    </row>
    <row r="11860" spans="13:13" x14ac:dyDescent="0.25">
      <c r="M11860" s="34">
        <f t="shared" si="361"/>
        <v>0</v>
      </c>
    </row>
    <row r="11861" spans="13:13" x14ac:dyDescent="0.25">
      <c r="M11861" s="34">
        <f t="shared" si="361"/>
        <v>0</v>
      </c>
    </row>
    <row r="11862" spans="13:13" x14ac:dyDescent="0.25">
      <c r="M11862" s="34">
        <f t="shared" si="361"/>
        <v>0</v>
      </c>
    </row>
    <row r="11863" spans="13:13" x14ac:dyDescent="0.25">
      <c r="M11863" s="34">
        <f t="shared" si="361"/>
        <v>0</v>
      </c>
    </row>
    <row r="11864" spans="13:13" x14ac:dyDescent="0.25">
      <c r="M11864" s="34">
        <f t="shared" si="361"/>
        <v>0</v>
      </c>
    </row>
    <row r="11865" spans="13:13" x14ac:dyDescent="0.25">
      <c r="M11865" s="34">
        <f t="shared" si="361"/>
        <v>0</v>
      </c>
    </row>
    <row r="11866" spans="13:13" x14ac:dyDescent="0.25">
      <c r="M11866" s="34">
        <f t="shared" si="361"/>
        <v>0</v>
      </c>
    </row>
    <row r="11867" spans="13:13" x14ac:dyDescent="0.25">
      <c r="M11867" s="34">
        <f t="shared" si="361"/>
        <v>0</v>
      </c>
    </row>
    <row r="11868" spans="13:13" x14ac:dyDescent="0.25">
      <c r="M11868" s="34">
        <f t="shared" si="361"/>
        <v>0</v>
      </c>
    </row>
    <row r="11869" spans="13:13" x14ac:dyDescent="0.25">
      <c r="M11869" s="34">
        <f t="shared" si="361"/>
        <v>0</v>
      </c>
    </row>
    <row r="11870" spans="13:13" x14ac:dyDescent="0.25">
      <c r="M11870" s="34">
        <f t="shared" si="361"/>
        <v>0</v>
      </c>
    </row>
    <row r="11871" spans="13:13" x14ac:dyDescent="0.25">
      <c r="M11871" s="34">
        <f t="shared" si="361"/>
        <v>0</v>
      </c>
    </row>
    <row r="11872" spans="13:13" x14ac:dyDescent="0.25">
      <c r="M11872" s="34">
        <f t="shared" si="361"/>
        <v>0</v>
      </c>
    </row>
    <row r="11873" spans="13:13" x14ac:dyDescent="0.25">
      <c r="M11873" s="34">
        <f t="shared" si="361"/>
        <v>0</v>
      </c>
    </row>
    <row r="11874" spans="13:13" x14ac:dyDescent="0.25">
      <c r="M11874" s="34">
        <f t="shared" si="361"/>
        <v>0</v>
      </c>
    </row>
    <row r="11875" spans="13:13" x14ac:dyDescent="0.25">
      <c r="M11875" s="34">
        <f t="shared" si="361"/>
        <v>0</v>
      </c>
    </row>
    <row r="11876" spans="13:13" x14ac:dyDescent="0.25">
      <c r="M11876" s="34">
        <f t="shared" si="361"/>
        <v>0</v>
      </c>
    </row>
    <row r="11877" spans="13:13" x14ac:dyDescent="0.25">
      <c r="M11877" s="34">
        <f t="shared" si="361"/>
        <v>0</v>
      </c>
    </row>
    <row r="11878" spans="13:13" x14ac:dyDescent="0.25">
      <c r="M11878" s="34">
        <f t="shared" si="361"/>
        <v>0</v>
      </c>
    </row>
    <row r="11879" spans="13:13" x14ac:dyDescent="0.25">
      <c r="M11879" s="34">
        <f t="shared" si="361"/>
        <v>0</v>
      </c>
    </row>
    <row r="11880" spans="13:13" x14ac:dyDescent="0.25">
      <c r="M11880" s="34">
        <f t="shared" si="361"/>
        <v>0</v>
      </c>
    </row>
    <row r="11881" spans="13:13" x14ac:dyDescent="0.25">
      <c r="M11881" s="34">
        <f t="shared" si="361"/>
        <v>0</v>
      </c>
    </row>
    <row r="11882" spans="13:13" x14ac:dyDescent="0.25">
      <c r="M11882" s="34">
        <f t="shared" si="361"/>
        <v>0</v>
      </c>
    </row>
    <row r="11883" spans="13:13" x14ac:dyDescent="0.25">
      <c r="M11883" s="34">
        <f t="shared" si="361"/>
        <v>0</v>
      </c>
    </row>
    <row r="11884" spans="13:13" x14ac:dyDescent="0.25">
      <c r="M11884" s="34">
        <f t="shared" si="361"/>
        <v>0</v>
      </c>
    </row>
    <row r="11885" spans="13:13" x14ac:dyDescent="0.25">
      <c r="M11885" s="34">
        <f t="shared" si="361"/>
        <v>0</v>
      </c>
    </row>
    <row r="11886" spans="13:13" x14ac:dyDescent="0.25">
      <c r="M11886" s="34">
        <f t="shared" si="361"/>
        <v>0</v>
      </c>
    </row>
    <row r="11887" spans="13:13" x14ac:dyDescent="0.25">
      <c r="M11887" s="34">
        <f t="shared" si="361"/>
        <v>0</v>
      </c>
    </row>
    <row r="11888" spans="13:13" x14ac:dyDescent="0.25">
      <c r="M11888" s="34">
        <f t="shared" si="361"/>
        <v>0</v>
      </c>
    </row>
    <row r="11889" spans="13:13" x14ac:dyDescent="0.25">
      <c r="M11889" s="34">
        <f t="shared" si="361"/>
        <v>0</v>
      </c>
    </row>
    <row r="11890" spans="13:13" x14ac:dyDescent="0.25">
      <c r="M11890" s="34">
        <f t="shared" si="361"/>
        <v>0</v>
      </c>
    </row>
    <row r="11891" spans="13:13" x14ac:dyDescent="0.25">
      <c r="M11891" s="34">
        <f t="shared" si="361"/>
        <v>0</v>
      </c>
    </row>
    <row r="11892" spans="13:13" x14ac:dyDescent="0.25">
      <c r="M11892" s="34">
        <f t="shared" si="361"/>
        <v>0</v>
      </c>
    </row>
    <row r="11893" spans="13:13" x14ac:dyDescent="0.25">
      <c r="M11893" s="34">
        <f t="shared" si="361"/>
        <v>0</v>
      </c>
    </row>
    <row r="11894" spans="13:13" x14ac:dyDescent="0.25">
      <c r="M11894" s="34">
        <f t="shared" si="361"/>
        <v>0</v>
      </c>
    </row>
    <row r="11895" spans="13:13" x14ac:dyDescent="0.25">
      <c r="M11895" s="34">
        <f t="shared" si="361"/>
        <v>0</v>
      </c>
    </row>
    <row r="11896" spans="13:13" x14ac:dyDescent="0.25">
      <c r="M11896" s="34">
        <f t="shared" si="361"/>
        <v>0</v>
      </c>
    </row>
    <row r="11897" spans="13:13" x14ac:dyDescent="0.25">
      <c r="M11897" s="34">
        <f t="shared" si="361"/>
        <v>0</v>
      </c>
    </row>
    <row r="11898" spans="13:13" x14ac:dyDescent="0.25">
      <c r="M11898" s="34">
        <f t="shared" si="361"/>
        <v>0</v>
      </c>
    </row>
    <row r="11899" spans="13:13" x14ac:dyDescent="0.25">
      <c r="M11899" s="34">
        <f t="shared" si="361"/>
        <v>0</v>
      </c>
    </row>
    <row r="11900" spans="13:13" x14ac:dyDescent="0.25">
      <c r="M11900" s="34">
        <f t="shared" si="361"/>
        <v>0</v>
      </c>
    </row>
    <row r="11901" spans="13:13" x14ac:dyDescent="0.25">
      <c r="M11901" s="34">
        <f t="shared" si="361"/>
        <v>0</v>
      </c>
    </row>
    <row r="11902" spans="13:13" x14ac:dyDescent="0.25">
      <c r="M11902" s="34">
        <f t="shared" si="361"/>
        <v>0</v>
      </c>
    </row>
    <row r="11903" spans="13:13" x14ac:dyDescent="0.25">
      <c r="M11903" s="34">
        <f t="shared" si="361"/>
        <v>0</v>
      </c>
    </row>
    <row r="11904" spans="13:13" x14ac:dyDescent="0.25">
      <c r="M11904" s="34">
        <f t="shared" si="361"/>
        <v>0</v>
      </c>
    </row>
    <row r="11905" spans="13:13" x14ac:dyDescent="0.25">
      <c r="M11905" s="34">
        <f t="shared" si="361"/>
        <v>0</v>
      </c>
    </row>
    <row r="11906" spans="13:13" x14ac:dyDescent="0.25">
      <c r="M11906" s="34">
        <f t="shared" si="361"/>
        <v>0</v>
      </c>
    </row>
    <row r="11907" spans="13:13" x14ac:dyDescent="0.25">
      <c r="M11907" s="34">
        <f t="shared" ref="M11907:M11970" si="362">IF(AND(E11907="Chèque",G11907="RECETTE"),F11907,0)</f>
        <v>0</v>
      </c>
    </row>
    <row r="11908" spans="13:13" x14ac:dyDescent="0.25">
      <c r="M11908" s="34">
        <f t="shared" si="362"/>
        <v>0</v>
      </c>
    </row>
    <row r="11909" spans="13:13" x14ac:dyDescent="0.25">
      <c r="M11909" s="34">
        <f t="shared" si="362"/>
        <v>0</v>
      </c>
    </row>
    <row r="11910" spans="13:13" x14ac:dyDescent="0.25">
      <c r="M11910" s="34">
        <f t="shared" si="362"/>
        <v>0</v>
      </c>
    </row>
    <row r="11911" spans="13:13" x14ac:dyDescent="0.25">
      <c r="M11911" s="34">
        <f t="shared" si="362"/>
        <v>0</v>
      </c>
    </row>
    <row r="11912" spans="13:13" x14ac:dyDescent="0.25">
      <c r="M11912" s="34">
        <f t="shared" si="362"/>
        <v>0</v>
      </c>
    </row>
    <row r="11913" spans="13:13" x14ac:dyDescent="0.25">
      <c r="M11913" s="34">
        <f t="shared" si="362"/>
        <v>0</v>
      </c>
    </row>
    <row r="11914" spans="13:13" x14ac:dyDescent="0.25">
      <c r="M11914" s="34">
        <f t="shared" si="362"/>
        <v>0</v>
      </c>
    </row>
    <row r="11915" spans="13:13" x14ac:dyDescent="0.25">
      <c r="M11915" s="34">
        <f t="shared" si="362"/>
        <v>0</v>
      </c>
    </row>
    <row r="11916" spans="13:13" x14ac:dyDescent="0.25">
      <c r="M11916" s="34">
        <f t="shared" si="362"/>
        <v>0</v>
      </c>
    </row>
    <row r="11917" spans="13:13" x14ac:dyDescent="0.25">
      <c r="M11917" s="34">
        <f t="shared" si="362"/>
        <v>0</v>
      </c>
    </row>
    <row r="11918" spans="13:13" x14ac:dyDescent="0.25">
      <c r="M11918" s="34">
        <f t="shared" si="362"/>
        <v>0</v>
      </c>
    </row>
    <row r="11919" spans="13:13" x14ac:dyDescent="0.25">
      <c r="M11919" s="34">
        <f t="shared" si="362"/>
        <v>0</v>
      </c>
    </row>
    <row r="11920" spans="13:13" x14ac:dyDescent="0.25">
      <c r="M11920" s="34">
        <f t="shared" si="362"/>
        <v>0</v>
      </c>
    </row>
    <row r="11921" spans="13:13" x14ac:dyDescent="0.25">
      <c r="M11921" s="34">
        <f t="shared" si="362"/>
        <v>0</v>
      </c>
    </row>
    <row r="11922" spans="13:13" x14ac:dyDescent="0.25">
      <c r="M11922" s="34">
        <f t="shared" si="362"/>
        <v>0</v>
      </c>
    </row>
    <row r="11923" spans="13:13" x14ac:dyDescent="0.25">
      <c r="M11923" s="34">
        <f t="shared" si="362"/>
        <v>0</v>
      </c>
    </row>
    <row r="11924" spans="13:13" x14ac:dyDescent="0.25">
      <c r="M11924" s="34">
        <f t="shared" si="362"/>
        <v>0</v>
      </c>
    </row>
    <row r="11925" spans="13:13" x14ac:dyDescent="0.25">
      <c r="M11925" s="34">
        <f t="shared" si="362"/>
        <v>0</v>
      </c>
    </row>
    <row r="11926" spans="13:13" x14ac:dyDescent="0.25">
      <c r="M11926" s="34">
        <f t="shared" si="362"/>
        <v>0</v>
      </c>
    </row>
    <row r="11927" spans="13:13" x14ac:dyDescent="0.25">
      <c r="M11927" s="34">
        <f t="shared" si="362"/>
        <v>0</v>
      </c>
    </row>
    <row r="11928" spans="13:13" x14ac:dyDescent="0.25">
      <c r="M11928" s="34">
        <f t="shared" si="362"/>
        <v>0</v>
      </c>
    </row>
    <row r="11929" spans="13:13" x14ac:dyDescent="0.25">
      <c r="M11929" s="34">
        <f t="shared" si="362"/>
        <v>0</v>
      </c>
    </row>
    <row r="11930" spans="13:13" x14ac:dyDescent="0.25">
      <c r="M11930" s="34">
        <f t="shared" si="362"/>
        <v>0</v>
      </c>
    </row>
    <row r="11931" spans="13:13" x14ac:dyDescent="0.25">
      <c r="M11931" s="34">
        <f t="shared" si="362"/>
        <v>0</v>
      </c>
    </row>
    <row r="11932" spans="13:13" x14ac:dyDescent="0.25">
      <c r="M11932" s="34">
        <f t="shared" si="362"/>
        <v>0</v>
      </c>
    </row>
    <row r="11933" spans="13:13" x14ac:dyDescent="0.25">
      <c r="M11933" s="34">
        <f t="shared" si="362"/>
        <v>0</v>
      </c>
    </row>
    <row r="11934" spans="13:13" x14ac:dyDescent="0.25">
      <c r="M11934" s="34">
        <f t="shared" si="362"/>
        <v>0</v>
      </c>
    </row>
    <row r="11935" spans="13:13" x14ac:dyDescent="0.25">
      <c r="M11935" s="34">
        <f t="shared" si="362"/>
        <v>0</v>
      </c>
    </row>
    <row r="11936" spans="13:13" x14ac:dyDescent="0.25">
      <c r="M11936" s="34">
        <f t="shared" si="362"/>
        <v>0</v>
      </c>
    </row>
    <row r="11937" spans="13:13" x14ac:dyDescent="0.25">
      <c r="M11937" s="34">
        <f t="shared" si="362"/>
        <v>0</v>
      </c>
    </row>
    <row r="11938" spans="13:13" x14ac:dyDescent="0.25">
      <c r="M11938" s="34">
        <f t="shared" si="362"/>
        <v>0</v>
      </c>
    </row>
    <row r="11939" spans="13:13" x14ac:dyDescent="0.25">
      <c r="M11939" s="34">
        <f t="shared" si="362"/>
        <v>0</v>
      </c>
    </row>
    <row r="11940" spans="13:13" x14ac:dyDescent="0.25">
      <c r="M11940" s="34">
        <f t="shared" si="362"/>
        <v>0</v>
      </c>
    </row>
    <row r="11941" spans="13:13" x14ac:dyDescent="0.25">
      <c r="M11941" s="34">
        <f t="shared" si="362"/>
        <v>0</v>
      </c>
    </row>
    <row r="11942" spans="13:13" x14ac:dyDescent="0.25">
      <c r="M11942" s="34">
        <f t="shared" si="362"/>
        <v>0</v>
      </c>
    </row>
    <row r="11943" spans="13:13" x14ac:dyDescent="0.25">
      <c r="M11943" s="34">
        <f t="shared" si="362"/>
        <v>0</v>
      </c>
    </row>
    <row r="11944" spans="13:13" x14ac:dyDescent="0.25">
      <c r="M11944" s="34">
        <f t="shared" si="362"/>
        <v>0</v>
      </c>
    </row>
    <row r="11945" spans="13:13" x14ac:dyDescent="0.25">
      <c r="M11945" s="34">
        <f t="shared" si="362"/>
        <v>0</v>
      </c>
    </row>
    <row r="11946" spans="13:13" x14ac:dyDescent="0.25">
      <c r="M11946" s="34">
        <f t="shared" si="362"/>
        <v>0</v>
      </c>
    </row>
    <row r="11947" spans="13:13" x14ac:dyDescent="0.25">
      <c r="M11947" s="34">
        <f t="shared" si="362"/>
        <v>0</v>
      </c>
    </row>
    <row r="11948" spans="13:13" x14ac:dyDescent="0.25">
      <c r="M11948" s="34">
        <f t="shared" si="362"/>
        <v>0</v>
      </c>
    </row>
    <row r="11949" spans="13:13" x14ac:dyDescent="0.25">
      <c r="M11949" s="34">
        <f t="shared" si="362"/>
        <v>0</v>
      </c>
    </row>
    <row r="11950" spans="13:13" x14ac:dyDescent="0.25">
      <c r="M11950" s="34">
        <f t="shared" si="362"/>
        <v>0</v>
      </c>
    </row>
    <row r="11951" spans="13:13" x14ac:dyDescent="0.25">
      <c r="M11951" s="34">
        <f t="shared" si="362"/>
        <v>0</v>
      </c>
    </row>
    <row r="11952" spans="13:13" x14ac:dyDescent="0.25">
      <c r="M11952" s="34">
        <f t="shared" si="362"/>
        <v>0</v>
      </c>
    </row>
    <row r="11953" spans="13:13" x14ac:dyDescent="0.25">
      <c r="M11953" s="34">
        <f t="shared" si="362"/>
        <v>0</v>
      </c>
    </row>
    <row r="11954" spans="13:13" x14ac:dyDescent="0.25">
      <c r="M11954" s="34">
        <f t="shared" si="362"/>
        <v>0</v>
      </c>
    </row>
    <row r="11955" spans="13:13" x14ac:dyDescent="0.25">
      <c r="M11955" s="34">
        <f t="shared" si="362"/>
        <v>0</v>
      </c>
    </row>
    <row r="11956" spans="13:13" x14ac:dyDescent="0.25">
      <c r="M11956" s="34">
        <f t="shared" si="362"/>
        <v>0</v>
      </c>
    </row>
    <row r="11957" spans="13:13" x14ac:dyDescent="0.25">
      <c r="M11957" s="34">
        <f t="shared" si="362"/>
        <v>0</v>
      </c>
    </row>
    <row r="11958" spans="13:13" x14ac:dyDescent="0.25">
      <c r="M11958" s="34">
        <f t="shared" si="362"/>
        <v>0</v>
      </c>
    </row>
    <row r="11959" spans="13:13" x14ac:dyDescent="0.25">
      <c r="M11959" s="34">
        <f t="shared" si="362"/>
        <v>0</v>
      </c>
    </row>
    <row r="11960" spans="13:13" x14ac:dyDescent="0.25">
      <c r="M11960" s="34">
        <f t="shared" si="362"/>
        <v>0</v>
      </c>
    </row>
    <row r="11961" spans="13:13" x14ac:dyDescent="0.25">
      <c r="M11961" s="34">
        <f t="shared" si="362"/>
        <v>0</v>
      </c>
    </row>
    <row r="11962" spans="13:13" x14ac:dyDescent="0.25">
      <c r="M11962" s="34">
        <f t="shared" si="362"/>
        <v>0</v>
      </c>
    </row>
    <row r="11963" spans="13:13" x14ac:dyDescent="0.25">
      <c r="M11963" s="34">
        <f t="shared" si="362"/>
        <v>0</v>
      </c>
    </row>
    <row r="11964" spans="13:13" x14ac:dyDescent="0.25">
      <c r="M11964" s="34">
        <f t="shared" si="362"/>
        <v>0</v>
      </c>
    </row>
    <row r="11965" spans="13:13" x14ac:dyDescent="0.25">
      <c r="M11965" s="34">
        <f t="shared" si="362"/>
        <v>0</v>
      </c>
    </row>
    <row r="11966" spans="13:13" x14ac:dyDescent="0.25">
      <c r="M11966" s="34">
        <f t="shared" si="362"/>
        <v>0</v>
      </c>
    </row>
    <row r="11967" spans="13:13" x14ac:dyDescent="0.25">
      <c r="M11967" s="34">
        <f t="shared" si="362"/>
        <v>0</v>
      </c>
    </row>
    <row r="11968" spans="13:13" x14ac:dyDescent="0.25">
      <c r="M11968" s="34">
        <f t="shared" si="362"/>
        <v>0</v>
      </c>
    </row>
    <row r="11969" spans="13:13" x14ac:dyDescent="0.25">
      <c r="M11969" s="34">
        <f t="shared" si="362"/>
        <v>0</v>
      </c>
    </row>
    <row r="11970" spans="13:13" x14ac:dyDescent="0.25">
      <c r="M11970" s="34">
        <f t="shared" si="362"/>
        <v>0</v>
      </c>
    </row>
    <row r="11971" spans="13:13" x14ac:dyDescent="0.25">
      <c r="M11971" s="34">
        <f t="shared" ref="M11971:M12034" si="363">IF(AND(E11971="Chèque",G11971="RECETTE"),F11971,0)</f>
        <v>0</v>
      </c>
    </row>
    <row r="11972" spans="13:13" x14ac:dyDescent="0.25">
      <c r="M11972" s="34">
        <f t="shared" si="363"/>
        <v>0</v>
      </c>
    </row>
    <row r="11973" spans="13:13" x14ac:dyDescent="0.25">
      <c r="M11973" s="34">
        <f t="shared" si="363"/>
        <v>0</v>
      </c>
    </row>
    <row r="11974" spans="13:13" x14ac:dyDescent="0.25">
      <c r="M11974" s="34">
        <f t="shared" si="363"/>
        <v>0</v>
      </c>
    </row>
    <row r="11975" spans="13:13" x14ac:dyDescent="0.25">
      <c r="M11975" s="34">
        <f t="shared" si="363"/>
        <v>0</v>
      </c>
    </row>
    <row r="11976" spans="13:13" x14ac:dyDescent="0.25">
      <c r="M11976" s="34">
        <f t="shared" si="363"/>
        <v>0</v>
      </c>
    </row>
    <row r="11977" spans="13:13" x14ac:dyDescent="0.25">
      <c r="M11977" s="34">
        <f t="shared" si="363"/>
        <v>0</v>
      </c>
    </row>
    <row r="11978" spans="13:13" x14ac:dyDescent="0.25">
      <c r="M11978" s="34">
        <f t="shared" si="363"/>
        <v>0</v>
      </c>
    </row>
    <row r="11979" spans="13:13" x14ac:dyDescent="0.25">
      <c r="M11979" s="34">
        <f t="shared" si="363"/>
        <v>0</v>
      </c>
    </row>
    <row r="11980" spans="13:13" x14ac:dyDescent="0.25">
      <c r="M11980" s="34">
        <f t="shared" si="363"/>
        <v>0</v>
      </c>
    </row>
    <row r="11981" spans="13:13" x14ac:dyDescent="0.25">
      <c r="M11981" s="34">
        <f t="shared" si="363"/>
        <v>0</v>
      </c>
    </row>
    <row r="11982" spans="13:13" x14ac:dyDescent="0.25">
      <c r="M11982" s="34">
        <f t="shared" si="363"/>
        <v>0</v>
      </c>
    </row>
    <row r="11983" spans="13:13" x14ac:dyDescent="0.25">
      <c r="M11983" s="34">
        <f t="shared" si="363"/>
        <v>0</v>
      </c>
    </row>
    <row r="11984" spans="13:13" x14ac:dyDescent="0.25">
      <c r="M11984" s="34">
        <f t="shared" si="363"/>
        <v>0</v>
      </c>
    </row>
    <row r="11985" spans="13:13" x14ac:dyDescent="0.25">
      <c r="M11985" s="34">
        <f t="shared" si="363"/>
        <v>0</v>
      </c>
    </row>
    <row r="11986" spans="13:13" x14ac:dyDescent="0.25">
      <c r="M11986" s="34">
        <f t="shared" si="363"/>
        <v>0</v>
      </c>
    </row>
    <row r="11987" spans="13:13" x14ac:dyDescent="0.25">
      <c r="M11987" s="34">
        <f t="shared" si="363"/>
        <v>0</v>
      </c>
    </row>
    <row r="11988" spans="13:13" x14ac:dyDescent="0.25">
      <c r="M11988" s="34">
        <f t="shared" si="363"/>
        <v>0</v>
      </c>
    </row>
    <row r="11989" spans="13:13" x14ac:dyDescent="0.25">
      <c r="M11989" s="34">
        <f t="shared" si="363"/>
        <v>0</v>
      </c>
    </row>
    <row r="11990" spans="13:13" x14ac:dyDescent="0.25">
      <c r="M11990" s="34">
        <f t="shared" si="363"/>
        <v>0</v>
      </c>
    </row>
    <row r="11991" spans="13:13" x14ac:dyDescent="0.25">
      <c r="M11991" s="34">
        <f t="shared" si="363"/>
        <v>0</v>
      </c>
    </row>
    <row r="11992" spans="13:13" x14ac:dyDescent="0.25">
      <c r="M11992" s="34">
        <f t="shared" si="363"/>
        <v>0</v>
      </c>
    </row>
    <row r="11993" spans="13:13" x14ac:dyDescent="0.25">
      <c r="M11993" s="34">
        <f t="shared" si="363"/>
        <v>0</v>
      </c>
    </row>
    <row r="11994" spans="13:13" x14ac:dyDescent="0.25">
      <c r="M11994" s="34">
        <f t="shared" si="363"/>
        <v>0</v>
      </c>
    </row>
    <row r="11995" spans="13:13" x14ac:dyDescent="0.25">
      <c r="M11995" s="34">
        <f t="shared" si="363"/>
        <v>0</v>
      </c>
    </row>
    <row r="11996" spans="13:13" x14ac:dyDescent="0.25">
      <c r="M11996" s="34">
        <f t="shared" si="363"/>
        <v>0</v>
      </c>
    </row>
    <row r="11997" spans="13:13" x14ac:dyDescent="0.25">
      <c r="M11997" s="34">
        <f t="shared" si="363"/>
        <v>0</v>
      </c>
    </row>
    <row r="11998" spans="13:13" x14ac:dyDescent="0.25">
      <c r="M11998" s="34">
        <f t="shared" si="363"/>
        <v>0</v>
      </c>
    </row>
    <row r="11999" spans="13:13" x14ac:dyDescent="0.25">
      <c r="M11999" s="34">
        <f t="shared" si="363"/>
        <v>0</v>
      </c>
    </row>
    <row r="12000" spans="13:13" x14ac:dyDescent="0.25">
      <c r="M12000" s="34">
        <f t="shared" si="363"/>
        <v>0</v>
      </c>
    </row>
    <row r="12001" spans="13:13" x14ac:dyDescent="0.25">
      <c r="M12001" s="34">
        <f t="shared" si="363"/>
        <v>0</v>
      </c>
    </row>
    <row r="12002" spans="13:13" x14ac:dyDescent="0.25">
      <c r="M12002" s="34">
        <f t="shared" si="363"/>
        <v>0</v>
      </c>
    </row>
    <row r="12003" spans="13:13" x14ac:dyDescent="0.25">
      <c r="M12003" s="34">
        <f t="shared" si="363"/>
        <v>0</v>
      </c>
    </row>
    <row r="12004" spans="13:13" x14ac:dyDescent="0.25">
      <c r="M12004" s="34">
        <f t="shared" si="363"/>
        <v>0</v>
      </c>
    </row>
    <row r="12005" spans="13:13" x14ac:dyDescent="0.25">
      <c r="M12005" s="34">
        <f t="shared" si="363"/>
        <v>0</v>
      </c>
    </row>
    <row r="12006" spans="13:13" x14ac:dyDescent="0.25">
      <c r="M12006" s="34">
        <f t="shared" si="363"/>
        <v>0</v>
      </c>
    </row>
    <row r="12007" spans="13:13" x14ac:dyDescent="0.25">
      <c r="M12007" s="34">
        <f t="shared" si="363"/>
        <v>0</v>
      </c>
    </row>
    <row r="12008" spans="13:13" x14ac:dyDescent="0.25">
      <c r="M12008" s="34">
        <f t="shared" si="363"/>
        <v>0</v>
      </c>
    </row>
    <row r="12009" spans="13:13" x14ac:dyDescent="0.25">
      <c r="M12009" s="34">
        <f t="shared" si="363"/>
        <v>0</v>
      </c>
    </row>
    <row r="12010" spans="13:13" x14ac:dyDescent="0.25">
      <c r="M12010" s="34">
        <f t="shared" si="363"/>
        <v>0</v>
      </c>
    </row>
    <row r="12011" spans="13:13" x14ac:dyDescent="0.25">
      <c r="M12011" s="34">
        <f t="shared" si="363"/>
        <v>0</v>
      </c>
    </row>
    <row r="12012" spans="13:13" x14ac:dyDescent="0.25">
      <c r="M12012" s="34">
        <f t="shared" si="363"/>
        <v>0</v>
      </c>
    </row>
    <row r="12013" spans="13:13" x14ac:dyDescent="0.25">
      <c r="M12013" s="34">
        <f t="shared" si="363"/>
        <v>0</v>
      </c>
    </row>
    <row r="12014" spans="13:13" x14ac:dyDescent="0.25">
      <c r="M12014" s="34">
        <f t="shared" si="363"/>
        <v>0</v>
      </c>
    </row>
    <row r="12015" spans="13:13" x14ac:dyDescent="0.25">
      <c r="M12015" s="34">
        <f t="shared" si="363"/>
        <v>0</v>
      </c>
    </row>
    <row r="12016" spans="13:13" x14ac:dyDescent="0.25">
      <c r="M12016" s="34">
        <f t="shared" si="363"/>
        <v>0</v>
      </c>
    </row>
    <row r="12017" spans="13:13" x14ac:dyDescent="0.25">
      <c r="M12017" s="34">
        <f t="shared" si="363"/>
        <v>0</v>
      </c>
    </row>
    <row r="12018" spans="13:13" x14ac:dyDescent="0.25">
      <c r="M12018" s="34">
        <f t="shared" si="363"/>
        <v>0</v>
      </c>
    </row>
    <row r="12019" spans="13:13" x14ac:dyDescent="0.25">
      <c r="M12019" s="34">
        <f t="shared" si="363"/>
        <v>0</v>
      </c>
    </row>
    <row r="12020" spans="13:13" x14ac:dyDescent="0.25">
      <c r="M12020" s="34">
        <f t="shared" si="363"/>
        <v>0</v>
      </c>
    </row>
    <row r="12021" spans="13:13" x14ac:dyDescent="0.25">
      <c r="M12021" s="34">
        <f t="shared" si="363"/>
        <v>0</v>
      </c>
    </row>
    <row r="12022" spans="13:13" x14ac:dyDescent="0.25">
      <c r="M12022" s="34">
        <f t="shared" si="363"/>
        <v>0</v>
      </c>
    </row>
    <row r="12023" spans="13:13" x14ac:dyDescent="0.25">
      <c r="M12023" s="34">
        <f t="shared" si="363"/>
        <v>0</v>
      </c>
    </row>
    <row r="12024" spans="13:13" x14ac:dyDescent="0.25">
      <c r="M12024" s="34">
        <f t="shared" si="363"/>
        <v>0</v>
      </c>
    </row>
    <row r="12025" spans="13:13" x14ac:dyDescent="0.25">
      <c r="M12025" s="34">
        <f t="shared" si="363"/>
        <v>0</v>
      </c>
    </row>
    <row r="12026" spans="13:13" x14ac:dyDescent="0.25">
      <c r="M12026" s="34">
        <f t="shared" si="363"/>
        <v>0</v>
      </c>
    </row>
    <row r="12027" spans="13:13" x14ac:dyDescent="0.25">
      <c r="M12027" s="34">
        <f t="shared" si="363"/>
        <v>0</v>
      </c>
    </row>
    <row r="12028" spans="13:13" x14ac:dyDescent="0.25">
      <c r="M12028" s="34">
        <f t="shared" si="363"/>
        <v>0</v>
      </c>
    </row>
    <row r="12029" spans="13:13" x14ac:dyDescent="0.25">
      <c r="M12029" s="34">
        <f t="shared" si="363"/>
        <v>0</v>
      </c>
    </row>
    <row r="12030" spans="13:13" x14ac:dyDescent="0.25">
      <c r="M12030" s="34">
        <f t="shared" si="363"/>
        <v>0</v>
      </c>
    </row>
    <row r="12031" spans="13:13" x14ac:dyDescent="0.25">
      <c r="M12031" s="34">
        <f t="shared" si="363"/>
        <v>0</v>
      </c>
    </row>
    <row r="12032" spans="13:13" x14ac:dyDescent="0.25">
      <c r="M12032" s="34">
        <f t="shared" si="363"/>
        <v>0</v>
      </c>
    </row>
    <row r="12033" spans="13:13" x14ac:dyDescent="0.25">
      <c r="M12033" s="34">
        <f t="shared" si="363"/>
        <v>0</v>
      </c>
    </row>
    <row r="12034" spans="13:13" x14ac:dyDescent="0.25">
      <c r="M12034" s="34">
        <f t="shared" si="363"/>
        <v>0</v>
      </c>
    </row>
    <row r="12035" spans="13:13" x14ac:dyDescent="0.25">
      <c r="M12035" s="34">
        <f t="shared" ref="M12035:M12098" si="364">IF(AND(E12035="Chèque",G12035="RECETTE"),F12035,0)</f>
        <v>0</v>
      </c>
    </row>
    <row r="12036" spans="13:13" x14ac:dyDescent="0.25">
      <c r="M12036" s="34">
        <f t="shared" si="364"/>
        <v>0</v>
      </c>
    </row>
    <row r="12037" spans="13:13" x14ac:dyDescent="0.25">
      <c r="M12037" s="34">
        <f t="shared" si="364"/>
        <v>0</v>
      </c>
    </row>
    <row r="12038" spans="13:13" x14ac:dyDescent="0.25">
      <c r="M12038" s="34">
        <f t="shared" si="364"/>
        <v>0</v>
      </c>
    </row>
    <row r="12039" spans="13:13" x14ac:dyDescent="0.25">
      <c r="M12039" s="34">
        <f t="shared" si="364"/>
        <v>0</v>
      </c>
    </row>
    <row r="12040" spans="13:13" x14ac:dyDescent="0.25">
      <c r="M12040" s="34">
        <f t="shared" si="364"/>
        <v>0</v>
      </c>
    </row>
    <row r="12041" spans="13:13" x14ac:dyDescent="0.25">
      <c r="M12041" s="34">
        <f t="shared" si="364"/>
        <v>0</v>
      </c>
    </row>
    <row r="12042" spans="13:13" x14ac:dyDescent="0.25">
      <c r="M12042" s="34">
        <f t="shared" si="364"/>
        <v>0</v>
      </c>
    </row>
    <row r="12043" spans="13:13" x14ac:dyDescent="0.25">
      <c r="M12043" s="34">
        <f t="shared" si="364"/>
        <v>0</v>
      </c>
    </row>
    <row r="12044" spans="13:13" x14ac:dyDescent="0.25">
      <c r="M12044" s="34">
        <f t="shared" si="364"/>
        <v>0</v>
      </c>
    </row>
    <row r="12045" spans="13:13" x14ac:dyDescent="0.25">
      <c r="M12045" s="34">
        <f t="shared" si="364"/>
        <v>0</v>
      </c>
    </row>
    <row r="12046" spans="13:13" x14ac:dyDescent="0.25">
      <c r="M12046" s="34">
        <f t="shared" si="364"/>
        <v>0</v>
      </c>
    </row>
    <row r="12047" spans="13:13" x14ac:dyDescent="0.25">
      <c r="M12047" s="34">
        <f t="shared" si="364"/>
        <v>0</v>
      </c>
    </row>
    <row r="12048" spans="13:13" x14ac:dyDescent="0.25">
      <c r="M12048" s="34">
        <f t="shared" si="364"/>
        <v>0</v>
      </c>
    </row>
    <row r="12049" spans="13:13" x14ac:dyDescent="0.25">
      <c r="M12049" s="34">
        <f t="shared" si="364"/>
        <v>0</v>
      </c>
    </row>
    <row r="12050" spans="13:13" x14ac:dyDescent="0.25">
      <c r="M12050" s="34">
        <f t="shared" si="364"/>
        <v>0</v>
      </c>
    </row>
    <row r="12051" spans="13:13" x14ac:dyDescent="0.25">
      <c r="M12051" s="34">
        <f t="shared" si="364"/>
        <v>0</v>
      </c>
    </row>
    <row r="12052" spans="13:13" x14ac:dyDescent="0.25">
      <c r="M12052" s="34">
        <f t="shared" si="364"/>
        <v>0</v>
      </c>
    </row>
    <row r="12053" spans="13:13" x14ac:dyDescent="0.25">
      <c r="M12053" s="34">
        <f t="shared" si="364"/>
        <v>0</v>
      </c>
    </row>
    <row r="12054" spans="13:13" x14ac:dyDescent="0.25">
      <c r="M12054" s="34">
        <f t="shared" si="364"/>
        <v>0</v>
      </c>
    </row>
    <row r="12055" spans="13:13" x14ac:dyDescent="0.25">
      <c r="M12055" s="34">
        <f t="shared" si="364"/>
        <v>0</v>
      </c>
    </row>
    <row r="12056" spans="13:13" x14ac:dyDescent="0.25">
      <c r="M12056" s="34">
        <f t="shared" si="364"/>
        <v>0</v>
      </c>
    </row>
    <row r="12057" spans="13:13" x14ac:dyDescent="0.25">
      <c r="M12057" s="34">
        <f t="shared" si="364"/>
        <v>0</v>
      </c>
    </row>
    <row r="12058" spans="13:13" x14ac:dyDescent="0.25">
      <c r="M12058" s="34">
        <f t="shared" si="364"/>
        <v>0</v>
      </c>
    </row>
    <row r="12059" spans="13:13" x14ac:dyDescent="0.25">
      <c r="M12059" s="34">
        <f t="shared" si="364"/>
        <v>0</v>
      </c>
    </row>
    <row r="12060" spans="13:13" x14ac:dyDescent="0.25">
      <c r="M12060" s="34">
        <f t="shared" si="364"/>
        <v>0</v>
      </c>
    </row>
    <row r="12061" spans="13:13" x14ac:dyDescent="0.25">
      <c r="M12061" s="34">
        <f t="shared" si="364"/>
        <v>0</v>
      </c>
    </row>
    <row r="12062" spans="13:13" x14ac:dyDescent="0.25">
      <c r="M12062" s="34">
        <f t="shared" si="364"/>
        <v>0</v>
      </c>
    </row>
    <row r="12063" spans="13:13" x14ac:dyDescent="0.25">
      <c r="M12063" s="34">
        <f t="shared" si="364"/>
        <v>0</v>
      </c>
    </row>
    <row r="12064" spans="13:13" x14ac:dyDescent="0.25">
      <c r="M12064" s="34">
        <f t="shared" si="364"/>
        <v>0</v>
      </c>
    </row>
    <row r="12065" spans="13:13" x14ac:dyDescent="0.25">
      <c r="M12065" s="34">
        <f t="shared" si="364"/>
        <v>0</v>
      </c>
    </row>
    <row r="12066" spans="13:13" x14ac:dyDescent="0.25">
      <c r="M12066" s="34">
        <f t="shared" si="364"/>
        <v>0</v>
      </c>
    </row>
    <row r="12067" spans="13:13" x14ac:dyDescent="0.25">
      <c r="M12067" s="34">
        <f t="shared" si="364"/>
        <v>0</v>
      </c>
    </row>
    <row r="12068" spans="13:13" x14ac:dyDescent="0.25">
      <c r="M12068" s="34">
        <f t="shared" si="364"/>
        <v>0</v>
      </c>
    </row>
    <row r="12069" spans="13:13" x14ac:dyDescent="0.25">
      <c r="M12069" s="34">
        <f t="shared" si="364"/>
        <v>0</v>
      </c>
    </row>
    <row r="12070" spans="13:13" x14ac:dyDescent="0.25">
      <c r="M12070" s="34">
        <f t="shared" si="364"/>
        <v>0</v>
      </c>
    </row>
    <row r="12071" spans="13:13" x14ac:dyDescent="0.25">
      <c r="M12071" s="34">
        <f t="shared" si="364"/>
        <v>0</v>
      </c>
    </row>
    <row r="12072" spans="13:13" x14ac:dyDescent="0.25">
      <c r="M12072" s="34">
        <f t="shared" si="364"/>
        <v>0</v>
      </c>
    </row>
    <row r="12073" spans="13:13" x14ac:dyDescent="0.25">
      <c r="M12073" s="34">
        <f t="shared" si="364"/>
        <v>0</v>
      </c>
    </row>
    <row r="12074" spans="13:13" x14ac:dyDescent="0.25">
      <c r="M12074" s="34">
        <f t="shared" si="364"/>
        <v>0</v>
      </c>
    </row>
    <row r="12075" spans="13:13" x14ac:dyDescent="0.25">
      <c r="M12075" s="34">
        <f t="shared" si="364"/>
        <v>0</v>
      </c>
    </row>
    <row r="12076" spans="13:13" x14ac:dyDescent="0.25">
      <c r="M12076" s="34">
        <f t="shared" si="364"/>
        <v>0</v>
      </c>
    </row>
    <row r="12077" spans="13:13" x14ac:dyDescent="0.25">
      <c r="M12077" s="34">
        <f t="shared" si="364"/>
        <v>0</v>
      </c>
    </row>
    <row r="12078" spans="13:13" x14ac:dyDescent="0.25">
      <c r="M12078" s="34">
        <f t="shared" si="364"/>
        <v>0</v>
      </c>
    </row>
    <row r="12079" spans="13:13" x14ac:dyDescent="0.25">
      <c r="M12079" s="34">
        <f t="shared" si="364"/>
        <v>0</v>
      </c>
    </row>
    <row r="12080" spans="13:13" x14ac:dyDescent="0.25">
      <c r="M12080" s="34">
        <f t="shared" si="364"/>
        <v>0</v>
      </c>
    </row>
    <row r="12081" spans="13:13" x14ac:dyDescent="0.25">
      <c r="M12081" s="34">
        <f t="shared" si="364"/>
        <v>0</v>
      </c>
    </row>
    <row r="12082" spans="13:13" x14ac:dyDescent="0.25">
      <c r="M12082" s="34">
        <f t="shared" si="364"/>
        <v>0</v>
      </c>
    </row>
    <row r="12083" spans="13:13" x14ac:dyDescent="0.25">
      <c r="M12083" s="34">
        <f t="shared" si="364"/>
        <v>0</v>
      </c>
    </row>
    <row r="12084" spans="13:13" x14ac:dyDescent="0.25">
      <c r="M12084" s="34">
        <f t="shared" si="364"/>
        <v>0</v>
      </c>
    </row>
    <row r="12085" spans="13:13" x14ac:dyDescent="0.25">
      <c r="M12085" s="34">
        <f t="shared" si="364"/>
        <v>0</v>
      </c>
    </row>
    <row r="12086" spans="13:13" x14ac:dyDescent="0.25">
      <c r="M12086" s="34">
        <f t="shared" si="364"/>
        <v>0</v>
      </c>
    </row>
    <row r="12087" spans="13:13" x14ac:dyDescent="0.25">
      <c r="M12087" s="34">
        <f t="shared" si="364"/>
        <v>0</v>
      </c>
    </row>
    <row r="12088" spans="13:13" x14ac:dyDescent="0.25">
      <c r="M12088" s="34">
        <f t="shared" si="364"/>
        <v>0</v>
      </c>
    </row>
    <row r="12089" spans="13:13" x14ac:dyDescent="0.25">
      <c r="M12089" s="34">
        <f t="shared" si="364"/>
        <v>0</v>
      </c>
    </row>
    <row r="12090" spans="13:13" x14ac:dyDescent="0.25">
      <c r="M12090" s="34">
        <f t="shared" si="364"/>
        <v>0</v>
      </c>
    </row>
    <row r="12091" spans="13:13" x14ac:dyDescent="0.25">
      <c r="M12091" s="34">
        <f t="shared" si="364"/>
        <v>0</v>
      </c>
    </row>
    <row r="12092" spans="13:13" x14ac:dyDescent="0.25">
      <c r="M12092" s="34">
        <f t="shared" si="364"/>
        <v>0</v>
      </c>
    </row>
    <row r="12093" spans="13:13" x14ac:dyDescent="0.25">
      <c r="M12093" s="34">
        <f t="shared" si="364"/>
        <v>0</v>
      </c>
    </row>
    <row r="12094" spans="13:13" x14ac:dyDescent="0.25">
      <c r="M12094" s="34">
        <f t="shared" si="364"/>
        <v>0</v>
      </c>
    </row>
    <row r="12095" spans="13:13" x14ac:dyDescent="0.25">
      <c r="M12095" s="34">
        <f t="shared" si="364"/>
        <v>0</v>
      </c>
    </row>
    <row r="12096" spans="13:13" x14ac:dyDescent="0.25">
      <c r="M12096" s="34">
        <f t="shared" si="364"/>
        <v>0</v>
      </c>
    </row>
    <row r="12097" spans="13:13" x14ac:dyDescent="0.25">
      <c r="M12097" s="34">
        <f t="shared" si="364"/>
        <v>0</v>
      </c>
    </row>
    <row r="12098" spans="13:13" x14ac:dyDescent="0.25">
      <c r="M12098" s="34">
        <f t="shared" si="364"/>
        <v>0</v>
      </c>
    </row>
    <row r="12099" spans="13:13" x14ac:dyDescent="0.25">
      <c r="M12099" s="34">
        <f t="shared" ref="M12099:M12162" si="365">IF(AND(E12099="Chèque",G12099="RECETTE"),F12099,0)</f>
        <v>0</v>
      </c>
    </row>
    <row r="12100" spans="13:13" x14ac:dyDescent="0.25">
      <c r="M12100" s="34">
        <f t="shared" si="365"/>
        <v>0</v>
      </c>
    </row>
    <row r="12101" spans="13:13" x14ac:dyDescent="0.25">
      <c r="M12101" s="34">
        <f t="shared" si="365"/>
        <v>0</v>
      </c>
    </row>
    <row r="12102" spans="13:13" x14ac:dyDescent="0.25">
      <c r="M12102" s="34">
        <f t="shared" si="365"/>
        <v>0</v>
      </c>
    </row>
    <row r="12103" spans="13:13" x14ac:dyDescent="0.25">
      <c r="M12103" s="34">
        <f t="shared" si="365"/>
        <v>0</v>
      </c>
    </row>
    <row r="12104" spans="13:13" x14ac:dyDescent="0.25">
      <c r="M12104" s="34">
        <f t="shared" si="365"/>
        <v>0</v>
      </c>
    </row>
    <row r="12105" spans="13:13" x14ac:dyDescent="0.25">
      <c r="M12105" s="34">
        <f t="shared" si="365"/>
        <v>0</v>
      </c>
    </row>
    <row r="12106" spans="13:13" x14ac:dyDescent="0.25">
      <c r="M12106" s="34">
        <f t="shared" si="365"/>
        <v>0</v>
      </c>
    </row>
    <row r="12107" spans="13:13" x14ac:dyDescent="0.25">
      <c r="M12107" s="34">
        <f t="shared" si="365"/>
        <v>0</v>
      </c>
    </row>
    <row r="12108" spans="13:13" x14ac:dyDescent="0.25">
      <c r="M12108" s="34">
        <f t="shared" si="365"/>
        <v>0</v>
      </c>
    </row>
    <row r="12109" spans="13:13" x14ac:dyDescent="0.25">
      <c r="M12109" s="34">
        <f t="shared" si="365"/>
        <v>0</v>
      </c>
    </row>
    <row r="12110" spans="13:13" x14ac:dyDescent="0.25">
      <c r="M12110" s="34">
        <f t="shared" si="365"/>
        <v>0</v>
      </c>
    </row>
    <row r="12111" spans="13:13" x14ac:dyDescent="0.25">
      <c r="M12111" s="34">
        <f t="shared" si="365"/>
        <v>0</v>
      </c>
    </row>
    <row r="12112" spans="13:13" x14ac:dyDescent="0.25">
      <c r="M12112" s="34">
        <f t="shared" si="365"/>
        <v>0</v>
      </c>
    </row>
    <row r="12113" spans="13:13" x14ac:dyDescent="0.25">
      <c r="M12113" s="34">
        <f t="shared" si="365"/>
        <v>0</v>
      </c>
    </row>
    <row r="12114" spans="13:13" x14ac:dyDescent="0.25">
      <c r="M12114" s="34">
        <f t="shared" si="365"/>
        <v>0</v>
      </c>
    </row>
    <row r="12115" spans="13:13" x14ac:dyDescent="0.25">
      <c r="M12115" s="34">
        <f t="shared" si="365"/>
        <v>0</v>
      </c>
    </row>
    <row r="12116" spans="13:13" x14ac:dyDescent="0.25">
      <c r="M12116" s="34">
        <f t="shared" si="365"/>
        <v>0</v>
      </c>
    </row>
    <row r="12117" spans="13:13" x14ac:dyDescent="0.25">
      <c r="M12117" s="34">
        <f t="shared" si="365"/>
        <v>0</v>
      </c>
    </row>
    <row r="12118" spans="13:13" x14ac:dyDescent="0.25">
      <c r="M12118" s="34">
        <f t="shared" si="365"/>
        <v>0</v>
      </c>
    </row>
    <row r="12119" spans="13:13" x14ac:dyDescent="0.25">
      <c r="M12119" s="34">
        <f t="shared" si="365"/>
        <v>0</v>
      </c>
    </row>
    <row r="12120" spans="13:13" x14ac:dyDescent="0.25">
      <c r="M12120" s="34">
        <f t="shared" si="365"/>
        <v>0</v>
      </c>
    </row>
    <row r="12121" spans="13:13" x14ac:dyDescent="0.25">
      <c r="M12121" s="34">
        <f t="shared" si="365"/>
        <v>0</v>
      </c>
    </row>
    <row r="12122" spans="13:13" x14ac:dyDescent="0.25">
      <c r="M12122" s="34">
        <f t="shared" si="365"/>
        <v>0</v>
      </c>
    </row>
    <row r="12123" spans="13:13" x14ac:dyDescent="0.25">
      <c r="M12123" s="34">
        <f t="shared" si="365"/>
        <v>0</v>
      </c>
    </row>
    <row r="12124" spans="13:13" x14ac:dyDescent="0.25">
      <c r="M12124" s="34">
        <f t="shared" si="365"/>
        <v>0</v>
      </c>
    </row>
    <row r="12125" spans="13:13" x14ac:dyDescent="0.25">
      <c r="M12125" s="34">
        <f t="shared" si="365"/>
        <v>0</v>
      </c>
    </row>
    <row r="12126" spans="13:13" x14ac:dyDescent="0.25">
      <c r="M12126" s="34">
        <f t="shared" si="365"/>
        <v>0</v>
      </c>
    </row>
    <row r="12127" spans="13:13" x14ac:dyDescent="0.25">
      <c r="M12127" s="34">
        <f t="shared" si="365"/>
        <v>0</v>
      </c>
    </row>
    <row r="12128" spans="13:13" x14ac:dyDescent="0.25">
      <c r="M12128" s="34">
        <f t="shared" si="365"/>
        <v>0</v>
      </c>
    </row>
    <row r="12129" spans="13:13" x14ac:dyDescent="0.25">
      <c r="M12129" s="34">
        <f t="shared" si="365"/>
        <v>0</v>
      </c>
    </row>
    <row r="12130" spans="13:13" x14ac:dyDescent="0.25">
      <c r="M12130" s="34">
        <f t="shared" si="365"/>
        <v>0</v>
      </c>
    </row>
    <row r="12131" spans="13:13" x14ac:dyDescent="0.25">
      <c r="M12131" s="34">
        <f t="shared" si="365"/>
        <v>0</v>
      </c>
    </row>
    <row r="12132" spans="13:13" x14ac:dyDescent="0.25">
      <c r="M12132" s="34">
        <f t="shared" si="365"/>
        <v>0</v>
      </c>
    </row>
    <row r="12133" spans="13:13" x14ac:dyDescent="0.25">
      <c r="M12133" s="34">
        <f t="shared" si="365"/>
        <v>0</v>
      </c>
    </row>
    <row r="12134" spans="13:13" x14ac:dyDescent="0.25">
      <c r="M12134" s="34">
        <f t="shared" si="365"/>
        <v>0</v>
      </c>
    </row>
    <row r="12135" spans="13:13" x14ac:dyDescent="0.25">
      <c r="M12135" s="34">
        <f t="shared" si="365"/>
        <v>0</v>
      </c>
    </row>
    <row r="12136" spans="13:13" x14ac:dyDescent="0.25">
      <c r="M12136" s="34">
        <f t="shared" si="365"/>
        <v>0</v>
      </c>
    </row>
    <row r="12137" spans="13:13" x14ac:dyDescent="0.25">
      <c r="M12137" s="34">
        <f t="shared" si="365"/>
        <v>0</v>
      </c>
    </row>
    <row r="12138" spans="13:13" x14ac:dyDescent="0.25">
      <c r="M12138" s="34">
        <f t="shared" si="365"/>
        <v>0</v>
      </c>
    </row>
    <row r="12139" spans="13:13" x14ac:dyDescent="0.25">
      <c r="M12139" s="34">
        <f t="shared" si="365"/>
        <v>0</v>
      </c>
    </row>
    <row r="12140" spans="13:13" x14ac:dyDescent="0.25">
      <c r="M12140" s="34">
        <f t="shared" si="365"/>
        <v>0</v>
      </c>
    </row>
    <row r="12141" spans="13:13" x14ac:dyDescent="0.25">
      <c r="M12141" s="34">
        <f t="shared" si="365"/>
        <v>0</v>
      </c>
    </row>
    <row r="12142" spans="13:13" x14ac:dyDescent="0.25">
      <c r="M12142" s="34">
        <f t="shared" si="365"/>
        <v>0</v>
      </c>
    </row>
    <row r="12143" spans="13:13" x14ac:dyDescent="0.25">
      <c r="M12143" s="34">
        <f t="shared" si="365"/>
        <v>0</v>
      </c>
    </row>
    <row r="12144" spans="13:13" x14ac:dyDescent="0.25">
      <c r="M12144" s="34">
        <f t="shared" si="365"/>
        <v>0</v>
      </c>
    </row>
    <row r="12145" spans="13:13" x14ac:dyDescent="0.25">
      <c r="M12145" s="34">
        <f t="shared" si="365"/>
        <v>0</v>
      </c>
    </row>
    <row r="12146" spans="13:13" x14ac:dyDescent="0.25">
      <c r="M12146" s="34">
        <f t="shared" si="365"/>
        <v>0</v>
      </c>
    </row>
    <row r="12147" spans="13:13" x14ac:dyDescent="0.25">
      <c r="M12147" s="34">
        <f t="shared" si="365"/>
        <v>0</v>
      </c>
    </row>
    <row r="12148" spans="13:13" x14ac:dyDescent="0.25">
      <c r="M12148" s="34">
        <f t="shared" si="365"/>
        <v>0</v>
      </c>
    </row>
    <row r="12149" spans="13:13" x14ac:dyDescent="0.25">
      <c r="M12149" s="34">
        <f t="shared" si="365"/>
        <v>0</v>
      </c>
    </row>
    <row r="12150" spans="13:13" x14ac:dyDescent="0.25">
      <c r="M12150" s="34">
        <f t="shared" si="365"/>
        <v>0</v>
      </c>
    </row>
    <row r="12151" spans="13:13" x14ac:dyDescent="0.25">
      <c r="M12151" s="34">
        <f t="shared" si="365"/>
        <v>0</v>
      </c>
    </row>
    <row r="12152" spans="13:13" x14ac:dyDescent="0.25">
      <c r="M12152" s="34">
        <f t="shared" si="365"/>
        <v>0</v>
      </c>
    </row>
    <row r="12153" spans="13:13" x14ac:dyDescent="0.25">
      <c r="M12153" s="34">
        <f t="shared" si="365"/>
        <v>0</v>
      </c>
    </row>
    <row r="12154" spans="13:13" x14ac:dyDescent="0.25">
      <c r="M12154" s="34">
        <f t="shared" si="365"/>
        <v>0</v>
      </c>
    </row>
    <row r="12155" spans="13:13" x14ac:dyDescent="0.25">
      <c r="M12155" s="34">
        <f t="shared" si="365"/>
        <v>0</v>
      </c>
    </row>
    <row r="12156" spans="13:13" x14ac:dyDescent="0.25">
      <c r="M12156" s="34">
        <f t="shared" si="365"/>
        <v>0</v>
      </c>
    </row>
    <row r="12157" spans="13:13" x14ac:dyDescent="0.25">
      <c r="M12157" s="34">
        <f t="shared" si="365"/>
        <v>0</v>
      </c>
    </row>
    <row r="12158" spans="13:13" x14ac:dyDescent="0.25">
      <c r="M12158" s="34">
        <f t="shared" si="365"/>
        <v>0</v>
      </c>
    </row>
    <row r="12159" spans="13:13" x14ac:dyDescent="0.25">
      <c r="M12159" s="34">
        <f t="shared" si="365"/>
        <v>0</v>
      </c>
    </row>
    <row r="12160" spans="13:13" x14ac:dyDescent="0.25">
      <c r="M12160" s="34">
        <f t="shared" si="365"/>
        <v>0</v>
      </c>
    </row>
    <row r="12161" spans="13:13" x14ac:dyDescent="0.25">
      <c r="M12161" s="34">
        <f t="shared" si="365"/>
        <v>0</v>
      </c>
    </row>
    <row r="12162" spans="13:13" x14ac:dyDescent="0.25">
      <c r="M12162" s="34">
        <f t="shared" si="365"/>
        <v>0</v>
      </c>
    </row>
    <row r="12163" spans="13:13" x14ac:dyDescent="0.25">
      <c r="M12163" s="34">
        <f t="shared" ref="M12163:M12226" si="366">IF(AND(E12163="Chèque",G12163="RECETTE"),F12163,0)</f>
        <v>0</v>
      </c>
    </row>
    <row r="12164" spans="13:13" x14ac:dyDescent="0.25">
      <c r="M12164" s="34">
        <f t="shared" si="366"/>
        <v>0</v>
      </c>
    </row>
    <row r="12165" spans="13:13" x14ac:dyDescent="0.25">
      <c r="M12165" s="34">
        <f t="shared" si="366"/>
        <v>0</v>
      </c>
    </row>
    <row r="12166" spans="13:13" x14ac:dyDescent="0.25">
      <c r="M12166" s="34">
        <f t="shared" si="366"/>
        <v>0</v>
      </c>
    </row>
    <row r="12167" spans="13:13" x14ac:dyDescent="0.25">
      <c r="M12167" s="34">
        <f t="shared" si="366"/>
        <v>0</v>
      </c>
    </row>
    <row r="12168" spans="13:13" x14ac:dyDescent="0.25">
      <c r="M12168" s="34">
        <f t="shared" si="366"/>
        <v>0</v>
      </c>
    </row>
    <row r="12169" spans="13:13" x14ac:dyDescent="0.25">
      <c r="M12169" s="34">
        <f t="shared" si="366"/>
        <v>0</v>
      </c>
    </row>
    <row r="12170" spans="13:13" x14ac:dyDescent="0.25">
      <c r="M12170" s="34">
        <f t="shared" si="366"/>
        <v>0</v>
      </c>
    </row>
    <row r="12171" spans="13:13" x14ac:dyDescent="0.25">
      <c r="M12171" s="34">
        <f t="shared" si="366"/>
        <v>0</v>
      </c>
    </row>
    <row r="12172" spans="13:13" x14ac:dyDescent="0.25">
      <c r="M12172" s="34">
        <f t="shared" si="366"/>
        <v>0</v>
      </c>
    </row>
    <row r="12173" spans="13:13" x14ac:dyDescent="0.25">
      <c r="M12173" s="34">
        <f t="shared" si="366"/>
        <v>0</v>
      </c>
    </row>
    <row r="12174" spans="13:13" x14ac:dyDescent="0.25">
      <c r="M12174" s="34">
        <f t="shared" si="366"/>
        <v>0</v>
      </c>
    </row>
    <row r="12175" spans="13:13" x14ac:dyDescent="0.25">
      <c r="M12175" s="34">
        <f t="shared" si="366"/>
        <v>0</v>
      </c>
    </row>
    <row r="12176" spans="13:13" x14ac:dyDescent="0.25">
      <c r="M12176" s="34">
        <f t="shared" si="366"/>
        <v>0</v>
      </c>
    </row>
    <row r="12177" spans="13:13" x14ac:dyDescent="0.25">
      <c r="M12177" s="34">
        <f t="shared" si="366"/>
        <v>0</v>
      </c>
    </row>
    <row r="12178" spans="13:13" x14ac:dyDescent="0.25">
      <c r="M12178" s="34">
        <f t="shared" si="366"/>
        <v>0</v>
      </c>
    </row>
    <row r="12179" spans="13:13" x14ac:dyDescent="0.25">
      <c r="M12179" s="34">
        <f t="shared" si="366"/>
        <v>0</v>
      </c>
    </row>
    <row r="12180" spans="13:13" x14ac:dyDescent="0.25">
      <c r="M12180" s="34">
        <f t="shared" si="366"/>
        <v>0</v>
      </c>
    </row>
    <row r="12181" spans="13:13" x14ac:dyDescent="0.25">
      <c r="M12181" s="34">
        <f t="shared" si="366"/>
        <v>0</v>
      </c>
    </row>
    <row r="12182" spans="13:13" x14ac:dyDescent="0.25">
      <c r="M12182" s="34">
        <f t="shared" si="366"/>
        <v>0</v>
      </c>
    </row>
    <row r="12183" spans="13:13" x14ac:dyDescent="0.25">
      <c r="M12183" s="34">
        <f t="shared" si="366"/>
        <v>0</v>
      </c>
    </row>
    <row r="12184" spans="13:13" x14ac:dyDescent="0.25">
      <c r="M12184" s="34">
        <f t="shared" si="366"/>
        <v>0</v>
      </c>
    </row>
    <row r="12185" spans="13:13" x14ac:dyDescent="0.25">
      <c r="M12185" s="34">
        <f t="shared" si="366"/>
        <v>0</v>
      </c>
    </row>
    <row r="12186" spans="13:13" x14ac:dyDescent="0.25">
      <c r="M12186" s="34">
        <f t="shared" si="366"/>
        <v>0</v>
      </c>
    </row>
    <row r="12187" spans="13:13" x14ac:dyDescent="0.25">
      <c r="M12187" s="34">
        <f t="shared" si="366"/>
        <v>0</v>
      </c>
    </row>
    <row r="12188" spans="13:13" x14ac:dyDescent="0.25">
      <c r="M12188" s="34">
        <f t="shared" si="366"/>
        <v>0</v>
      </c>
    </row>
    <row r="12189" spans="13:13" x14ac:dyDescent="0.25">
      <c r="M12189" s="34">
        <f t="shared" si="366"/>
        <v>0</v>
      </c>
    </row>
    <row r="12190" spans="13:13" x14ac:dyDescent="0.25">
      <c r="M12190" s="34">
        <f t="shared" si="366"/>
        <v>0</v>
      </c>
    </row>
    <row r="12191" spans="13:13" x14ac:dyDescent="0.25">
      <c r="M12191" s="34">
        <f t="shared" si="366"/>
        <v>0</v>
      </c>
    </row>
    <row r="12192" spans="13:13" x14ac:dyDescent="0.25">
      <c r="M12192" s="34">
        <f t="shared" si="366"/>
        <v>0</v>
      </c>
    </row>
    <row r="12193" spans="13:13" x14ac:dyDescent="0.25">
      <c r="M12193" s="34">
        <f t="shared" si="366"/>
        <v>0</v>
      </c>
    </row>
    <row r="12194" spans="13:13" x14ac:dyDescent="0.25">
      <c r="M12194" s="34">
        <f t="shared" si="366"/>
        <v>0</v>
      </c>
    </row>
    <row r="12195" spans="13:13" x14ac:dyDescent="0.25">
      <c r="M12195" s="34">
        <f t="shared" si="366"/>
        <v>0</v>
      </c>
    </row>
    <row r="12196" spans="13:13" x14ac:dyDescent="0.25">
      <c r="M12196" s="34">
        <f t="shared" si="366"/>
        <v>0</v>
      </c>
    </row>
    <row r="12197" spans="13:13" x14ac:dyDescent="0.25">
      <c r="M12197" s="34">
        <f t="shared" si="366"/>
        <v>0</v>
      </c>
    </row>
    <row r="12198" spans="13:13" x14ac:dyDescent="0.25">
      <c r="M12198" s="34">
        <f t="shared" si="366"/>
        <v>0</v>
      </c>
    </row>
    <row r="12199" spans="13:13" x14ac:dyDescent="0.25">
      <c r="M12199" s="34">
        <f t="shared" si="366"/>
        <v>0</v>
      </c>
    </row>
    <row r="12200" spans="13:13" x14ac:dyDescent="0.25">
      <c r="M12200" s="34">
        <f t="shared" si="366"/>
        <v>0</v>
      </c>
    </row>
    <row r="12201" spans="13:13" x14ac:dyDescent="0.25">
      <c r="M12201" s="34">
        <f t="shared" si="366"/>
        <v>0</v>
      </c>
    </row>
    <row r="12202" spans="13:13" x14ac:dyDescent="0.25">
      <c r="M12202" s="34">
        <f t="shared" si="366"/>
        <v>0</v>
      </c>
    </row>
    <row r="12203" spans="13:13" x14ac:dyDescent="0.25">
      <c r="M12203" s="34">
        <f t="shared" si="366"/>
        <v>0</v>
      </c>
    </row>
    <row r="12204" spans="13:13" x14ac:dyDescent="0.25">
      <c r="M12204" s="34">
        <f t="shared" si="366"/>
        <v>0</v>
      </c>
    </row>
    <row r="12205" spans="13:13" x14ac:dyDescent="0.25">
      <c r="M12205" s="34">
        <f t="shared" si="366"/>
        <v>0</v>
      </c>
    </row>
    <row r="12206" spans="13:13" x14ac:dyDescent="0.25">
      <c r="M12206" s="34">
        <f t="shared" si="366"/>
        <v>0</v>
      </c>
    </row>
    <row r="12207" spans="13:13" x14ac:dyDescent="0.25">
      <c r="M12207" s="34">
        <f t="shared" si="366"/>
        <v>0</v>
      </c>
    </row>
    <row r="12208" spans="13:13" x14ac:dyDescent="0.25">
      <c r="M12208" s="34">
        <f t="shared" si="366"/>
        <v>0</v>
      </c>
    </row>
    <row r="12209" spans="13:13" x14ac:dyDescent="0.25">
      <c r="M12209" s="34">
        <f t="shared" si="366"/>
        <v>0</v>
      </c>
    </row>
    <row r="12210" spans="13:13" x14ac:dyDescent="0.25">
      <c r="M12210" s="34">
        <f t="shared" si="366"/>
        <v>0</v>
      </c>
    </row>
    <row r="12211" spans="13:13" x14ac:dyDescent="0.25">
      <c r="M12211" s="34">
        <f t="shared" si="366"/>
        <v>0</v>
      </c>
    </row>
    <row r="12212" spans="13:13" x14ac:dyDescent="0.25">
      <c r="M12212" s="34">
        <f t="shared" si="366"/>
        <v>0</v>
      </c>
    </row>
    <row r="12213" spans="13:13" x14ac:dyDescent="0.25">
      <c r="M12213" s="34">
        <f t="shared" si="366"/>
        <v>0</v>
      </c>
    </row>
    <row r="12214" spans="13:13" x14ac:dyDescent="0.25">
      <c r="M12214" s="34">
        <f t="shared" si="366"/>
        <v>0</v>
      </c>
    </row>
    <row r="12215" spans="13:13" x14ac:dyDescent="0.25">
      <c r="M12215" s="34">
        <f t="shared" si="366"/>
        <v>0</v>
      </c>
    </row>
    <row r="12216" spans="13:13" x14ac:dyDescent="0.25">
      <c r="M12216" s="34">
        <f t="shared" si="366"/>
        <v>0</v>
      </c>
    </row>
    <row r="12217" spans="13:13" x14ac:dyDescent="0.25">
      <c r="M12217" s="34">
        <f t="shared" si="366"/>
        <v>0</v>
      </c>
    </row>
    <row r="12218" spans="13:13" x14ac:dyDescent="0.25">
      <c r="M12218" s="34">
        <f t="shared" si="366"/>
        <v>0</v>
      </c>
    </row>
    <row r="12219" spans="13:13" x14ac:dyDescent="0.25">
      <c r="M12219" s="34">
        <f t="shared" si="366"/>
        <v>0</v>
      </c>
    </row>
    <row r="12220" spans="13:13" x14ac:dyDescent="0.25">
      <c r="M12220" s="34">
        <f t="shared" si="366"/>
        <v>0</v>
      </c>
    </row>
    <row r="12221" spans="13:13" x14ac:dyDescent="0.25">
      <c r="M12221" s="34">
        <f t="shared" si="366"/>
        <v>0</v>
      </c>
    </row>
    <row r="12222" spans="13:13" x14ac:dyDescent="0.25">
      <c r="M12222" s="34">
        <f t="shared" si="366"/>
        <v>0</v>
      </c>
    </row>
    <row r="12223" spans="13:13" x14ac:dyDescent="0.25">
      <c r="M12223" s="34">
        <f t="shared" si="366"/>
        <v>0</v>
      </c>
    </row>
    <row r="12224" spans="13:13" x14ac:dyDescent="0.25">
      <c r="M12224" s="34">
        <f t="shared" si="366"/>
        <v>0</v>
      </c>
    </row>
    <row r="12225" spans="13:13" x14ac:dyDescent="0.25">
      <c r="M12225" s="34">
        <f t="shared" si="366"/>
        <v>0</v>
      </c>
    </row>
    <row r="12226" spans="13:13" x14ac:dyDescent="0.25">
      <c r="M12226" s="34">
        <f t="shared" si="366"/>
        <v>0</v>
      </c>
    </row>
    <row r="12227" spans="13:13" x14ac:dyDescent="0.25">
      <c r="M12227" s="34">
        <f t="shared" ref="M12227:M12290" si="367">IF(AND(E12227="Chèque",G12227="RECETTE"),F12227,0)</f>
        <v>0</v>
      </c>
    </row>
    <row r="12228" spans="13:13" x14ac:dyDescent="0.25">
      <c r="M12228" s="34">
        <f t="shared" si="367"/>
        <v>0</v>
      </c>
    </row>
    <row r="12229" spans="13:13" x14ac:dyDescent="0.25">
      <c r="M12229" s="34">
        <f t="shared" si="367"/>
        <v>0</v>
      </c>
    </row>
    <row r="12230" spans="13:13" x14ac:dyDescent="0.25">
      <c r="M12230" s="34">
        <f t="shared" si="367"/>
        <v>0</v>
      </c>
    </row>
    <row r="12231" spans="13:13" x14ac:dyDescent="0.25">
      <c r="M12231" s="34">
        <f t="shared" si="367"/>
        <v>0</v>
      </c>
    </row>
    <row r="12232" spans="13:13" x14ac:dyDescent="0.25">
      <c r="M12232" s="34">
        <f t="shared" si="367"/>
        <v>0</v>
      </c>
    </row>
    <row r="12233" spans="13:13" x14ac:dyDescent="0.25">
      <c r="M12233" s="34">
        <f t="shared" si="367"/>
        <v>0</v>
      </c>
    </row>
    <row r="12234" spans="13:13" x14ac:dyDescent="0.25">
      <c r="M12234" s="34">
        <f t="shared" si="367"/>
        <v>0</v>
      </c>
    </row>
    <row r="12235" spans="13:13" x14ac:dyDescent="0.25">
      <c r="M12235" s="34">
        <f t="shared" si="367"/>
        <v>0</v>
      </c>
    </row>
    <row r="12236" spans="13:13" x14ac:dyDescent="0.25">
      <c r="M12236" s="34">
        <f t="shared" si="367"/>
        <v>0</v>
      </c>
    </row>
    <row r="12237" spans="13:13" x14ac:dyDescent="0.25">
      <c r="M12237" s="34">
        <f t="shared" si="367"/>
        <v>0</v>
      </c>
    </row>
    <row r="12238" spans="13:13" x14ac:dyDescent="0.25">
      <c r="M12238" s="34">
        <f t="shared" si="367"/>
        <v>0</v>
      </c>
    </row>
    <row r="12239" spans="13:13" x14ac:dyDescent="0.25">
      <c r="M12239" s="34">
        <f t="shared" si="367"/>
        <v>0</v>
      </c>
    </row>
    <row r="12240" spans="13:13" x14ac:dyDescent="0.25">
      <c r="M12240" s="34">
        <f t="shared" si="367"/>
        <v>0</v>
      </c>
    </row>
    <row r="12241" spans="13:13" x14ac:dyDescent="0.25">
      <c r="M12241" s="34">
        <f t="shared" si="367"/>
        <v>0</v>
      </c>
    </row>
    <row r="12242" spans="13:13" x14ac:dyDescent="0.25">
      <c r="M12242" s="34">
        <f t="shared" si="367"/>
        <v>0</v>
      </c>
    </row>
    <row r="12243" spans="13:13" x14ac:dyDescent="0.25">
      <c r="M12243" s="34">
        <f t="shared" si="367"/>
        <v>0</v>
      </c>
    </row>
    <row r="12244" spans="13:13" x14ac:dyDescent="0.25">
      <c r="M12244" s="34">
        <f t="shared" si="367"/>
        <v>0</v>
      </c>
    </row>
    <row r="12245" spans="13:13" x14ac:dyDescent="0.25">
      <c r="M12245" s="34">
        <f t="shared" si="367"/>
        <v>0</v>
      </c>
    </row>
    <row r="12246" spans="13:13" x14ac:dyDescent="0.25">
      <c r="M12246" s="34">
        <f t="shared" si="367"/>
        <v>0</v>
      </c>
    </row>
    <row r="12247" spans="13:13" x14ac:dyDescent="0.25">
      <c r="M12247" s="34">
        <f t="shared" si="367"/>
        <v>0</v>
      </c>
    </row>
    <row r="12248" spans="13:13" x14ac:dyDescent="0.25">
      <c r="M12248" s="34">
        <f t="shared" si="367"/>
        <v>0</v>
      </c>
    </row>
    <row r="12249" spans="13:13" x14ac:dyDescent="0.25">
      <c r="M12249" s="34">
        <f t="shared" si="367"/>
        <v>0</v>
      </c>
    </row>
    <row r="12250" spans="13:13" x14ac:dyDescent="0.25">
      <c r="M12250" s="34">
        <f t="shared" si="367"/>
        <v>0</v>
      </c>
    </row>
    <row r="12251" spans="13:13" x14ac:dyDescent="0.25">
      <c r="M12251" s="34">
        <f t="shared" si="367"/>
        <v>0</v>
      </c>
    </row>
    <row r="12252" spans="13:13" x14ac:dyDescent="0.25">
      <c r="M12252" s="34">
        <f t="shared" si="367"/>
        <v>0</v>
      </c>
    </row>
    <row r="12253" spans="13:13" x14ac:dyDescent="0.25">
      <c r="M12253" s="34">
        <f t="shared" si="367"/>
        <v>0</v>
      </c>
    </row>
    <row r="12254" spans="13:13" x14ac:dyDescent="0.25">
      <c r="M12254" s="34">
        <f t="shared" si="367"/>
        <v>0</v>
      </c>
    </row>
    <row r="12255" spans="13:13" x14ac:dyDescent="0.25">
      <c r="M12255" s="34">
        <f t="shared" si="367"/>
        <v>0</v>
      </c>
    </row>
    <row r="12256" spans="13:13" x14ac:dyDescent="0.25">
      <c r="M12256" s="34">
        <f t="shared" si="367"/>
        <v>0</v>
      </c>
    </row>
    <row r="12257" spans="13:13" x14ac:dyDescent="0.25">
      <c r="M12257" s="34">
        <f t="shared" si="367"/>
        <v>0</v>
      </c>
    </row>
    <row r="12258" spans="13:13" x14ac:dyDescent="0.25">
      <c r="M12258" s="34">
        <f t="shared" si="367"/>
        <v>0</v>
      </c>
    </row>
    <row r="12259" spans="13:13" x14ac:dyDescent="0.25">
      <c r="M12259" s="34">
        <f t="shared" si="367"/>
        <v>0</v>
      </c>
    </row>
    <row r="12260" spans="13:13" x14ac:dyDescent="0.25">
      <c r="M12260" s="34">
        <f t="shared" si="367"/>
        <v>0</v>
      </c>
    </row>
    <row r="12261" spans="13:13" x14ac:dyDescent="0.25">
      <c r="M12261" s="34">
        <f t="shared" si="367"/>
        <v>0</v>
      </c>
    </row>
    <row r="12262" spans="13:13" x14ac:dyDescent="0.25">
      <c r="M12262" s="34">
        <f t="shared" si="367"/>
        <v>0</v>
      </c>
    </row>
    <row r="12263" spans="13:13" x14ac:dyDescent="0.25">
      <c r="M12263" s="34">
        <f t="shared" si="367"/>
        <v>0</v>
      </c>
    </row>
    <row r="12264" spans="13:13" x14ac:dyDescent="0.25">
      <c r="M12264" s="34">
        <f t="shared" si="367"/>
        <v>0</v>
      </c>
    </row>
    <row r="12265" spans="13:13" x14ac:dyDescent="0.25">
      <c r="M12265" s="34">
        <f t="shared" si="367"/>
        <v>0</v>
      </c>
    </row>
    <row r="12266" spans="13:13" x14ac:dyDescent="0.25">
      <c r="M12266" s="34">
        <f t="shared" si="367"/>
        <v>0</v>
      </c>
    </row>
    <row r="12267" spans="13:13" x14ac:dyDescent="0.25">
      <c r="M12267" s="34">
        <f t="shared" si="367"/>
        <v>0</v>
      </c>
    </row>
    <row r="12268" spans="13:13" x14ac:dyDescent="0.25">
      <c r="M12268" s="34">
        <f t="shared" si="367"/>
        <v>0</v>
      </c>
    </row>
    <row r="12269" spans="13:13" x14ac:dyDescent="0.25">
      <c r="M12269" s="34">
        <f t="shared" si="367"/>
        <v>0</v>
      </c>
    </row>
    <row r="12270" spans="13:13" x14ac:dyDescent="0.25">
      <c r="M12270" s="34">
        <f t="shared" si="367"/>
        <v>0</v>
      </c>
    </row>
    <row r="12271" spans="13:13" x14ac:dyDescent="0.25">
      <c r="M12271" s="34">
        <f t="shared" si="367"/>
        <v>0</v>
      </c>
    </row>
    <row r="12272" spans="13:13" x14ac:dyDescent="0.25">
      <c r="M12272" s="34">
        <f t="shared" si="367"/>
        <v>0</v>
      </c>
    </row>
    <row r="12273" spans="13:13" x14ac:dyDescent="0.25">
      <c r="M12273" s="34">
        <f t="shared" si="367"/>
        <v>0</v>
      </c>
    </row>
    <row r="12274" spans="13:13" x14ac:dyDescent="0.25">
      <c r="M12274" s="34">
        <f t="shared" si="367"/>
        <v>0</v>
      </c>
    </row>
    <row r="12275" spans="13:13" x14ac:dyDescent="0.25">
      <c r="M12275" s="34">
        <f t="shared" si="367"/>
        <v>0</v>
      </c>
    </row>
    <row r="12276" spans="13:13" x14ac:dyDescent="0.25">
      <c r="M12276" s="34">
        <f t="shared" si="367"/>
        <v>0</v>
      </c>
    </row>
    <row r="12277" spans="13:13" x14ac:dyDescent="0.25">
      <c r="M12277" s="34">
        <f t="shared" si="367"/>
        <v>0</v>
      </c>
    </row>
    <row r="12278" spans="13:13" x14ac:dyDescent="0.25">
      <c r="M12278" s="34">
        <f t="shared" si="367"/>
        <v>0</v>
      </c>
    </row>
    <row r="12279" spans="13:13" x14ac:dyDescent="0.25">
      <c r="M12279" s="34">
        <f t="shared" si="367"/>
        <v>0</v>
      </c>
    </row>
    <row r="12280" spans="13:13" x14ac:dyDescent="0.25">
      <c r="M12280" s="34">
        <f t="shared" si="367"/>
        <v>0</v>
      </c>
    </row>
    <row r="12281" spans="13:13" x14ac:dyDescent="0.25">
      <c r="M12281" s="34">
        <f t="shared" si="367"/>
        <v>0</v>
      </c>
    </row>
    <row r="12282" spans="13:13" x14ac:dyDescent="0.25">
      <c r="M12282" s="34">
        <f t="shared" si="367"/>
        <v>0</v>
      </c>
    </row>
    <row r="12283" spans="13:13" x14ac:dyDescent="0.25">
      <c r="M12283" s="34">
        <f t="shared" si="367"/>
        <v>0</v>
      </c>
    </row>
    <row r="12284" spans="13:13" x14ac:dyDescent="0.25">
      <c r="M12284" s="34">
        <f t="shared" si="367"/>
        <v>0</v>
      </c>
    </row>
    <row r="12285" spans="13:13" x14ac:dyDescent="0.25">
      <c r="M12285" s="34">
        <f t="shared" si="367"/>
        <v>0</v>
      </c>
    </row>
    <row r="12286" spans="13:13" x14ac:dyDescent="0.25">
      <c r="M12286" s="34">
        <f t="shared" si="367"/>
        <v>0</v>
      </c>
    </row>
    <row r="12287" spans="13:13" x14ac:dyDescent="0.25">
      <c r="M12287" s="34">
        <f t="shared" si="367"/>
        <v>0</v>
      </c>
    </row>
    <row r="12288" spans="13:13" x14ac:dyDescent="0.25">
      <c r="M12288" s="34">
        <f t="shared" si="367"/>
        <v>0</v>
      </c>
    </row>
    <row r="12289" spans="13:13" x14ac:dyDescent="0.25">
      <c r="M12289" s="34">
        <f t="shared" si="367"/>
        <v>0</v>
      </c>
    </row>
    <row r="12290" spans="13:13" x14ac:dyDescent="0.25">
      <c r="M12290" s="34">
        <f t="shared" si="367"/>
        <v>0</v>
      </c>
    </row>
    <row r="12291" spans="13:13" x14ac:dyDescent="0.25">
      <c r="M12291" s="34">
        <f t="shared" ref="M12291:M12354" si="368">IF(AND(E12291="Chèque",G12291="RECETTE"),F12291,0)</f>
        <v>0</v>
      </c>
    </row>
    <row r="12292" spans="13:13" x14ac:dyDescent="0.25">
      <c r="M12292" s="34">
        <f t="shared" si="368"/>
        <v>0</v>
      </c>
    </row>
    <row r="12293" spans="13:13" x14ac:dyDescent="0.25">
      <c r="M12293" s="34">
        <f t="shared" si="368"/>
        <v>0</v>
      </c>
    </row>
    <row r="12294" spans="13:13" x14ac:dyDescent="0.25">
      <c r="M12294" s="34">
        <f t="shared" si="368"/>
        <v>0</v>
      </c>
    </row>
    <row r="12295" spans="13:13" x14ac:dyDescent="0.25">
      <c r="M12295" s="34">
        <f t="shared" si="368"/>
        <v>0</v>
      </c>
    </row>
    <row r="12296" spans="13:13" x14ac:dyDescent="0.25">
      <c r="M12296" s="34">
        <f t="shared" si="368"/>
        <v>0</v>
      </c>
    </row>
    <row r="12297" spans="13:13" x14ac:dyDescent="0.25">
      <c r="M12297" s="34">
        <f t="shared" si="368"/>
        <v>0</v>
      </c>
    </row>
    <row r="12298" spans="13:13" x14ac:dyDescent="0.25">
      <c r="M12298" s="34">
        <f t="shared" si="368"/>
        <v>0</v>
      </c>
    </row>
    <row r="12299" spans="13:13" x14ac:dyDescent="0.25">
      <c r="M12299" s="34">
        <f t="shared" si="368"/>
        <v>0</v>
      </c>
    </row>
    <row r="12300" spans="13:13" x14ac:dyDescent="0.25">
      <c r="M12300" s="34">
        <f t="shared" si="368"/>
        <v>0</v>
      </c>
    </row>
    <row r="12301" spans="13:13" x14ac:dyDescent="0.25">
      <c r="M12301" s="34">
        <f t="shared" si="368"/>
        <v>0</v>
      </c>
    </row>
    <row r="12302" spans="13:13" x14ac:dyDescent="0.25">
      <c r="M12302" s="34">
        <f t="shared" si="368"/>
        <v>0</v>
      </c>
    </row>
    <row r="12303" spans="13:13" x14ac:dyDescent="0.25">
      <c r="M12303" s="34">
        <f t="shared" si="368"/>
        <v>0</v>
      </c>
    </row>
    <row r="12304" spans="13:13" x14ac:dyDescent="0.25">
      <c r="M12304" s="34">
        <f t="shared" si="368"/>
        <v>0</v>
      </c>
    </row>
    <row r="12305" spans="13:13" x14ac:dyDescent="0.25">
      <c r="M12305" s="34">
        <f t="shared" si="368"/>
        <v>0</v>
      </c>
    </row>
    <row r="12306" spans="13:13" x14ac:dyDescent="0.25">
      <c r="M12306" s="34">
        <f t="shared" si="368"/>
        <v>0</v>
      </c>
    </row>
    <row r="12307" spans="13:13" x14ac:dyDescent="0.25">
      <c r="M12307" s="34">
        <f t="shared" si="368"/>
        <v>0</v>
      </c>
    </row>
    <row r="12308" spans="13:13" x14ac:dyDescent="0.25">
      <c r="M12308" s="34">
        <f t="shared" si="368"/>
        <v>0</v>
      </c>
    </row>
    <row r="12309" spans="13:13" x14ac:dyDescent="0.25">
      <c r="M12309" s="34">
        <f t="shared" si="368"/>
        <v>0</v>
      </c>
    </row>
    <row r="12310" spans="13:13" x14ac:dyDescent="0.25">
      <c r="M12310" s="34">
        <f t="shared" si="368"/>
        <v>0</v>
      </c>
    </row>
    <row r="12311" spans="13:13" x14ac:dyDescent="0.25">
      <c r="M12311" s="34">
        <f t="shared" si="368"/>
        <v>0</v>
      </c>
    </row>
    <row r="12312" spans="13:13" x14ac:dyDescent="0.25">
      <c r="M12312" s="34">
        <f t="shared" si="368"/>
        <v>0</v>
      </c>
    </row>
    <row r="12313" spans="13:13" x14ac:dyDescent="0.25">
      <c r="M12313" s="34">
        <f t="shared" si="368"/>
        <v>0</v>
      </c>
    </row>
    <row r="12314" spans="13:13" x14ac:dyDescent="0.25">
      <c r="M12314" s="34">
        <f t="shared" si="368"/>
        <v>0</v>
      </c>
    </row>
    <row r="12315" spans="13:13" x14ac:dyDescent="0.25">
      <c r="M12315" s="34">
        <f t="shared" si="368"/>
        <v>0</v>
      </c>
    </row>
    <row r="12316" spans="13:13" x14ac:dyDescent="0.25">
      <c r="M12316" s="34">
        <f t="shared" si="368"/>
        <v>0</v>
      </c>
    </row>
    <row r="12317" spans="13:13" x14ac:dyDescent="0.25">
      <c r="M12317" s="34">
        <f t="shared" si="368"/>
        <v>0</v>
      </c>
    </row>
    <row r="12318" spans="13:13" x14ac:dyDescent="0.25">
      <c r="M12318" s="34">
        <f t="shared" si="368"/>
        <v>0</v>
      </c>
    </row>
    <row r="12319" spans="13:13" x14ac:dyDescent="0.25">
      <c r="M12319" s="34">
        <f t="shared" si="368"/>
        <v>0</v>
      </c>
    </row>
    <row r="12320" spans="13:13" x14ac:dyDescent="0.25">
      <c r="M12320" s="34">
        <f t="shared" si="368"/>
        <v>0</v>
      </c>
    </row>
    <row r="12321" spans="13:13" x14ac:dyDescent="0.25">
      <c r="M12321" s="34">
        <f t="shared" si="368"/>
        <v>0</v>
      </c>
    </row>
    <row r="12322" spans="13:13" x14ac:dyDescent="0.25">
      <c r="M12322" s="34">
        <f t="shared" si="368"/>
        <v>0</v>
      </c>
    </row>
    <row r="12323" spans="13:13" x14ac:dyDescent="0.25">
      <c r="M12323" s="34">
        <f t="shared" si="368"/>
        <v>0</v>
      </c>
    </row>
    <row r="12324" spans="13:13" x14ac:dyDescent="0.25">
      <c r="M12324" s="34">
        <f t="shared" si="368"/>
        <v>0</v>
      </c>
    </row>
    <row r="12325" spans="13:13" x14ac:dyDescent="0.25">
      <c r="M12325" s="34">
        <f t="shared" si="368"/>
        <v>0</v>
      </c>
    </row>
    <row r="12326" spans="13:13" x14ac:dyDescent="0.25">
      <c r="M12326" s="34">
        <f t="shared" si="368"/>
        <v>0</v>
      </c>
    </row>
    <row r="12327" spans="13:13" x14ac:dyDescent="0.25">
      <c r="M12327" s="34">
        <f t="shared" si="368"/>
        <v>0</v>
      </c>
    </row>
    <row r="12328" spans="13:13" x14ac:dyDescent="0.25">
      <c r="M12328" s="34">
        <f t="shared" si="368"/>
        <v>0</v>
      </c>
    </row>
    <row r="12329" spans="13:13" x14ac:dyDescent="0.25">
      <c r="M12329" s="34">
        <f t="shared" si="368"/>
        <v>0</v>
      </c>
    </row>
    <row r="12330" spans="13:13" x14ac:dyDescent="0.25">
      <c r="M12330" s="34">
        <f t="shared" si="368"/>
        <v>0</v>
      </c>
    </row>
    <row r="12331" spans="13:13" x14ac:dyDescent="0.25">
      <c r="M12331" s="34">
        <f t="shared" si="368"/>
        <v>0</v>
      </c>
    </row>
    <row r="12332" spans="13:13" x14ac:dyDescent="0.25">
      <c r="M12332" s="34">
        <f t="shared" si="368"/>
        <v>0</v>
      </c>
    </row>
    <row r="12333" spans="13:13" x14ac:dyDescent="0.25">
      <c r="M12333" s="34">
        <f t="shared" si="368"/>
        <v>0</v>
      </c>
    </row>
    <row r="12334" spans="13:13" x14ac:dyDescent="0.25">
      <c r="M12334" s="34">
        <f t="shared" si="368"/>
        <v>0</v>
      </c>
    </row>
    <row r="12335" spans="13:13" x14ac:dyDescent="0.25">
      <c r="M12335" s="34">
        <f t="shared" si="368"/>
        <v>0</v>
      </c>
    </row>
    <row r="12336" spans="13:13" x14ac:dyDescent="0.25">
      <c r="M12336" s="34">
        <f t="shared" si="368"/>
        <v>0</v>
      </c>
    </row>
    <row r="12337" spans="13:13" x14ac:dyDescent="0.25">
      <c r="M12337" s="34">
        <f t="shared" si="368"/>
        <v>0</v>
      </c>
    </row>
    <row r="12338" spans="13:13" x14ac:dyDescent="0.25">
      <c r="M12338" s="34">
        <f t="shared" si="368"/>
        <v>0</v>
      </c>
    </row>
    <row r="12339" spans="13:13" x14ac:dyDescent="0.25">
      <c r="M12339" s="34">
        <f t="shared" si="368"/>
        <v>0</v>
      </c>
    </row>
    <row r="12340" spans="13:13" x14ac:dyDescent="0.25">
      <c r="M12340" s="34">
        <f t="shared" si="368"/>
        <v>0</v>
      </c>
    </row>
    <row r="12341" spans="13:13" x14ac:dyDescent="0.25">
      <c r="M12341" s="34">
        <f t="shared" si="368"/>
        <v>0</v>
      </c>
    </row>
    <row r="12342" spans="13:13" x14ac:dyDescent="0.25">
      <c r="M12342" s="34">
        <f t="shared" si="368"/>
        <v>0</v>
      </c>
    </row>
    <row r="12343" spans="13:13" x14ac:dyDescent="0.25">
      <c r="M12343" s="34">
        <f t="shared" si="368"/>
        <v>0</v>
      </c>
    </row>
    <row r="12344" spans="13:13" x14ac:dyDescent="0.25">
      <c r="M12344" s="34">
        <f t="shared" si="368"/>
        <v>0</v>
      </c>
    </row>
    <row r="12345" spans="13:13" x14ac:dyDescent="0.25">
      <c r="M12345" s="34">
        <f t="shared" si="368"/>
        <v>0</v>
      </c>
    </row>
    <row r="12346" spans="13:13" x14ac:dyDescent="0.25">
      <c r="M12346" s="34">
        <f t="shared" si="368"/>
        <v>0</v>
      </c>
    </row>
    <row r="12347" spans="13:13" x14ac:dyDescent="0.25">
      <c r="M12347" s="34">
        <f t="shared" si="368"/>
        <v>0</v>
      </c>
    </row>
    <row r="12348" spans="13:13" x14ac:dyDescent="0.25">
      <c r="M12348" s="34">
        <f t="shared" si="368"/>
        <v>0</v>
      </c>
    </row>
    <row r="12349" spans="13:13" x14ac:dyDescent="0.25">
      <c r="M12349" s="34">
        <f t="shared" si="368"/>
        <v>0</v>
      </c>
    </row>
    <row r="12350" spans="13:13" x14ac:dyDescent="0.25">
      <c r="M12350" s="34">
        <f t="shared" si="368"/>
        <v>0</v>
      </c>
    </row>
    <row r="12351" spans="13:13" x14ac:dyDescent="0.25">
      <c r="M12351" s="34">
        <f t="shared" si="368"/>
        <v>0</v>
      </c>
    </row>
    <row r="12352" spans="13:13" x14ac:dyDescent="0.25">
      <c r="M12352" s="34">
        <f t="shared" si="368"/>
        <v>0</v>
      </c>
    </row>
    <row r="12353" spans="13:13" x14ac:dyDescent="0.25">
      <c r="M12353" s="34">
        <f t="shared" si="368"/>
        <v>0</v>
      </c>
    </row>
    <row r="12354" spans="13:13" x14ac:dyDescent="0.25">
      <c r="M12354" s="34">
        <f t="shared" si="368"/>
        <v>0</v>
      </c>
    </row>
    <row r="12355" spans="13:13" x14ac:dyDescent="0.25">
      <c r="M12355" s="34">
        <f t="shared" ref="M12355:M12418" si="369">IF(AND(E12355="Chèque",G12355="RECETTE"),F12355,0)</f>
        <v>0</v>
      </c>
    </row>
    <row r="12356" spans="13:13" x14ac:dyDescent="0.25">
      <c r="M12356" s="34">
        <f t="shared" si="369"/>
        <v>0</v>
      </c>
    </row>
    <row r="12357" spans="13:13" x14ac:dyDescent="0.25">
      <c r="M12357" s="34">
        <f t="shared" si="369"/>
        <v>0</v>
      </c>
    </row>
    <row r="12358" spans="13:13" x14ac:dyDescent="0.25">
      <c r="M12358" s="34">
        <f t="shared" si="369"/>
        <v>0</v>
      </c>
    </row>
    <row r="12359" spans="13:13" x14ac:dyDescent="0.25">
      <c r="M12359" s="34">
        <f t="shared" si="369"/>
        <v>0</v>
      </c>
    </row>
    <row r="12360" spans="13:13" x14ac:dyDescent="0.25">
      <c r="M12360" s="34">
        <f t="shared" si="369"/>
        <v>0</v>
      </c>
    </row>
    <row r="12361" spans="13:13" x14ac:dyDescent="0.25">
      <c r="M12361" s="34">
        <f t="shared" si="369"/>
        <v>0</v>
      </c>
    </row>
    <row r="12362" spans="13:13" x14ac:dyDescent="0.25">
      <c r="M12362" s="34">
        <f t="shared" si="369"/>
        <v>0</v>
      </c>
    </row>
    <row r="12363" spans="13:13" x14ac:dyDescent="0.25">
      <c r="M12363" s="34">
        <f t="shared" si="369"/>
        <v>0</v>
      </c>
    </row>
    <row r="12364" spans="13:13" x14ac:dyDescent="0.25">
      <c r="M12364" s="34">
        <f t="shared" si="369"/>
        <v>0</v>
      </c>
    </row>
    <row r="12365" spans="13:13" x14ac:dyDescent="0.25">
      <c r="M12365" s="34">
        <f t="shared" si="369"/>
        <v>0</v>
      </c>
    </row>
    <row r="12366" spans="13:13" x14ac:dyDescent="0.25">
      <c r="M12366" s="34">
        <f t="shared" si="369"/>
        <v>0</v>
      </c>
    </row>
    <row r="12367" spans="13:13" x14ac:dyDescent="0.25">
      <c r="M12367" s="34">
        <f t="shared" si="369"/>
        <v>0</v>
      </c>
    </row>
    <row r="12368" spans="13:13" x14ac:dyDescent="0.25">
      <c r="M12368" s="34">
        <f t="shared" si="369"/>
        <v>0</v>
      </c>
    </row>
    <row r="12369" spans="13:13" x14ac:dyDescent="0.25">
      <c r="M12369" s="34">
        <f t="shared" si="369"/>
        <v>0</v>
      </c>
    </row>
    <row r="12370" spans="13:13" x14ac:dyDescent="0.25">
      <c r="M12370" s="34">
        <f t="shared" si="369"/>
        <v>0</v>
      </c>
    </row>
    <row r="12371" spans="13:13" x14ac:dyDescent="0.25">
      <c r="M12371" s="34">
        <f t="shared" si="369"/>
        <v>0</v>
      </c>
    </row>
    <row r="12372" spans="13:13" x14ac:dyDescent="0.25">
      <c r="M12372" s="34">
        <f t="shared" si="369"/>
        <v>0</v>
      </c>
    </row>
    <row r="12373" spans="13:13" x14ac:dyDescent="0.25">
      <c r="M12373" s="34">
        <f t="shared" si="369"/>
        <v>0</v>
      </c>
    </row>
    <row r="12374" spans="13:13" x14ac:dyDescent="0.25">
      <c r="M12374" s="34">
        <f t="shared" si="369"/>
        <v>0</v>
      </c>
    </row>
    <row r="12375" spans="13:13" x14ac:dyDescent="0.25">
      <c r="M12375" s="34">
        <f t="shared" si="369"/>
        <v>0</v>
      </c>
    </row>
    <row r="12376" spans="13:13" x14ac:dyDescent="0.25">
      <c r="M12376" s="34">
        <f t="shared" si="369"/>
        <v>0</v>
      </c>
    </row>
    <row r="12377" spans="13:13" x14ac:dyDescent="0.25">
      <c r="M12377" s="34">
        <f t="shared" si="369"/>
        <v>0</v>
      </c>
    </row>
    <row r="12378" spans="13:13" x14ac:dyDescent="0.25">
      <c r="M12378" s="34">
        <f t="shared" si="369"/>
        <v>0</v>
      </c>
    </row>
    <row r="12379" spans="13:13" x14ac:dyDescent="0.25">
      <c r="M12379" s="34">
        <f t="shared" si="369"/>
        <v>0</v>
      </c>
    </row>
    <row r="12380" spans="13:13" x14ac:dyDescent="0.25">
      <c r="M12380" s="34">
        <f t="shared" si="369"/>
        <v>0</v>
      </c>
    </row>
    <row r="12381" spans="13:13" x14ac:dyDescent="0.25">
      <c r="M12381" s="34">
        <f t="shared" si="369"/>
        <v>0</v>
      </c>
    </row>
    <row r="12382" spans="13:13" x14ac:dyDescent="0.25">
      <c r="M12382" s="34">
        <f t="shared" si="369"/>
        <v>0</v>
      </c>
    </row>
    <row r="12383" spans="13:13" x14ac:dyDescent="0.25">
      <c r="M12383" s="34">
        <f t="shared" si="369"/>
        <v>0</v>
      </c>
    </row>
    <row r="12384" spans="13:13" x14ac:dyDescent="0.25">
      <c r="M12384" s="34">
        <f t="shared" si="369"/>
        <v>0</v>
      </c>
    </row>
    <row r="12385" spans="13:13" x14ac:dyDescent="0.25">
      <c r="M12385" s="34">
        <f t="shared" si="369"/>
        <v>0</v>
      </c>
    </row>
    <row r="12386" spans="13:13" x14ac:dyDescent="0.25">
      <c r="M12386" s="34">
        <f t="shared" si="369"/>
        <v>0</v>
      </c>
    </row>
    <row r="12387" spans="13:13" x14ac:dyDescent="0.25">
      <c r="M12387" s="34">
        <f t="shared" si="369"/>
        <v>0</v>
      </c>
    </row>
    <row r="12388" spans="13:13" x14ac:dyDescent="0.25">
      <c r="M12388" s="34">
        <f t="shared" si="369"/>
        <v>0</v>
      </c>
    </row>
    <row r="12389" spans="13:13" x14ac:dyDescent="0.25">
      <c r="M12389" s="34">
        <f t="shared" si="369"/>
        <v>0</v>
      </c>
    </row>
    <row r="12390" spans="13:13" x14ac:dyDescent="0.25">
      <c r="M12390" s="34">
        <f t="shared" si="369"/>
        <v>0</v>
      </c>
    </row>
    <row r="12391" spans="13:13" x14ac:dyDescent="0.25">
      <c r="M12391" s="34">
        <f t="shared" si="369"/>
        <v>0</v>
      </c>
    </row>
    <row r="12392" spans="13:13" x14ac:dyDescent="0.25">
      <c r="M12392" s="34">
        <f t="shared" si="369"/>
        <v>0</v>
      </c>
    </row>
    <row r="12393" spans="13:13" x14ac:dyDescent="0.25">
      <c r="M12393" s="34">
        <f t="shared" si="369"/>
        <v>0</v>
      </c>
    </row>
    <row r="12394" spans="13:13" x14ac:dyDescent="0.25">
      <c r="M12394" s="34">
        <f t="shared" si="369"/>
        <v>0</v>
      </c>
    </row>
    <row r="12395" spans="13:13" x14ac:dyDescent="0.25">
      <c r="M12395" s="34">
        <f t="shared" si="369"/>
        <v>0</v>
      </c>
    </row>
    <row r="12396" spans="13:13" x14ac:dyDescent="0.25">
      <c r="M12396" s="34">
        <f t="shared" si="369"/>
        <v>0</v>
      </c>
    </row>
    <row r="12397" spans="13:13" x14ac:dyDescent="0.25">
      <c r="M12397" s="34">
        <f t="shared" si="369"/>
        <v>0</v>
      </c>
    </row>
    <row r="12398" spans="13:13" x14ac:dyDescent="0.25">
      <c r="M12398" s="34">
        <f t="shared" si="369"/>
        <v>0</v>
      </c>
    </row>
    <row r="12399" spans="13:13" x14ac:dyDescent="0.25">
      <c r="M12399" s="34">
        <f t="shared" si="369"/>
        <v>0</v>
      </c>
    </row>
    <row r="12400" spans="13:13" x14ac:dyDescent="0.25">
      <c r="M12400" s="34">
        <f t="shared" si="369"/>
        <v>0</v>
      </c>
    </row>
    <row r="12401" spans="13:13" x14ac:dyDescent="0.25">
      <c r="M12401" s="34">
        <f t="shared" si="369"/>
        <v>0</v>
      </c>
    </row>
    <row r="12402" spans="13:13" x14ac:dyDescent="0.25">
      <c r="M12402" s="34">
        <f t="shared" si="369"/>
        <v>0</v>
      </c>
    </row>
    <row r="12403" spans="13:13" x14ac:dyDescent="0.25">
      <c r="M12403" s="34">
        <f t="shared" si="369"/>
        <v>0</v>
      </c>
    </row>
    <row r="12404" spans="13:13" x14ac:dyDescent="0.25">
      <c r="M12404" s="34">
        <f t="shared" si="369"/>
        <v>0</v>
      </c>
    </row>
    <row r="12405" spans="13:13" x14ac:dyDescent="0.25">
      <c r="M12405" s="34">
        <f t="shared" si="369"/>
        <v>0</v>
      </c>
    </row>
    <row r="12406" spans="13:13" x14ac:dyDescent="0.25">
      <c r="M12406" s="34">
        <f t="shared" si="369"/>
        <v>0</v>
      </c>
    </row>
    <row r="12407" spans="13:13" x14ac:dyDescent="0.25">
      <c r="M12407" s="34">
        <f t="shared" si="369"/>
        <v>0</v>
      </c>
    </row>
    <row r="12408" spans="13:13" x14ac:dyDescent="0.25">
      <c r="M12408" s="34">
        <f t="shared" si="369"/>
        <v>0</v>
      </c>
    </row>
    <row r="12409" spans="13:13" x14ac:dyDescent="0.25">
      <c r="M12409" s="34">
        <f t="shared" si="369"/>
        <v>0</v>
      </c>
    </row>
    <row r="12410" spans="13:13" x14ac:dyDescent="0.25">
      <c r="M12410" s="34">
        <f t="shared" si="369"/>
        <v>0</v>
      </c>
    </row>
    <row r="12411" spans="13:13" x14ac:dyDescent="0.25">
      <c r="M12411" s="34">
        <f t="shared" si="369"/>
        <v>0</v>
      </c>
    </row>
    <row r="12412" spans="13:13" x14ac:dyDescent="0.25">
      <c r="M12412" s="34">
        <f t="shared" si="369"/>
        <v>0</v>
      </c>
    </row>
    <row r="12413" spans="13:13" x14ac:dyDescent="0.25">
      <c r="M12413" s="34">
        <f t="shared" si="369"/>
        <v>0</v>
      </c>
    </row>
    <row r="12414" spans="13:13" x14ac:dyDescent="0.25">
      <c r="M12414" s="34">
        <f t="shared" si="369"/>
        <v>0</v>
      </c>
    </row>
    <row r="12415" spans="13:13" x14ac:dyDescent="0.25">
      <c r="M12415" s="34">
        <f t="shared" si="369"/>
        <v>0</v>
      </c>
    </row>
    <row r="12416" spans="13:13" x14ac:dyDescent="0.25">
      <c r="M12416" s="34">
        <f t="shared" si="369"/>
        <v>0</v>
      </c>
    </row>
    <row r="12417" spans="13:13" x14ac:dyDescent="0.25">
      <c r="M12417" s="34">
        <f t="shared" si="369"/>
        <v>0</v>
      </c>
    </row>
    <row r="12418" spans="13:13" x14ac:dyDescent="0.25">
      <c r="M12418" s="34">
        <f t="shared" si="369"/>
        <v>0</v>
      </c>
    </row>
    <row r="12419" spans="13:13" x14ac:dyDescent="0.25">
      <c r="M12419" s="34">
        <f t="shared" ref="M12419:M12482" si="370">IF(AND(E12419="Chèque",G12419="RECETTE"),F12419,0)</f>
        <v>0</v>
      </c>
    </row>
    <row r="12420" spans="13:13" x14ac:dyDescent="0.25">
      <c r="M12420" s="34">
        <f t="shared" si="370"/>
        <v>0</v>
      </c>
    </row>
    <row r="12421" spans="13:13" x14ac:dyDescent="0.25">
      <c r="M12421" s="34">
        <f t="shared" si="370"/>
        <v>0</v>
      </c>
    </row>
    <row r="12422" spans="13:13" x14ac:dyDescent="0.25">
      <c r="M12422" s="34">
        <f t="shared" si="370"/>
        <v>0</v>
      </c>
    </row>
    <row r="12423" spans="13:13" x14ac:dyDescent="0.25">
      <c r="M12423" s="34">
        <f t="shared" si="370"/>
        <v>0</v>
      </c>
    </row>
    <row r="12424" spans="13:13" x14ac:dyDescent="0.25">
      <c r="M12424" s="34">
        <f t="shared" si="370"/>
        <v>0</v>
      </c>
    </row>
    <row r="12425" spans="13:13" x14ac:dyDescent="0.25">
      <c r="M12425" s="34">
        <f t="shared" si="370"/>
        <v>0</v>
      </c>
    </row>
    <row r="12426" spans="13:13" x14ac:dyDescent="0.25">
      <c r="M12426" s="34">
        <f t="shared" si="370"/>
        <v>0</v>
      </c>
    </row>
    <row r="12427" spans="13:13" x14ac:dyDescent="0.25">
      <c r="M12427" s="34">
        <f t="shared" si="370"/>
        <v>0</v>
      </c>
    </row>
    <row r="12428" spans="13:13" x14ac:dyDescent="0.25">
      <c r="M12428" s="34">
        <f t="shared" si="370"/>
        <v>0</v>
      </c>
    </row>
    <row r="12429" spans="13:13" x14ac:dyDescent="0.25">
      <c r="M12429" s="34">
        <f t="shared" si="370"/>
        <v>0</v>
      </c>
    </row>
    <row r="12430" spans="13:13" x14ac:dyDescent="0.25">
      <c r="M12430" s="34">
        <f t="shared" si="370"/>
        <v>0</v>
      </c>
    </row>
    <row r="12431" spans="13:13" x14ac:dyDescent="0.25">
      <c r="M12431" s="34">
        <f t="shared" si="370"/>
        <v>0</v>
      </c>
    </row>
    <row r="12432" spans="13:13" x14ac:dyDescent="0.25">
      <c r="M12432" s="34">
        <f t="shared" si="370"/>
        <v>0</v>
      </c>
    </row>
    <row r="12433" spans="13:13" x14ac:dyDescent="0.25">
      <c r="M12433" s="34">
        <f t="shared" si="370"/>
        <v>0</v>
      </c>
    </row>
    <row r="12434" spans="13:13" x14ac:dyDescent="0.25">
      <c r="M12434" s="34">
        <f t="shared" si="370"/>
        <v>0</v>
      </c>
    </row>
    <row r="12435" spans="13:13" x14ac:dyDescent="0.25">
      <c r="M12435" s="34">
        <f t="shared" si="370"/>
        <v>0</v>
      </c>
    </row>
    <row r="12436" spans="13:13" x14ac:dyDescent="0.25">
      <c r="M12436" s="34">
        <f t="shared" si="370"/>
        <v>0</v>
      </c>
    </row>
    <row r="12437" spans="13:13" x14ac:dyDescent="0.25">
      <c r="M12437" s="34">
        <f t="shared" si="370"/>
        <v>0</v>
      </c>
    </row>
    <row r="12438" spans="13:13" x14ac:dyDescent="0.25">
      <c r="M12438" s="34">
        <f t="shared" si="370"/>
        <v>0</v>
      </c>
    </row>
    <row r="12439" spans="13:13" x14ac:dyDescent="0.25">
      <c r="M12439" s="34">
        <f t="shared" si="370"/>
        <v>0</v>
      </c>
    </row>
    <row r="12440" spans="13:13" x14ac:dyDescent="0.25">
      <c r="M12440" s="34">
        <f t="shared" si="370"/>
        <v>0</v>
      </c>
    </row>
    <row r="12441" spans="13:13" x14ac:dyDescent="0.25">
      <c r="M12441" s="34">
        <f t="shared" si="370"/>
        <v>0</v>
      </c>
    </row>
    <row r="12442" spans="13:13" x14ac:dyDescent="0.25">
      <c r="M12442" s="34">
        <f t="shared" si="370"/>
        <v>0</v>
      </c>
    </row>
    <row r="12443" spans="13:13" x14ac:dyDescent="0.25">
      <c r="M12443" s="34">
        <f t="shared" si="370"/>
        <v>0</v>
      </c>
    </row>
    <row r="12444" spans="13:13" x14ac:dyDescent="0.25">
      <c r="M12444" s="34">
        <f t="shared" si="370"/>
        <v>0</v>
      </c>
    </row>
    <row r="12445" spans="13:13" x14ac:dyDescent="0.25">
      <c r="M12445" s="34">
        <f t="shared" si="370"/>
        <v>0</v>
      </c>
    </row>
    <row r="12446" spans="13:13" x14ac:dyDescent="0.25">
      <c r="M12446" s="34">
        <f t="shared" si="370"/>
        <v>0</v>
      </c>
    </row>
    <row r="12447" spans="13:13" x14ac:dyDescent="0.25">
      <c r="M12447" s="34">
        <f t="shared" si="370"/>
        <v>0</v>
      </c>
    </row>
    <row r="12448" spans="13:13" x14ac:dyDescent="0.25">
      <c r="M12448" s="34">
        <f t="shared" si="370"/>
        <v>0</v>
      </c>
    </row>
    <row r="12449" spans="13:13" x14ac:dyDescent="0.25">
      <c r="M12449" s="34">
        <f t="shared" si="370"/>
        <v>0</v>
      </c>
    </row>
    <row r="12450" spans="13:13" x14ac:dyDescent="0.25">
      <c r="M12450" s="34">
        <f t="shared" si="370"/>
        <v>0</v>
      </c>
    </row>
    <row r="12451" spans="13:13" x14ac:dyDescent="0.25">
      <c r="M12451" s="34">
        <f t="shared" si="370"/>
        <v>0</v>
      </c>
    </row>
    <row r="12452" spans="13:13" x14ac:dyDescent="0.25">
      <c r="M12452" s="34">
        <f t="shared" si="370"/>
        <v>0</v>
      </c>
    </row>
    <row r="12453" spans="13:13" x14ac:dyDescent="0.25">
      <c r="M12453" s="34">
        <f t="shared" si="370"/>
        <v>0</v>
      </c>
    </row>
    <row r="12454" spans="13:13" x14ac:dyDescent="0.25">
      <c r="M12454" s="34">
        <f t="shared" si="370"/>
        <v>0</v>
      </c>
    </row>
    <row r="12455" spans="13:13" x14ac:dyDescent="0.25">
      <c r="M12455" s="34">
        <f t="shared" si="370"/>
        <v>0</v>
      </c>
    </row>
    <row r="12456" spans="13:13" x14ac:dyDescent="0.25">
      <c r="M12456" s="34">
        <f t="shared" si="370"/>
        <v>0</v>
      </c>
    </row>
    <row r="12457" spans="13:13" x14ac:dyDescent="0.25">
      <c r="M12457" s="34">
        <f t="shared" si="370"/>
        <v>0</v>
      </c>
    </row>
    <row r="12458" spans="13:13" x14ac:dyDescent="0.25">
      <c r="M12458" s="34">
        <f t="shared" si="370"/>
        <v>0</v>
      </c>
    </row>
    <row r="12459" spans="13:13" x14ac:dyDescent="0.25">
      <c r="M12459" s="34">
        <f t="shared" si="370"/>
        <v>0</v>
      </c>
    </row>
    <row r="12460" spans="13:13" x14ac:dyDescent="0.25">
      <c r="M12460" s="34">
        <f t="shared" si="370"/>
        <v>0</v>
      </c>
    </row>
    <row r="12461" spans="13:13" x14ac:dyDescent="0.25">
      <c r="M12461" s="34">
        <f t="shared" si="370"/>
        <v>0</v>
      </c>
    </row>
    <row r="12462" spans="13:13" x14ac:dyDescent="0.25">
      <c r="M12462" s="34">
        <f t="shared" si="370"/>
        <v>0</v>
      </c>
    </row>
    <row r="12463" spans="13:13" x14ac:dyDescent="0.25">
      <c r="M12463" s="34">
        <f t="shared" si="370"/>
        <v>0</v>
      </c>
    </row>
    <row r="12464" spans="13:13" x14ac:dyDescent="0.25">
      <c r="M12464" s="34">
        <f t="shared" si="370"/>
        <v>0</v>
      </c>
    </row>
    <row r="12465" spans="13:13" x14ac:dyDescent="0.25">
      <c r="M12465" s="34">
        <f t="shared" si="370"/>
        <v>0</v>
      </c>
    </row>
    <row r="12466" spans="13:13" x14ac:dyDescent="0.25">
      <c r="M12466" s="34">
        <f t="shared" si="370"/>
        <v>0</v>
      </c>
    </row>
    <row r="12467" spans="13:13" x14ac:dyDescent="0.25">
      <c r="M12467" s="34">
        <f t="shared" si="370"/>
        <v>0</v>
      </c>
    </row>
    <row r="12468" spans="13:13" x14ac:dyDescent="0.25">
      <c r="M12468" s="34">
        <f t="shared" si="370"/>
        <v>0</v>
      </c>
    </row>
    <row r="12469" spans="13:13" x14ac:dyDescent="0.25">
      <c r="M12469" s="34">
        <f t="shared" si="370"/>
        <v>0</v>
      </c>
    </row>
    <row r="12470" spans="13:13" x14ac:dyDescent="0.25">
      <c r="M12470" s="34">
        <f t="shared" si="370"/>
        <v>0</v>
      </c>
    </row>
    <row r="12471" spans="13:13" x14ac:dyDescent="0.25">
      <c r="M12471" s="34">
        <f t="shared" si="370"/>
        <v>0</v>
      </c>
    </row>
    <row r="12472" spans="13:13" x14ac:dyDescent="0.25">
      <c r="M12472" s="34">
        <f t="shared" si="370"/>
        <v>0</v>
      </c>
    </row>
    <row r="12473" spans="13:13" x14ac:dyDescent="0.25">
      <c r="M12473" s="34">
        <f t="shared" si="370"/>
        <v>0</v>
      </c>
    </row>
    <row r="12474" spans="13:13" x14ac:dyDescent="0.25">
      <c r="M12474" s="34">
        <f t="shared" si="370"/>
        <v>0</v>
      </c>
    </row>
    <row r="12475" spans="13:13" x14ac:dyDescent="0.25">
      <c r="M12475" s="34">
        <f t="shared" si="370"/>
        <v>0</v>
      </c>
    </row>
    <row r="12476" spans="13:13" x14ac:dyDescent="0.25">
      <c r="M12476" s="34">
        <f t="shared" si="370"/>
        <v>0</v>
      </c>
    </row>
    <row r="12477" spans="13:13" x14ac:dyDescent="0.25">
      <c r="M12477" s="34">
        <f t="shared" si="370"/>
        <v>0</v>
      </c>
    </row>
    <row r="12478" spans="13:13" x14ac:dyDescent="0.25">
      <c r="M12478" s="34">
        <f t="shared" si="370"/>
        <v>0</v>
      </c>
    </row>
    <row r="12479" spans="13:13" x14ac:dyDescent="0.25">
      <c r="M12479" s="34">
        <f t="shared" si="370"/>
        <v>0</v>
      </c>
    </row>
    <row r="12480" spans="13:13" x14ac:dyDescent="0.25">
      <c r="M12480" s="34">
        <f t="shared" si="370"/>
        <v>0</v>
      </c>
    </row>
    <row r="12481" spans="13:13" x14ac:dyDescent="0.25">
      <c r="M12481" s="34">
        <f t="shared" si="370"/>
        <v>0</v>
      </c>
    </row>
    <row r="12482" spans="13:13" x14ac:dyDescent="0.25">
      <c r="M12482" s="34">
        <f t="shared" si="370"/>
        <v>0</v>
      </c>
    </row>
    <row r="12483" spans="13:13" x14ac:dyDescent="0.25">
      <c r="M12483" s="34">
        <f t="shared" ref="M12483:M12546" si="371">IF(AND(E12483="Chèque",G12483="RECETTE"),F12483,0)</f>
        <v>0</v>
      </c>
    </row>
    <row r="12484" spans="13:13" x14ac:dyDescent="0.25">
      <c r="M12484" s="34">
        <f t="shared" si="371"/>
        <v>0</v>
      </c>
    </row>
    <row r="12485" spans="13:13" x14ac:dyDescent="0.25">
      <c r="M12485" s="34">
        <f t="shared" si="371"/>
        <v>0</v>
      </c>
    </row>
    <row r="12486" spans="13:13" x14ac:dyDescent="0.25">
      <c r="M12486" s="34">
        <f t="shared" si="371"/>
        <v>0</v>
      </c>
    </row>
    <row r="12487" spans="13:13" x14ac:dyDescent="0.25">
      <c r="M12487" s="34">
        <f t="shared" si="371"/>
        <v>0</v>
      </c>
    </row>
    <row r="12488" spans="13:13" x14ac:dyDescent="0.25">
      <c r="M12488" s="34">
        <f t="shared" si="371"/>
        <v>0</v>
      </c>
    </row>
    <row r="12489" spans="13:13" x14ac:dyDescent="0.25">
      <c r="M12489" s="34">
        <f t="shared" si="371"/>
        <v>0</v>
      </c>
    </row>
    <row r="12490" spans="13:13" x14ac:dyDescent="0.25">
      <c r="M12490" s="34">
        <f t="shared" si="371"/>
        <v>0</v>
      </c>
    </row>
    <row r="12491" spans="13:13" x14ac:dyDescent="0.25">
      <c r="M12491" s="34">
        <f t="shared" si="371"/>
        <v>0</v>
      </c>
    </row>
    <row r="12492" spans="13:13" x14ac:dyDescent="0.25">
      <c r="M12492" s="34">
        <f t="shared" si="371"/>
        <v>0</v>
      </c>
    </row>
    <row r="12493" spans="13:13" x14ac:dyDescent="0.25">
      <c r="M12493" s="34">
        <f t="shared" si="371"/>
        <v>0</v>
      </c>
    </row>
    <row r="12494" spans="13:13" x14ac:dyDescent="0.25">
      <c r="M12494" s="34">
        <f t="shared" si="371"/>
        <v>0</v>
      </c>
    </row>
    <row r="12495" spans="13:13" x14ac:dyDescent="0.25">
      <c r="M12495" s="34">
        <f t="shared" si="371"/>
        <v>0</v>
      </c>
    </row>
    <row r="12496" spans="13:13" x14ac:dyDescent="0.25">
      <c r="M12496" s="34">
        <f t="shared" si="371"/>
        <v>0</v>
      </c>
    </row>
    <row r="12497" spans="13:13" x14ac:dyDescent="0.25">
      <c r="M12497" s="34">
        <f t="shared" si="371"/>
        <v>0</v>
      </c>
    </row>
    <row r="12498" spans="13:13" x14ac:dyDescent="0.25">
      <c r="M12498" s="34">
        <f t="shared" si="371"/>
        <v>0</v>
      </c>
    </row>
    <row r="12499" spans="13:13" x14ac:dyDescent="0.25">
      <c r="M12499" s="34">
        <f t="shared" si="371"/>
        <v>0</v>
      </c>
    </row>
    <row r="12500" spans="13:13" x14ac:dyDescent="0.25">
      <c r="M12500" s="34">
        <f t="shared" si="371"/>
        <v>0</v>
      </c>
    </row>
    <row r="12501" spans="13:13" x14ac:dyDescent="0.25">
      <c r="M12501" s="34">
        <f t="shared" si="371"/>
        <v>0</v>
      </c>
    </row>
    <row r="12502" spans="13:13" x14ac:dyDescent="0.25">
      <c r="M12502" s="34">
        <f t="shared" si="371"/>
        <v>0</v>
      </c>
    </row>
    <row r="12503" spans="13:13" x14ac:dyDescent="0.25">
      <c r="M12503" s="34">
        <f t="shared" si="371"/>
        <v>0</v>
      </c>
    </row>
    <row r="12504" spans="13:13" x14ac:dyDescent="0.25">
      <c r="M12504" s="34">
        <f t="shared" si="371"/>
        <v>0</v>
      </c>
    </row>
    <row r="12505" spans="13:13" x14ac:dyDescent="0.25">
      <c r="M12505" s="34">
        <f t="shared" si="371"/>
        <v>0</v>
      </c>
    </row>
    <row r="12506" spans="13:13" x14ac:dyDescent="0.25">
      <c r="M12506" s="34">
        <f t="shared" si="371"/>
        <v>0</v>
      </c>
    </row>
    <row r="12507" spans="13:13" x14ac:dyDescent="0.25">
      <c r="M12507" s="34">
        <f t="shared" si="371"/>
        <v>0</v>
      </c>
    </row>
    <row r="12508" spans="13:13" x14ac:dyDescent="0.25">
      <c r="M12508" s="34">
        <f t="shared" si="371"/>
        <v>0</v>
      </c>
    </row>
    <row r="12509" spans="13:13" x14ac:dyDescent="0.25">
      <c r="M12509" s="34">
        <f t="shared" si="371"/>
        <v>0</v>
      </c>
    </row>
    <row r="12510" spans="13:13" x14ac:dyDescent="0.25">
      <c r="M12510" s="34">
        <f t="shared" si="371"/>
        <v>0</v>
      </c>
    </row>
    <row r="12511" spans="13:13" x14ac:dyDescent="0.25">
      <c r="M12511" s="34">
        <f t="shared" si="371"/>
        <v>0</v>
      </c>
    </row>
    <row r="12512" spans="13:13" x14ac:dyDescent="0.25">
      <c r="M12512" s="34">
        <f t="shared" si="371"/>
        <v>0</v>
      </c>
    </row>
    <row r="12513" spans="13:13" x14ac:dyDescent="0.25">
      <c r="M12513" s="34">
        <f t="shared" si="371"/>
        <v>0</v>
      </c>
    </row>
    <row r="12514" spans="13:13" x14ac:dyDescent="0.25">
      <c r="M12514" s="34">
        <f t="shared" si="371"/>
        <v>0</v>
      </c>
    </row>
    <row r="12515" spans="13:13" x14ac:dyDescent="0.25">
      <c r="M12515" s="34">
        <f t="shared" si="371"/>
        <v>0</v>
      </c>
    </row>
    <row r="12516" spans="13:13" x14ac:dyDescent="0.25">
      <c r="M12516" s="34">
        <f t="shared" si="371"/>
        <v>0</v>
      </c>
    </row>
    <row r="12517" spans="13:13" x14ac:dyDescent="0.25">
      <c r="M12517" s="34">
        <f t="shared" si="371"/>
        <v>0</v>
      </c>
    </row>
    <row r="12518" spans="13:13" x14ac:dyDescent="0.25">
      <c r="M12518" s="34">
        <f t="shared" si="371"/>
        <v>0</v>
      </c>
    </row>
    <row r="12519" spans="13:13" x14ac:dyDescent="0.25">
      <c r="M12519" s="34">
        <f t="shared" si="371"/>
        <v>0</v>
      </c>
    </row>
    <row r="12520" spans="13:13" x14ac:dyDescent="0.25">
      <c r="M12520" s="34">
        <f t="shared" si="371"/>
        <v>0</v>
      </c>
    </row>
    <row r="12521" spans="13:13" x14ac:dyDescent="0.25">
      <c r="M12521" s="34">
        <f t="shared" si="371"/>
        <v>0</v>
      </c>
    </row>
    <row r="12522" spans="13:13" x14ac:dyDescent="0.25">
      <c r="M12522" s="34">
        <f t="shared" si="371"/>
        <v>0</v>
      </c>
    </row>
    <row r="12523" spans="13:13" x14ac:dyDescent="0.25">
      <c r="M12523" s="34">
        <f t="shared" si="371"/>
        <v>0</v>
      </c>
    </row>
    <row r="12524" spans="13:13" x14ac:dyDescent="0.25">
      <c r="M12524" s="34">
        <f t="shared" si="371"/>
        <v>0</v>
      </c>
    </row>
    <row r="12525" spans="13:13" x14ac:dyDescent="0.25">
      <c r="M12525" s="34">
        <f t="shared" si="371"/>
        <v>0</v>
      </c>
    </row>
    <row r="12526" spans="13:13" x14ac:dyDescent="0.25">
      <c r="M12526" s="34">
        <f t="shared" si="371"/>
        <v>0</v>
      </c>
    </row>
    <row r="12527" spans="13:13" x14ac:dyDescent="0.25">
      <c r="M12527" s="34">
        <f t="shared" si="371"/>
        <v>0</v>
      </c>
    </row>
    <row r="12528" spans="13:13" x14ac:dyDescent="0.25">
      <c r="M12528" s="34">
        <f t="shared" si="371"/>
        <v>0</v>
      </c>
    </row>
    <row r="12529" spans="13:13" x14ac:dyDescent="0.25">
      <c r="M12529" s="34">
        <f t="shared" si="371"/>
        <v>0</v>
      </c>
    </row>
    <row r="12530" spans="13:13" x14ac:dyDescent="0.25">
      <c r="M12530" s="34">
        <f t="shared" si="371"/>
        <v>0</v>
      </c>
    </row>
    <row r="12531" spans="13:13" x14ac:dyDescent="0.25">
      <c r="M12531" s="34">
        <f t="shared" si="371"/>
        <v>0</v>
      </c>
    </row>
    <row r="12532" spans="13:13" x14ac:dyDescent="0.25">
      <c r="M12532" s="34">
        <f t="shared" si="371"/>
        <v>0</v>
      </c>
    </row>
    <row r="12533" spans="13:13" x14ac:dyDescent="0.25">
      <c r="M12533" s="34">
        <f t="shared" si="371"/>
        <v>0</v>
      </c>
    </row>
    <row r="12534" spans="13:13" x14ac:dyDescent="0.25">
      <c r="M12534" s="34">
        <f t="shared" si="371"/>
        <v>0</v>
      </c>
    </row>
    <row r="12535" spans="13:13" x14ac:dyDescent="0.25">
      <c r="M12535" s="34">
        <f t="shared" si="371"/>
        <v>0</v>
      </c>
    </row>
    <row r="12536" spans="13:13" x14ac:dyDescent="0.25">
      <c r="M12536" s="34">
        <f t="shared" si="371"/>
        <v>0</v>
      </c>
    </row>
    <row r="12537" spans="13:13" x14ac:dyDescent="0.25">
      <c r="M12537" s="34">
        <f t="shared" si="371"/>
        <v>0</v>
      </c>
    </row>
    <row r="12538" spans="13:13" x14ac:dyDescent="0.25">
      <c r="M12538" s="34">
        <f t="shared" si="371"/>
        <v>0</v>
      </c>
    </row>
    <row r="12539" spans="13:13" x14ac:dyDescent="0.25">
      <c r="M12539" s="34">
        <f t="shared" si="371"/>
        <v>0</v>
      </c>
    </row>
    <row r="12540" spans="13:13" x14ac:dyDescent="0.25">
      <c r="M12540" s="34">
        <f t="shared" si="371"/>
        <v>0</v>
      </c>
    </row>
    <row r="12541" spans="13:13" x14ac:dyDescent="0.25">
      <c r="M12541" s="34">
        <f t="shared" si="371"/>
        <v>0</v>
      </c>
    </row>
    <row r="12542" spans="13:13" x14ac:dyDescent="0.25">
      <c r="M12542" s="34">
        <f t="shared" si="371"/>
        <v>0</v>
      </c>
    </row>
    <row r="12543" spans="13:13" x14ac:dyDescent="0.25">
      <c r="M12543" s="34">
        <f t="shared" si="371"/>
        <v>0</v>
      </c>
    </row>
    <row r="12544" spans="13:13" x14ac:dyDescent="0.25">
      <c r="M12544" s="34">
        <f t="shared" si="371"/>
        <v>0</v>
      </c>
    </row>
    <row r="12545" spans="13:13" x14ac:dyDescent="0.25">
      <c r="M12545" s="34">
        <f t="shared" si="371"/>
        <v>0</v>
      </c>
    </row>
    <row r="12546" spans="13:13" x14ac:dyDescent="0.25">
      <c r="M12546" s="34">
        <f t="shared" si="371"/>
        <v>0</v>
      </c>
    </row>
    <row r="12547" spans="13:13" x14ac:dyDescent="0.25">
      <c r="M12547" s="34">
        <f t="shared" ref="M12547:M12610" si="372">IF(AND(E12547="Chèque",G12547="RECETTE"),F12547,0)</f>
        <v>0</v>
      </c>
    </row>
    <row r="12548" spans="13:13" x14ac:dyDescent="0.25">
      <c r="M12548" s="34">
        <f t="shared" si="372"/>
        <v>0</v>
      </c>
    </row>
    <row r="12549" spans="13:13" x14ac:dyDescent="0.25">
      <c r="M12549" s="34">
        <f t="shared" si="372"/>
        <v>0</v>
      </c>
    </row>
    <row r="12550" spans="13:13" x14ac:dyDescent="0.25">
      <c r="M12550" s="34">
        <f t="shared" si="372"/>
        <v>0</v>
      </c>
    </row>
    <row r="12551" spans="13:13" x14ac:dyDescent="0.25">
      <c r="M12551" s="34">
        <f t="shared" si="372"/>
        <v>0</v>
      </c>
    </row>
    <row r="12552" spans="13:13" x14ac:dyDescent="0.25">
      <c r="M12552" s="34">
        <f t="shared" si="372"/>
        <v>0</v>
      </c>
    </row>
    <row r="12553" spans="13:13" x14ac:dyDescent="0.25">
      <c r="M12553" s="34">
        <f t="shared" si="372"/>
        <v>0</v>
      </c>
    </row>
    <row r="12554" spans="13:13" x14ac:dyDescent="0.25">
      <c r="M12554" s="34">
        <f t="shared" si="372"/>
        <v>0</v>
      </c>
    </row>
    <row r="12555" spans="13:13" x14ac:dyDescent="0.25">
      <c r="M12555" s="34">
        <f t="shared" si="372"/>
        <v>0</v>
      </c>
    </row>
    <row r="12556" spans="13:13" x14ac:dyDescent="0.25">
      <c r="M12556" s="34">
        <f t="shared" si="372"/>
        <v>0</v>
      </c>
    </row>
    <row r="12557" spans="13:13" x14ac:dyDescent="0.25">
      <c r="M12557" s="34">
        <f t="shared" si="372"/>
        <v>0</v>
      </c>
    </row>
    <row r="12558" spans="13:13" x14ac:dyDescent="0.25">
      <c r="M12558" s="34">
        <f t="shared" si="372"/>
        <v>0</v>
      </c>
    </row>
    <row r="12559" spans="13:13" x14ac:dyDescent="0.25">
      <c r="M12559" s="34">
        <f t="shared" si="372"/>
        <v>0</v>
      </c>
    </row>
    <row r="12560" spans="13:13" x14ac:dyDescent="0.25">
      <c r="M12560" s="34">
        <f t="shared" si="372"/>
        <v>0</v>
      </c>
    </row>
    <row r="12561" spans="13:13" x14ac:dyDescent="0.25">
      <c r="M12561" s="34">
        <f t="shared" si="372"/>
        <v>0</v>
      </c>
    </row>
    <row r="12562" spans="13:13" x14ac:dyDescent="0.25">
      <c r="M12562" s="34">
        <f t="shared" si="372"/>
        <v>0</v>
      </c>
    </row>
    <row r="12563" spans="13:13" x14ac:dyDescent="0.25">
      <c r="M12563" s="34">
        <f t="shared" si="372"/>
        <v>0</v>
      </c>
    </row>
    <row r="12564" spans="13:13" x14ac:dyDescent="0.25">
      <c r="M12564" s="34">
        <f t="shared" si="372"/>
        <v>0</v>
      </c>
    </row>
    <row r="12565" spans="13:13" x14ac:dyDescent="0.25">
      <c r="M12565" s="34">
        <f t="shared" si="372"/>
        <v>0</v>
      </c>
    </row>
    <row r="12566" spans="13:13" x14ac:dyDescent="0.25">
      <c r="M12566" s="34">
        <f t="shared" si="372"/>
        <v>0</v>
      </c>
    </row>
    <row r="12567" spans="13:13" x14ac:dyDescent="0.25">
      <c r="M12567" s="34">
        <f t="shared" si="372"/>
        <v>0</v>
      </c>
    </row>
    <row r="12568" spans="13:13" x14ac:dyDescent="0.25">
      <c r="M12568" s="34">
        <f t="shared" si="372"/>
        <v>0</v>
      </c>
    </row>
    <row r="12569" spans="13:13" x14ac:dyDescent="0.25">
      <c r="M12569" s="34">
        <f t="shared" si="372"/>
        <v>0</v>
      </c>
    </row>
    <row r="12570" spans="13:13" x14ac:dyDescent="0.25">
      <c r="M12570" s="34">
        <f t="shared" si="372"/>
        <v>0</v>
      </c>
    </row>
    <row r="12571" spans="13:13" x14ac:dyDescent="0.25">
      <c r="M12571" s="34">
        <f t="shared" si="372"/>
        <v>0</v>
      </c>
    </row>
    <row r="12572" spans="13:13" x14ac:dyDescent="0.25">
      <c r="M12572" s="34">
        <f t="shared" si="372"/>
        <v>0</v>
      </c>
    </row>
    <row r="12573" spans="13:13" x14ac:dyDescent="0.25">
      <c r="M12573" s="34">
        <f t="shared" si="372"/>
        <v>0</v>
      </c>
    </row>
    <row r="12574" spans="13:13" x14ac:dyDescent="0.25">
      <c r="M12574" s="34">
        <f t="shared" si="372"/>
        <v>0</v>
      </c>
    </row>
    <row r="12575" spans="13:13" x14ac:dyDescent="0.25">
      <c r="M12575" s="34">
        <f t="shared" si="372"/>
        <v>0</v>
      </c>
    </row>
    <row r="12576" spans="13:13" x14ac:dyDescent="0.25">
      <c r="M12576" s="34">
        <f t="shared" si="372"/>
        <v>0</v>
      </c>
    </row>
    <row r="12577" spans="13:13" x14ac:dyDescent="0.25">
      <c r="M12577" s="34">
        <f t="shared" si="372"/>
        <v>0</v>
      </c>
    </row>
    <row r="12578" spans="13:13" x14ac:dyDescent="0.25">
      <c r="M12578" s="34">
        <f t="shared" si="372"/>
        <v>0</v>
      </c>
    </row>
    <row r="12579" spans="13:13" x14ac:dyDescent="0.25">
      <c r="M12579" s="34">
        <f t="shared" si="372"/>
        <v>0</v>
      </c>
    </row>
    <row r="12580" spans="13:13" x14ac:dyDescent="0.25">
      <c r="M12580" s="34">
        <f t="shared" si="372"/>
        <v>0</v>
      </c>
    </row>
    <row r="12581" spans="13:13" x14ac:dyDescent="0.25">
      <c r="M12581" s="34">
        <f t="shared" si="372"/>
        <v>0</v>
      </c>
    </row>
    <row r="12582" spans="13:13" x14ac:dyDescent="0.25">
      <c r="M12582" s="34">
        <f t="shared" si="372"/>
        <v>0</v>
      </c>
    </row>
    <row r="12583" spans="13:13" x14ac:dyDescent="0.25">
      <c r="M12583" s="34">
        <f t="shared" si="372"/>
        <v>0</v>
      </c>
    </row>
    <row r="12584" spans="13:13" x14ac:dyDescent="0.25">
      <c r="M12584" s="34">
        <f t="shared" si="372"/>
        <v>0</v>
      </c>
    </row>
    <row r="12585" spans="13:13" x14ac:dyDescent="0.25">
      <c r="M12585" s="34">
        <f t="shared" si="372"/>
        <v>0</v>
      </c>
    </row>
    <row r="12586" spans="13:13" x14ac:dyDescent="0.25">
      <c r="M12586" s="34">
        <f t="shared" si="372"/>
        <v>0</v>
      </c>
    </row>
    <row r="12587" spans="13:13" x14ac:dyDescent="0.25">
      <c r="M12587" s="34">
        <f t="shared" si="372"/>
        <v>0</v>
      </c>
    </row>
    <row r="12588" spans="13:13" x14ac:dyDescent="0.25">
      <c r="M12588" s="34">
        <f t="shared" si="372"/>
        <v>0</v>
      </c>
    </row>
    <row r="12589" spans="13:13" x14ac:dyDescent="0.25">
      <c r="M12589" s="34">
        <f t="shared" si="372"/>
        <v>0</v>
      </c>
    </row>
    <row r="12590" spans="13:13" x14ac:dyDescent="0.25">
      <c r="M12590" s="34">
        <f t="shared" si="372"/>
        <v>0</v>
      </c>
    </row>
    <row r="12591" spans="13:13" x14ac:dyDescent="0.25">
      <c r="M12591" s="34">
        <f t="shared" si="372"/>
        <v>0</v>
      </c>
    </row>
    <row r="12592" spans="13:13" x14ac:dyDescent="0.25">
      <c r="M12592" s="34">
        <f t="shared" si="372"/>
        <v>0</v>
      </c>
    </row>
    <row r="12593" spans="13:13" x14ac:dyDescent="0.25">
      <c r="M12593" s="34">
        <f t="shared" si="372"/>
        <v>0</v>
      </c>
    </row>
    <row r="12594" spans="13:13" x14ac:dyDescent="0.25">
      <c r="M12594" s="34">
        <f t="shared" si="372"/>
        <v>0</v>
      </c>
    </row>
    <row r="12595" spans="13:13" x14ac:dyDescent="0.25">
      <c r="M12595" s="34">
        <f t="shared" si="372"/>
        <v>0</v>
      </c>
    </row>
    <row r="12596" spans="13:13" x14ac:dyDescent="0.25">
      <c r="M12596" s="34">
        <f t="shared" si="372"/>
        <v>0</v>
      </c>
    </row>
    <row r="12597" spans="13:13" x14ac:dyDescent="0.25">
      <c r="M12597" s="34">
        <f t="shared" si="372"/>
        <v>0</v>
      </c>
    </row>
    <row r="12598" spans="13:13" x14ac:dyDescent="0.25">
      <c r="M12598" s="34">
        <f t="shared" si="372"/>
        <v>0</v>
      </c>
    </row>
    <row r="12599" spans="13:13" x14ac:dyDescent="0.25">
      <c r="M12599" s="34">
        <f t="shared" si="372"/>
        <v>0</v>
      </c>
    </row>
    <row r="12600" spans="13:13" x14ac:dyDescent="0.25">
      <c r="M12600" s="34">
        <f t="shared" si="372"/>
        <v>0</v>
      </c>
    </row>
    <row r="12601" spans="13:13" x14ac:dyDescent="0.25">
      <c r="M12601" s="34">
        <f t="shared" si="372"/>
        <v>0</v>
      </c>
    </row>
    <row r="12602" spans="13:13" x14ac:dyDescent="0.25">
      <c r="M12602" s="34">
        <f t="shared" si="372"/>
        <v>0</v>
      </c>
    </row>
    <row r="12603" spans="13:13" x14ac:dyDescent="0.25">
      <c r="M12603" s="34">
        <f t="shared" si="372"/>
        <v>0</v>
      </c>
    </row>
    <row r="12604" spans="13:13" x14ac:dyDescent="0.25">
      <c r="M12604" s="34">
        <f t="shared" si="372"/>
        <v>0</v>
      </c>
    </row>
    <row r="12605" spans="13:13" x14ac:dyDescent="0.25">
      <c r="M12605" s="34">
        <f t="shared" si="372"/>
        <v>0</v>
      </c>
    </row>
    <row r="12606" spans="13:13" x14ac:dyDescent="0.25">
      <c r="M12606" s="34">
        <f t="shared" si="372"/>
        <v>0</v>
      </c>
    </row>
    <row r="12607" spans="13:13" x14ac:dyDescent="0.25">
      <c r="M12607" s="34">
        <f t="shared" si="372"/>
        <v>0</v>
      </c>
    </row>
    <row r="12608" spans="13:13" x14ac:dyDescent="0.25">
      <c r="M12608" s="34">
        <f t="shared" si="372"/>
        <v>0</v>
      </c>
    </row>
    <row r="12609" spans="13:13" x14ac:dyDescent="0.25">
      <c r="M12609" s="34">
        <f t="shared" si="372"/>
        <v>0</v>
      </c>
    </row>
    <row r="12610" spans="13:13" x14ac:dyDescent="0.25">
      <c r="M12610" s="34">
        <f t="shared" si="372"/>
        <v>0</v>
      </c>
    </row>
    <row r="12611" spans="13:13" x14ac:dyDescent="0.25">
      <c r="M12611" s="34">
        <f t="shared" ref="M12611:M12674" si="373">IF(AND(E12611="Chèque",G12611="RECETTE"),F12611,0)</f>
        <v>0</v>
      </c>
    </row>
    <row r="12612" spans="13:13" x14ac:dyDescent="0.25">
      <c r="M12612" s="34">
        <f t="shared" si="373"/>
        <v>0</v>
      </c>
    </row>
    <row r="12613" spans="13:13" x14ac:dyDescent="0.25">
      <c r="M12613" s="34">
        <f t="shared" si="373"/>
        <v>0</v>
      </c>
    </row>
    <row r="12614" spans="13:13" x14ac:dyDescent="0.25">
      <c r="M12614" s="34">
        <f t="shared" si="373"/>
        <v>0</v>
      </c>
    </row>
    <row r="12615" spans="13:13" x14ac:dyDescent="0.25">
      <c r="M12615" s="34">
        <f t="shared" si="373"/>
        <v>0</v>
      </c>
    </row>
    <row r="12616" spans="13:13" x14ac:dyDescent="0.25">
      <c r="M12616" s="34">
        <f t="shared" si="373"/>
        <v>0</v>
      </c>
    </row>
    <row r="12617" spans="13:13" x14ac:dyDescent="0.25">
      <c r="M12617" s="34">
        <f t="shared" si="373"/>
        <v>0</v>
      </c>
    </row>
    <row r="12618" spans="13:13" x14ac:dyDescent="0.25">
      <c r="M12618" s="34">
        <f t="shared" si="373"/>
        <v>0</v>
      </c>
    </row>
    <row r="12619" spans="13:13" x14ac:dyDescent="0.25">
      <c r="M12619" s="34">
        <f t="shared" si="373"/>
        <v>0</v>
      </c>
    </row>
    <row r="12620" spans="13:13" x14ac:dyDescent="0.25">
      <c r="M12620" s="34">
        <f t="shared" si="373"/>
        <v>0</v>
      </c>
    </row>
    <row r="12621" spans="13:13" x14ac:dyDescent="0.25">
      <c r="M12621" s="34">
        <f t="shared" si="373"/>
        <v>0</v>
      </c>
    </row>
    <row r="12622" spans="13:13" x14ac:dyDescent="0.25">
      <c r="M12622" s="34">
        <f t="shared" si="373"/>
        <v>0</v>
      </c>
    </row>
    <row r="12623" spans="13:13" x14ac:dyDescent="0.25">
      <c r="M12623" s="34">
        <f t="shared" si="373"/>
        <v>0</v>
      </c>
    </row>
    <row r="12624" spans="13:13" x14ac:dyDescent="0.25">
      <c r="M12624" s="34">
        <f t="shared" si="373"/>
        <v>0</v>
      </c>
    </row>
    <row r="12625" spans="13:13" x14ac:dyDescent="0.25">
      <c r="M12625" s="34">
        <f t="shared" si="373"/>
        <v>0</v>
      </c>
    </row>
    <row r="12626" spans="13:13" x14ac:dyDescent="0.25">
      <c r="M12626" s="34">
        <f t="shared" si="373"/>
        <v>0</v>
      </c>
    </row>
    <row r="12627" spans="13:13" x14ac:dyDescent="0.25">
      <c r="M12627" s="34">
        <f t="shared" si="373"/>
        <v>0</v>
      </c>
    </row>
    <row r="12628" spans="13:13" x14ac:dyDescent="0.25">
      <c r="M12628" s="34">
        <f t="shared" si="373"/>
        <v>0</v>
      </c>
    </row>
    <row r="12629" spans="13:13" x14ac:dyDescent="0.25">
      <c r="M12629" s="34">
        <f t="shared" si="373"/>
        <v>0</v>
      </c>
    </row>
    <row r="12630" spans="13:13" x14ac:dyDescent="0.25">
      <c r="M12630" s="34">
        <f t="shared" si="373"/>
        <v>0</v>
      </c>
    </row>
    <row r="12631" spans="13:13" x14ac:dyDescent="0.25">
      <c r="M12631" s="34">
        <f t="shared" si="373"/>
        <v>0</v>
      </c>
    </row>
    <row r="12632" spans="13:13" x14ac:dyDescent="0.25">
      <c r="M12632" s="34">
        <f t="shared" si="373"/>
        <v>0</v>
      </c>
    </row>
    <row r="12633" spans="13:13" x14ac:dyDescent="0.25">
      <c r="M12633" s="34">
        <f t="shared" si="373"/>
        <v>0</v>
      </c>
    </row>
    <row r="12634" spans="13:13" x14ac:dyDescent="0.25">
      <c r="M12634" s="34">
        <f t="shared" si="373"/>
        <v>0</v>
      </c>
    </row>
    <row r="12635" spans="13:13" x14ac:dyDescent="0.25">
      <c r="M12635" s="34">
        <f t="shared" si="373"/>
        <v>0</v>
      </c>
    </row>
    <row r="12636" spans="13:13" x14ac:dyDescent="0.25">
      <c r="M12636" s="34">
        <f t="shared" si="373"/>
        <v>0</v>
      </c>
    </row>
    <row r="12637" spans="13:13" x14ac:dyDescent="0.25">
      <c r="M12637" s="34">
        <f t="shared" si="373"/>
        <v>0</v>
      </c>
    </row>
    <row r="12638" spans="13:13" x14ac:dyDescent="0.25">
      <c r="M12638" s="34">
        <f t="shared" si="373"/>
        <v>0</v>
      </c>
    </row>
    <row r="12639" spans="13:13" x14ac:dyDescent="0.25">
      <c r="M12639" s="34">
        <f t="shared" si="373"/>
        <v>0</v>
      </c>
    </row>
    <row r="12640" spans="13:13" x14ac:dyDescent="0.25">
      <c r="M12640" s="34">
        <f t="shared" si="373"/>
        <v>0</v>
      </c>
    </row>
    <row r="12641" spans="13:13" x14ac:dyDescent="0.25">
      <c r="M12641" s="34">
        <f t="shared" si="373"/>
        <v>0</v>
      </c>
    </row>
    <row r="12642" spans="13:13" x14ac:dyDescent="0.25">
      <c r="M12642" s="34">
        <f t="shared" si="373"/>
        <v>0</v>
      </c>
    </row>
    <row r="12643" spans="13:13" x14ac:dyDescent="0.25">
      <c r="M12643" s="34">
        <f t="shared" si="373"/>
        <v>0</v>
      </c>
    </row>
    <row r="12644" spans="13:13" x14ac:dyDescent="0.25">
      <c r="M12644" s="34">
        <f t="shared" si="373"/>
        <v>0</v>
      </c>
    </row>
    <row r="12645" spans="13:13" x14ac:dyDescent="0.25">
      <c r="M12645" s="34">
        <f t="shared" si="373"/>
        <v>0</v>
      </c>
    </row>
    <row r="12646" spans="13:13" x14ac:dyDescent="0.25">
      <c r="M12646" s="34">
        <f t="shared" si="373"/>
        <v>0</v>
      </c>
    </row>
    <row r="12647" spans="13:13" x14ac:dyDescent="0.25">
      <c r="M12647" s="34">
        <f t="shared" si="373"/>
        <v>0</v>
      </c>
    </row>
    <row r="12648" spans="13:13" x14ac:dyDescent="0.25">
      <c r="M12648" s="34">
        <f t="shared" si="373"/>
        <v>0</v>
      </c>
    </row>
    <row r="12649" spans="13:13" x14ac:dyDescent="0.25">
      <c r="M12649" s="34">
        <f t="shared" si="373"/>
        <v>0</v>
      </c>
    </row>
    <row r="12650" spans="13:13" x14ac:dyDescent="0.25">
      <c r="M12650" s="34">
        <f t="shared" si="373"/>
        <v>0</v>
      </c>
    </row>
    <row r="12651" spans="13:13" x14ac:dyDescent="0.25">
      <c r="M12651" s="34">
        <f t="shared" si="373"/>
        <v>0</v>
      </c>
    </row>
    <row r="12652" spans="13:13" x14ac:dyDescent="0.25">
      <c r="M12652" s="34">
        <f t="shared" si="373"/>
        <v>0</v>
      </c>
    </row>
    <row r="12653" spans="13:13" x14ac:dyDescent="0.25">
      <c r="M12653" s="34">
        <f t="shared" si="373"/>
        <v>0</v>
      </c>
    </row>
    <row r="12654" spans="13:13" x14ac:dyDescent="0.25">
      <c r="M12654" s="34">
        <f t="shared" si="373"/>
        <v>0</v>
      </c>
    </row>
    <row r="12655" spans="13:13" x14ac:dyDescent="0.25">
      <c r="M12655" s="34">
        <f t="shared" si="373"/>
        <v>0</v>
      </c>
    </row>
    <row r="12656" spans="13:13" x14ac:dyDescent="0.25">
      <c r="M12656" s="34">
        <f t="shared" si="373"/>
        <v>0</v>
      </c>
    </row>
    <row r="12657" spans="13:13" x14ac:dyDescent="0.25">
      <c r="M12657" s="34">
        <f t="shared" si="373"/>
        <v>0</v>
      </c>
    </row>
    <row r="12658" spans="13:13" x14ac:dyDescent="0.25">
      <c r="M12658" s="34">
        <f t="shared" si="373"/>
        <v>0</v>
      </c>
    </row>
    <row r="12659" spans="13:13" x14ac:dyDescent="0.25">
      <c r="M12659" s="34">
        <f t="shared" si="373"/>
        <v>0</v>
      </c>
    </row>
    <row r="12660" spans="13:13" x14ac:dyDescent="0.25">
      <c r="M12660" s="34">
        <f t="shared" si="373"/>
        <v>0</v>
      </c>
    </row>
    <row r="12661" spans="13:13" x14ac:dyDescent="0.25">
      <c r="M12661" s="34">
        <f t="shared" si="373"/>
        <v>0</v>
      </c>
    </row>
    <row r="12662" spans="13:13" x14ac:dyDescent="0.25">
      <c r="M12662" s="34">
        <f t="shared" si="373"/>
        <v>0</v>
      </c>
    </row>
    <row r="12663" spans="13:13" x14ac:dyDescent="0.25">
      <c r="M12663" s="34">
        <f t="shared" si="373"/>
        <v>0</v>
      </c>
    </row>
    <row r="12664" spans="13:13" x14ac:dyDescent="0.25">
      <c r="M12664" s="34">
        <f t="shared" si="373"/>
        <v>0</v>
      </c>
    </row>
    <row r="12665" spans="13:13" x14ac:dyDescent="0.25">
      <c r="M12665" s="34">
        <f t="shared" si="373"/>
        <v>0</v>
      </c>
    </row>
    <row r="12666" spans="13:13" x14ac:dyDescent="0.25">
      <c r="M12666" s="34">
        <f t="shared" si="373"/>
        <v>0</v>
      </c>
    </row>
    <row r="12667" spans="13:13" x14ac:dyDescent="0.25">
      <c r="M12667" s="34">
        <f t="shared" si="373"/>
        <v>0</v>
      </c>
    </row>
    <row r="12668" spans="13:13" x14ac:dyDescent="0.25">
      <c r="M12668" s="34">
        <f t="shared" si="373"/>
        <v>0</v>
      </c>
    </row>
    <row r="12669" spans="13:13" x14ac:dyDescent="0.25">
      <c r="M12669" s="34">
        <f t="shared" si="373"/>
        <v>0</v>
      </c>
    </row>
    <row r="12670" spans="13:13" x14ac:dyDescent="0.25">
      <c r="M12670" s="34">
        <f t="shared" si="373"/>
        <v>0</v>
      </c>
    </row>
    <row r="12671" spans="13:13" x14ac:dyDescent="0.25">
      <c r="M12671" s="34">
        <f t="shared" si="373"/>
        <v>0</v>
      </c>
    </row>
    <row r="12672" spans="13:13" x14ac:dyDescent="0.25">
      <c r="M12672" s="34">
        <f t="shared" si="373"/>
        <v>0</v>
      </c>
    </row>
    <row r="12673" spans="13:13" x14ac:dyDescent="0.25">
      <c r="M12673" s="34">
        <f t="shared" si="373"/>
        <v>0</v>
      </c>
    </row>
    <row r="12674" spans="13:13" x14ac:dyDescent="0.25">
      <c r="M12674" s="34">
        <f t="shared" si="373"/>
        <v>0</v>
      </c>
    </row>
    <row r="12675" spans="13:13" x14ac:dyDescent="0.25">
      <c r="M12675" s="34">
        <f t="shared" ref="M12675:M12738" si="374">IF(AND(E12675="Chèque",G12675="RECETTE"),F12675,0)</f>
        <v>0</v>
      </c>
    </row>
    <row r="12676" spans="13:13" x14ac:dyDescent="0.25">
      <c r="M12676" s="34">
        <f t="shared" si="374"/>
        <v>0</v>
      </c>
    </row>
    <row r="12677" spans="13:13" x14ac:dyDescent="0.25">
      <c r="M12677" s="34">
        <f t="shared" si="374"/>
        <v>0</v>
      </c>
    </row>
    <row r="12678" spans="13:13" x14ac:dyDescent="0.25">
      <c r="M12678" s="34">
        <f t="shared" si="374"/>
        <v>0</v>
      </c>
    </row>
    <row r="12679" spans="13:13" x14ac:dyDescent="0.25">
      <c r="M12679" s="34">
        <f t="shared" si="374"/>
        <v>0</v>
      </c>
    </row>
    <row r="12680" spans="13:13" x14ac:dyDescent="0.25">
      <c r="M12680" s="34">
        <f t="shared" si="374"/>
        <v>0</v>
      </c>
    </row>
    <row r="12681" spans="13:13" x14ac:dyDescent="0.25">
      <c r="M12681" s="34">
        <f t="shared" si="374"/>
        <v>0</v>
      </c>
    </row>
    <row r="12682" spans="13:13" x14ac:dyDescent="0.25">
      <c r="M12682" s="34">
        <f t="shared" si="374"/>
        <v>0</v>
      </c>
    </row>
    <row r="12683" spans="13:13" x14ac:dyDescent="0.25">
      <c r="M12683" s="34">
        <f t="shared" si="374"/>
        <v>0</v>
      </c>
    </row>
    <row r="12684" spans="13:13" x14ac:dyDescent="0.25">
      <c r="M12684" s="34">
        <f t="shared" si="374"/>
        <v>0</v>
      </c>
    </row>
    <row r="12685" spans="13:13" x14ac:dyDescent="0.25">
      <c r="M12685" s="34">
        <f t="shared" si="374"/>
        <v>0</v>
      </c>
    </row>
    <row r="12686" spans="13:13" x14ac:dyDescent="0.25">
      <c r="M12686" s="34">
        <f t="shared" si="374"/>
        <v>0</v>
      </c>
    </row>
    <row r="12687" spans="13:13" x14ac:dyDescent="0.25">
      <c r="M12687" s="34">
        <f t="shared" si="374"/>
        <v>0</v>
      </c>
    </row>
    <row r="12688" spans="13:13" x14ac:dyDescent="0.25">
      <c r="M12688" s="34">
        <f t="shared" si="374"/>
        <v>0</v>
      </c>
    </row>
    <row r="12689" spans="13:13" x14ac:dyDescent="0.25">
      <c r="M12689" s="34">
        <f t="shared" si="374"/>
        <v>0</v>
      </c>
    </row>
    <row r="12690" spans="13:13" x14ac:dyDescent="0.25">
      <c r="M12690" s="34">
        <f t="shared" si="374"/>
        <v>0</v>
      </c>
    </row>
    <row r="12691" spans="13:13" x14ac:dyDescent="0.25">
      <c r="M12691" s="34">
        <f t="shared" si="374"/>
        <v>0</v>
      </c>
    </row>
    <row r="12692" spans="13:13" x14ac:dyDescent="0.25">
      <c r="M12692" s="34">
        <f t="shared" si="374"/>
        <v>0</v>
      </c>
    </row>
    <row r="12693" spans="13:13" x14ac:dyDescent="0.25">
      <c r="M12693" s="34">
        <f t="shared" si="374"/>
        <v>0</v>
      </c>
    </row>
    <row r="12694" spans="13:13" x14ac:dyDescent="0.25">
      <c r="M12694" s="34">
        <f t="shared" si="374"/>
        <v>0</v>
      </c>
    </row>
    <row r="12695" spans="13:13" x14ac:dyDescent="0.25">
      <c r="M12695" s="34">
        <f t="shared" si="374"/>
        <v>0</v>
      </c>
    </row>
    <row r="12696" spans="13:13" x14ac:dyDescent="0.25">
      <c r="M12696" s="34">
        <f t="shared" si="374"/>
        <v>0</v>
      </c>
    </row>
    <row r="12697" spans="13:13" x14ac:dyDescent="0.25">
      <c r="M12697" s="34">
        <f t="shared" si="374"/>
        <v>0</v>
      </c>
    </row>
    <row r="12698" spans="13:13" x14ac:dyDescent="0.25">
      <c r="M12698" s="34">
        <f t="shared" si="374"/>
        <v>0</v>
      </c>
    </row>
    <row r="12699" spans="13:13" x14ac:dyDescent="0.25">
      <c r="M12699" s="34">
        <f t="shared" si="374"/>
        <v>0</v>
      </c>
    </row>
    <row r="12700" spans="13:13" x14ac:dyDescent="0.25">
      <c r="M12700" s="34">
        <f t="shared" si="374"/>
        <v>0</v>
      </c>
    </row>
    <row r="12701" spans="13:13" x14ac:dyDescent="0.25">
      <c r="M12701" s="34">
        <f t="shared" si="374"/>
        <v>0</v>
      </c>
    </row>
    <row r="12702" spans="13:13" x14ac:dyDescent="0.25">
      <c r="M12702" s="34">
        <f t="shared" si="374"/>
        <v>0</v>
      </c>
    </row>
    <row r="12703" spans="13:13" x14ac:dyDescent="0.25">
      <c r="M12703" s="34">
        <f t="shared" si="374"/>
        <v>0</v>
      </c>
    </row>
    <row r="12704" spans="13:13" x14ac:dyDescent="0.25">
      <c r="M12704" s="34">
        <f t="shared" si="374"/>
        <v>0</v>
      </c>
    </row>
    <row r="12705" spans="13:13" x14ac:dyDescent="0.25">
      <c r="M12705" s="34">
        <f t="shared" si="374"/>
        <v>0</v>
      </c>
    </row>
    <row r="12706" spans="13:13" x14ac:dyDescent="0.25">
      <c r="M12706" s="34">
        <f t="shared" si="374"/>
        <v>0</v>
      </c>
    </row>
    <row r="12707" spans="13:13" x14ac:dyDescent="0.25">
      <c r="M12707" s="34">
        <f t="shared" si="374"/>
        <v>0</v>
      </c>
    </row>
    <row r="12708" spans="13:13" x14ac:dyDescent="0.25">
      <c r="M12708" s="34">
        <f t="shared" si="374"/>
        <v>0</v>
      </c>
    </row>
    <row r="12709" spans="13:13" x14ac:dyDescent="0.25">
      <c r="M12709" s="34">
        <f t="shared" si="374"/>
        <v>0</v>
      </c>
    </row>
    <row r="12710" spans="13:13" x14ac:dyDescent="0.25">
      <c r="M12710" s="34">
        <f t="shared" si="374"/>
        <v>0</v>
      </c>
    </row>
    <row r="12711" spans="13:13" x14ac:dyDescent="0.25">
      <c r="M12711" s="34">
        <f t="shared" si="374"/>
        <v>0</v>
      </c>
    </row>
    <row r="12712" spans="13:13" x14ac:dyDescent="0.25">
      <c r="M12712" s="34">
        <f t="shared" si="374"/>
        <v>0</v>
      </c>
    </row>
    <row r="12713" spans="13:13" x14ac:dyDescent="0.25">
      <c r="M12713" s="34">
        <f t="shared" si="374"/>
        <v>0</v>
      </c>
    </row>
    <row r="12714" spans="13:13" x14ac:dyDescent="0.25">
      <c r="M12714" s="34">
        <f t="shared" si="374"/>
        <v>0</v>
      </c>
    </row>
    <row r="12715" spans="13:13" x14ac:dyDescent="0.25">
      <c r="M12715" s="34">
        <f t="shared" si="374"/>
        <v>0</v>
      </c>
    </row>
    <row r="12716" spans="13:13" x14ac:dyDescent="0.25">
      <c r="M12716" s="34">
        <f t="shared" si="374"/>
        <v>0</v>
      </c>
    </row>
    <row r="12717" spans="13:13" x14ac:dyDescent="0.25">
      <c r="M12717" s="34">
        <f t="shared" si="374"/>
        <v>0</v>
      </c>
    </row>
    <row r="12718" spans="13:13" x14ac:dyDescent="0.25">
      <c r="M12718" s="34">
        <f t="shared" si="374"/>
        <v>0</v>
      </c>
    </row>
    <row r="12719" spans="13:13" x14ac:dyDescent="0.25">
      <c r="M12719" s="34">
        <f t="shared" si="374"/>
        <v>0</v>
      </c>
    </row>
    <row r="12720" spans="13:13" x14ac:dyDescent="0.25">
      <c r="M12720" s="34">
        <f t="shared" si="374"/>
        <v>0</v>
      </c>
    </row>
    <row r="12721" spans="13:13" x14ac:dyDescent="0.25">
      <c r="M12721" s="34">
        <f t="shared" si="374"/>
        <v>0</v>
      </c>
    </row>
    <row r="12722" spans="13:13" x14ac:dyDescent="0.25">
      <c r="M12722" s="34">
        <f t="shared" si="374"/>
        <v>0</v>
      </c>
    </row>
    <row r="12723" spans="13:13" x14ac:dyDescent="0.25">
      <c r="M12723" s="34">
        <f t="shared" si="374"/>
        <v>0</v>
      </c>
    </row>
    <row r="12724" spans="13:13" x14ac:dyDescent="0.25">
      <c r="M12724" s="34">
        <f t="shared" si="374"/>
        <v>0</v>
      </c>
    </row>
    <row r="12725" spans="13:13" x14ac:dyDescent="0.25">
      <c r="M12725" s="34">
        <f t="shared" si="374"/>
        <v>0</v>
      </c>
    </row>
    <row r="12726" spans="13:13" x14ac:dyDescent="0.25">
      <c r="M12726" s="34">
        <f t="shared" si="374"/>
        <v>0</v>
      </c>
    </row>
    <row r="12727" spans="13:13" x14ac:dyDescent="0.25">
      <c r="M12727" s="34">
        <f t="shared" si="374"/>
        <v>0</v>
      </c>
    </row>
    <row r="12728" spans="13:13" x14ac:dyDescent="0.25">
      <c r="M12728" s="34">
        <f t="shared" si="374"/>
        <v>0</v>
      </c>
    </row>
    <row r="12729" spans="13:13" x14ac:dyDescent="0.25">
      <c r="M12729" s="34">
        <f t="shared" si="374"/>
        <v>0</v>
      </c>
    </row>
    <row r="12730" spans="13:13" x14ac:dyDescent="0.25">
      <c r="M12730" s="34">
        <f t="shared" si="374"/>
        <v>0</v>
      </c>
    </row>
    <row r="12731" spans="13:13" x14ac:dyDescent="0.25">
      <c r="M12731" s="34">
        <f t="shared" si="374"/>
        <v>0</v>
      </c>
    </row>
    <row r="12732" spans="13:13" x14ac:dyDescent="0.25">
      <c r="M12732" s="34">
        <f t="shared" si="374"/>
        <v>0</v>
      </c>
    </row>
    <row r="12733" spans="13:13" x14ac:dyDescent="0.25">
      <c r="M12733" s="34">
        <f t="shared" si="374"/>
        <v>0</v>
      </c>
    </row>
    <row r="12734" spans="13:13" x14ac:dyDescent="0.25">
      <c r="M12734" s="34">
        <f t="shared" si="374"/>
        <v>0</v>
      </c>
    </row>
    <row r="12735" spans="13:13" x14ac:dyDescent="0.25">
      <c r="M12735" s="34">
        <f t="shared" si="374"/>
        <v>0</v>
      </c>
    </row>
    <row r="12736" spans="13:13" x14ac:dyDescent="0.25">
      <c r="M12736" s="34">
        <f t="shared" si="374"/>
        <v>0</v>
      </c>
    </row>
    <row r="12737" spans="13:13" x14ac:dyDescent="0.25">
      <c r="M12737" s="34">
        <f t="shared" si="374"/>
        <v>0</v>
      </c>
    </row>
    <row r="12738" spans="13:13" x14ac:dyDescent="0.25">
      <c r="M12738" s="34">
        <f t="shared" si="374"/>
        <v>0</v>
      </c>
    </row>
    <row r="12739" spans="13:13" x14ac:dyDescent="0.25">
      <c r="M12739" s="34">
        <f t="shared" ref="M12739:M12802" si="375">IF(AND(E12739="Chèque",G12739="RECETTE"),F12739,0)</f>
        <v>0</v>
      </c>
    </row>
    <row r="12740" spans="13:13" x14ac:dyDescent="0.25">
      <c r="M12740" s="34">
        <f t="shared" si="375"/>
        <v>0</v>
      </c>
    </row>
    <row r="12741" spans="13:13" x14ac:dyDescent="0.25">
      <c r="M12741" s="34">
        <f t="shared" si="375"/>
        <v>0</v>
      </c>
    </row>
    <row r="12742" spans="13:13" x14ac:dyDescent="0.25">
      <c r="M12742" s="34">
        <f t="shared" si="375"/>
        <v>0</v>
      </c>
    </row>
    <row r="12743" spans="13:13" x14ac:dyDescent="0.25">
      <c r="M12743" s="34">
        <f t="shared" si="375"/>
        <v>0</v>
      </c>
    </row>
    <row r="12744" spans="13:13" x14ac:dyDescent="0.25">
      <c r="M12744" s="34">
        <f t="shared" si="375"/>
        <v>0</v>
      </c>
    </row>
    <row r="12745" spans="13:13" x14ac:dyDescent="0.25">
      <c r="M12745" s="34">
        <f t="shared" si="375"/>
        <v>0</v>
      </c>
    </row>
    <row r="12746" spans="13:13" x14ac:dyDescent="0.25">
      <c r="M12746" s="34">
        <f t="shared" si="375"/>
        <v>0</v>
      </c>
    </row>
    <row r="12747" spans="13:13" x14ac:dyDescent="0.25">
      <c r="M12747" s="34">
        <f t="shared" si="375"/>
        <v>0</v>
      </c>
    </row>
    <row r="12748" spans="13:13" x14ac:dyDescent="0.25">
      <c r="M12748" s="34">
        <f t="shared" si="375"/>
        <v>0</v>
      </c>
    </row>
    <row r="12749" spans="13:13" x14ac:dyDescent="0.25">
      <c r="M12749" s="34">
        <f t="shared" si="375"/>
        <v>0</v>
      </c>
    </row>
    <row r="12750" spans="13:13" x14ac:dyDescent="0.25">
      <c r="M12750" s="34">
        <f t="shared" si="375"/>
        <v>0</v>
      </c>
    </row>
    <row r="12751" spans="13:13" x14ac:dyDescent="0.25">
      <c r="M12751" s="34">
        <f t="shared" si="375"/>
        <v>0</v>
      </c>
    </row>
    <row r="12752" spans="13:13" x14ac:dyDescent="0.25">
      <c r="M12752" s="34">
        <f t="shared" si="375"/>
        <v>0</v>
      </c>
    </row>
    <row r="12753" spans="13:13" x14ac:dyDescent="0.25">
      <c r="M12753" s="34">
        <f t="shared" si="375"/>
        <v>0</v>
      </c>
    </row>
    <row r="12754" spans="13:13" x14ac:dyDescent="0.25">
      <c r="M12754" s="34">
        <f t="shared" si="375"/>
        <v>0</v>
      </c>
    </row>
    <row r="12755" spans="13:13" x14ac:dyDescent="0.25">
      <c r="M12755" s="34">
        <f t="shared" si="375"/>
        <v>0</v>
      </c>
    </row>
    <row r="12756" spans="13:13" x14ac:dyDescent="0.25">
      <c r="M12756" s="34">
        <f t="shared" si="375"/>
        <v>0</v>
      </c>
    </row>
    <row r="12757" spans="13:13" x14ac:dyDescent="0.25">
      <c r="M12757" s="34">
        <f t="shared" si="375"/>
        <v>0</v>
      </c>
    </row>
    <row r="12758" spans="13:13" x14ac:dyDescent="0.25">
      <c r="M12758" s="34">
        <f t="shared" si="375"/>
        <v>0</v>
      </c>
    </row>
    <row r="12759" spans="13:13" x14ac:dyDescent="0.25">
      <c r="M12759" s="34">
        <f t="shared" si="375"/>
        <v>0</v>
      </c>
    </row>
    <row r="12760" spans="13:13" x14ac:dyDescent="0.25">
      <c r="M12760" s="34">
        <f t="shared" si="375"/>
        <v>0</v>
      </c>
    </row>
    <row r="12761" spans="13:13" x14ac:dyDescent="0.25">
      <c r="M12761" s="34">
        <f t="shared" si="375"/>
        <v>0</v>
      </c>
    </row>
    <row r="12762" spans="13:13" x14ac:dyDescent="0.25">
      <c r="M12762" s="34">
        <f t="shared" si="375"/>
        <v>0</v>
      </c>
    </row>
    <row r="12763" spans="13:13" x14ac:dyDescent="0.25">
      <c r="M12763" s="34">
        <f t="shared" si="375"/>
        <v>0</v>
      </c>
    </row>
    <row r="12764" spans="13:13" x14ac:dyDescent="0.25">
      <c r="M12764" s="34">
        <f t="shared" si="375"/>
        <v>0</v>
      </c>
    </row>
    <row r="12765" spans="13:13" x14ac:dyDescent="0.25">
      <c r="M12765" s="34">
        <f t="shared" si="375"/>
        <v>0</v>
      </c>
    </row>
    <row r="12766" spans="13:13" x14ac:dyDescent="0.25">
      <c r="M12766" s="34">
        <f t="shared" si="375"/>
        <v>0</v>
      </c>
    </row>
    <row r="12767" spans="13:13" x14ac:dyDescent="0.25">
      <c r="M12767" s="34">
        <f t="shared" si="375"/>
        <v>0</v>
      </c>
    </row>
    <row r="12768" spans="13:13" x14ac:dyDescent="0.25">
      <c r="M12768" s="34">
        <f t="shared" si="375"/>
        <v>0</v>
      </c>
    </row>
    <row r="12769" spans="13:13" x14ac:dyDescent="0.25">
      <c r="M12769" s="34">
        <f t="shared" si="375"/>
        <v>0</v>
      </c>
    </row>
    <row r="12770" spans="13:13" x14ac:dyDescent="0.25">
      <c r="M12770" s="34">
        <f t="shared" si="375"/>
        <v>0</v>
      </c>
    </row>
    <row r="12771" spans="13:13" x14ac:dyDescent="0.25">
      <c r="M12771" s="34">
        <f t="shared" si="375"/>
        <v>0</v>
      </c>
    </row>
    <row r="12772" spans="13:13" x14ac:dyDescent="0.25">
      <c r="M12772" s="34">
        <f t="shared" si="375"/>
        <v>0</v>
      </c>
    </row>
    <row r="12773" spans="13:13" x14ac:dyDescent="0.25">
      <c r="M12773" s="34">
        <f t="shared" si="375"/>
        <v>0</v>
      </c>
    </row>
    <row r="12774" spans="13:13" x14ac:dyDescent="0.25">
      <c r="M12774" s="34">
        <f t="shared" si="375"/>
        <v>0</v>
      </c>
    </row>
    <row r="12775" spans="13:13" x14ac:dyDescent="0.25">
      <c r="M12775" s="34">
        <f t="shared" si="375"/>
        <v>0</v>
      </c>
    </row>
    <row r="12776" spans="13:13" x14ac:dyDescent="0.25">
      <c r="M12776" s="34">
        <f t="shared" si="375"/>
        <v>0</v>
      </c>
    </row>
    <row r="12777" spans="13:13" x14ac:dyDescent="0.25">
      <c r="M12777" s="34">
        <f t="shared" si="375"/>
        <v>0</v>
      </c>
    </row>
    <row r="12778" spans="13:13" x14ac:dyDescent="0.25">
      <c r="M12778" s="34">
        <f t="shared" si="375"/>
        <v>0</v>
      </c>
    </row>
    <row r="12779" spans="13:13" x14ac:dyDescent="0.25">
      <c r="M12779" s="34">
        <f t="shared" si="375"/>
        <v>0</v>
      </c>
    </row>
    <row r="12780" spans="13:13" x14ac:dyDescent="0.25">
      <c r="M12780" s="34">
        <f t="shared" si="375"/>
        <v>0</v>
      </c>
    </row>
    <row r="12781" spans="13:13" x14ac:dyDescent="0.25">
      <c r="M12781" s="34">
        <f t="shared" si="375"/>
        <v>0</v>
      </c>
    </row>
    <row r="12782" spans="13:13" x14ac:dyDescent="0.25">
      <c r="M12782" s="34">
        <f t="shared" si="375"/>
        <v>0</v>
      </c>
    </row>
    <row r="12783" spans="13:13" x14ac:dyDescent="0.25">
      <c r="M12783" s="34">
        <f t="shared" si="375"/>
        <v>0</v>
      </c>
    </row>
    <row r="12784" spans="13:13" x14ac:dyDescent="0.25">
      <c r="M12784" s="34">
        <f t="shared" si="375"/>
        <v>0</v>
      </c>
    </row>
    <row r="12785" spans="13:13" x14ac:dyDescent="0.25">
      <c r="M12785" s="34">
        <f t="shared" si="375"/>
        <v>0</v>
      </c>
    </row>
    <row r="12786" spans="13:13" x14ac:dyDescent="0.25">
      <c r="M12786" s="34">
        <f t="shared" si="375"/>
        <v>0</v>
      </c>
    </row>
    <row r="12787" spans="13:13" x14ac:dyDescent="0.25">
      <c r="M12787" s="34">
        <f t="shared" si="375"/>
        <v>0</v>
      </c>
    </row>
    <row r="12788" spans="13:13" x14ac:dyDescent="0.25">
      <c r="M12788" s="34">
        <f t="shared" si="375"/>
        <v>0</v>
      </c>
    </row>
    <row r="12789" spans="13:13" x14ac:dyDescent="0.25">
      <c r="M12789" s="34">
        <f t="shared" si="375"/>
        <v>0</v>
      </c>
    </row>
    <row r="12790" spans="13:13" x14ac:dyDescent="0.25">
      <c r="M12790" s="34">
        <f t="shared" si="375"/>
        <v>0</v>
      </c>
    </row>
    <row r="12791" spans="13:13" x14ac:dyDescent="0.25">
      <c r="M12791" s="34">
        <f t="shared" si="375"/>
        <v>0</v>
      </c>
    </row>
    <row r="12792" spans="13:13" x14ac:dyDescent="0.25">
      <c r="M12792" s="34">
        <f t="shared" si="375"/>
        <v>0</v>
      </c>
    </row>
    <row r="12793" spans="13:13" x14ac:dyDescent="0.25">
      <c r="M12793" s="34">
        <f t="shared" si="375"/>
        <v>0</v>
      </c>
    </row>
    <row r="12794" spans="13:13" x14ac:dyDescent="0.25">
      <c r="M12794" s="34">
        <f t="shared" si="375"/>
        <v>0</v>
      </c>
    </row>
    <row r="12795" spans="13:13" x14ac:dyDescent="0.25">
      <c r="M12795" s="34">
        <f t="shared" si="375"/>
        <v>0</v>
      </c>
    </row>
    <row r="12796" spans="13:13" x14ac:dyDescent="0.25">
      <c r="M12796" s="34">
        <f t="shared" si="375"/>
        <v>0</v>
      </c>
    </row>
    <row r="12797" spans="13:13" x14ac:dyDescent="0.25">
      <c r="M12797" s="34">
        <f t="shared" si="375"/>
        <v>0</v>
      </c>
    </row>
    <row r="12798" spans="13:13" x14ac:dyDescent="0.25">
      <c r="M12798" s="34">
        <f t="shared" si="375"/>
        <v>0</v>
      </c>
    </row>
    <row r="12799" spans="13:13" x14ac:dyDescent="0.25">
      <c r="M12799" s="34">
        <f t="shared" si="375"/>
        <v>0</v>
      </c>
    </row>
    <row r="12800" spans="13:13" x14ac:dyDescent="0.25">
      <c r="M12800" s="34">
        <f t="shared" si="375"/>
        <v>0</v>
      </c>
    </row>
    <row r="12801" spans="13:13" x14ac:dyDescent="0.25">
      <c r="M12801" s="34">
        <f t="shared" si="375"/>
        <v>0</v>
      </c>
    </row>
    <row r="12802" spans="13:13" x14ac:dyDescent="0.25">
      <c r="M12802" s="34">
        <f t="shared" si="375"/>
        <v>0</v>
      </c>
    </row>
    <row r="12803" spans="13:13" x14ac:dyDescent="0.25">
      <c r="M12803" s="34">
        <f t="shared" ref="M12803:M12866" si="376">IF(AND(E12803="Chèque",G12803="RECETTE"),F12803,0)</f>
        <v>0</v>
      </c>
    </row>
    <row r="12804" spans="13:13" x14ac:dyDescent="0.25">
      <c r="M12804" s="34">
        <f t="shared" si="376"/>
        <v>0</v>
      </c>
    </row>
    <row r="12805" spans="13:13" x14ac:dyDescent="0.25">
      <c r="M12805" s="34">
        <f t="shared" si="376"/>
        <v>0</v>
      </c>
    </row>
    <row r="12806" spans="13:13" x14ac:dyDescent="0.25">
      <c r="M12806" s="34">
        <f t="shared" si="376"/>
        <v>0</v>
      </c>
    </row>
    <row r="12807" spans="13:13" x14ac:dyDescent="0.25">
      <c r="M12807" s="34">
        <f t="shared" si="376"/>
        <v>0</v>
      </c>
    </row>
    <row r="12808" spans="13:13" x14ac:dyDescent="0.25">
      <c r="M12808" s="34">
        <f t="shared" si="376"/>
        <v>0</v>
      </c>
    </row>
    <row r="12809" spans="13:13" x14ac:dyDescent="0.25">
      <c r="M12809" s="34">
        <f t="shared" si="376"/>
        <v>0</v>
      </c>
    </row>
    <row r="12810" spans="13:13" x14ac:dyDescent="0.25">
      <c r="M12810" s="34">
        <f t="shared" si="376"/>
        <v>0</v>
      </c>
    </row>
    <row r="12811" spans="13:13" x14ac:dyDescent="0.25">
      <c r="M12811" s="34">
        <f t="shared" si="376"/>
        <v>0</v>
      </c>
    </row>
    <row r="12812" spans="13:13" x14ac:dyDescent="0.25">
      <c r="M12812" s="34">
        <f t="shared" si="376"/>
        <v>0</v>
      </c>
    </row>
    <row r="12813" spans="13:13" x14ac:dyDescent="0.25">
      <c r="M12813" s="34">
        <f t="shared" si="376"/>
        <v>0</v>
      </c>
    </row>
    <row r="12814" spans="13:13" x14ac:dyDescent="0.25">
      <c r="M12814" s="34">
        <f t="shared" si="376"/>
        <v>0</v>
      </c>
    </row>
    <row r="12815" spans="13:13" x14ac:dyDescent="0.25">
      <c r="M12815" s="34">
        <f t="shared" si="376"/>
        <v>0</v>
      </c>
    </row>
    <row r="12816" spans="13:13" x14ac:dyDescent="0.25">
      <c r="M12816" s="34">
        <f t="shared" si="376"/>
        <v>0</v>
      </c>
    </row>
    <row r="12817" spans="13:13" x14ac:dyDescent="0.25">
      <c r="M12817" s="34">
        <f t="shared" si="376"/>
        <v>0</v>
      </c>
    </row>
    <row r="12818" spans="13:13" x14ac:dyDescent="0.25">
      <c r="M12818" s="34">
        <f t="shared" si="376"/>
        <v>0</v>
      </c>
    </row>
    <row r="12819" spans="13:13" x14ac:dyDescent="0.25">
      <c r="M12819" s="34">
        <f t="shared" si="376"/>
        <v>0</v>
      </c>
    </row>
    <row r="12820" spans="13:13" x14ac:dyDescent="0.25">
      <c r="M12820" s="34">
        <f t="shared" si="376"/>
        <v>0</v>
      </c>
    </row>
    <row r="12821" spans="13:13" x14ac:dyDescent="0.25">
      <c r="M12821" s="34">
        <f t="shared" si="376"/>
        <v>0</v>
      </c>
    </row>
    <row r="12822" spans="13:13" x14ac:dyDescent="0.25">
      <c r="M12822" s="34">
        <f t="shared" si="376"/>
        <v>0</v>
      </c>
    </row>
    <row r="12823" spans="13:13" x14ac:dyDescent="0.25">
      <c r="M12823" s="34">
        <f t="shared" si="376"/>
        <v>0</v>
      </c>
    </row>
    <row r="12824" spans="13:13" x14ac:dyDescent="0.25">
      <c r="M12824" s="34">
        <f t="shared" si="376"/>
        <v>0</v>
      </c>
    </row>
    <row r="12825" spans="13:13" x14ac:dyDescent="0.25">
      <c r="M12825" s="34">
        <f t="shared" si="376"/>
        <v>0</v>
      </c>
    </row>
    <row r="12826" spans="13:13" x14ac:dyDescent="0.25">
      <c r="M12826" s="34">
        <f t="shared" si="376"/>
        <v>0</v>
      </c>
    </row>
    <row r="12827" spans="13:13" x14ac:dyDescent="0.25">
      <c r="M12827" s="34">
        <f t="shared" si="376"/>
        <v>0</v>
      </c>
    </row>
    <row r="12828" spans="13:13" x14ac:dyDescent="0.25">
      <c r="M12828" s="34">
        <f t="shared" si="376"/>
        <v>0</v>
      </c>
    </row>
    <row r="12829" spans="13:13" x14ac:dyDescent="0.25">
      <c r="M12829" s="34">
        <f t="shared" si="376"/>
        <v>0</v>
      </c>
    </row>
    <row r="12830" spans="13:13" x14ac:dyDescent="0.25">
      <c r="M12830" s="34">
        <f t="shared" si="376"/>
        <v>0</v>
      </c>
    </row>
    <row r="12831" spans="13:13" x14ac:dyDescent="0.25">
      <c r="M12831" s="34">
        <f t="shared" si="376"/>
        <v>0</v>
      </c>
    </row>
    <row r="12832" spans="13:13" x14ac:dyDescent="0.25">
      <c r="M12832" s="34">
        <f t="shared" si="376"/>
        <v>0</v>
      </c>
    </row>
    <row r="12833" spans="13:13" x14ac:dyDescent="0.25">
      <c r="M12833" s="34">
        <f t="shared" si="376"/>
        <v>0</v>
      </c>
    </row>
    <row r="12834" spans="13:13" x14ac:dyDescent="0.25">
      <c r="M12834" s="34">
        <f t="shared" si="376"/>
        <v>0</v>
      </c>
    </row>
    <row r="12835" spans="13:13" x14ac:dyDescent="0.25">
      <c r="M12835" s="34">
        <f t="shared" si="376"/>
        <v>0</v>
      </c>
    </row>
    <row r="12836" spans="13:13" x14ac:dyDescent="0.25">
      <c r="M12836" s="34">
        <f t="shared" si="376"/>
        <v>0</v>
      </c>
    </row>
    <row r="12837" spans="13:13" x14ac:dyDescent="0.25">
      <c r="M12837" s="34">
        <f t="shared" si="376"/>
        <v>0</v>
      </c>
    </row>
    <row r="12838" spans="13:13" x14ac:dyDescent="0.25">
      <c r="M12838" s="34">
        <f t="shared" si="376"/>
        <v>0</v>
      </c>
    </row>
    <row r="12839" spans="13:13" x14ac:dyDescent="0.25">
      <c r="M12839" s="34">
        <f t="shared" si="376"/>
        <v>0</v>
      </c>
    </row>
    <row r="12840" spans="13:13" x14ac:dyDescent="0.25">
      <c r="M12840" s="34">
        <f t="shared" si="376"/>
        <v>0</v>
      </c>
    </row>
    <row r="12841" spans="13:13" x14ac:dyDescent="0.25">
      <c r="M12841" s="34">
        <f t="shared" si="376"/>
        <v>0</v>
      </c>
    </row>
    <row r="12842" spans="13:13" x14ac:dyDescent="0.25">
      <c r="M12842" s="34">
        <f t="shared" si="376"/>
        <v>0</v>
      </c>
    </row>
    <row r="12843" spans="13:13" x14ac:dyDescent="0.25">
      <c r="M12843" s="34">
        <f t="shared" si="376"/>
        <v>0</v>
      </c>
    </row>
    <row r="12844" spans="13:13" x14ac:dyDescent="0.25">
      <c r="M12844" s="34">
        <f t="shared" si="376"/>
        <v>0</v>
      </c>
    </row>
    <row r="12845" spans="13:13" x14ac:dyDescent="0.25">
      <c r="M12845" s="34">
        <f t="shared" si="376"/>
        <v>0</v>
      </c>
    </row>
    <row r="12846" spans="13:13" x14ac:dyDescent="0.25">
      <c r="M12846" s="34">
        <f t="shared" si="376"/>
        <v>0</v>
      </c>
    </row>
    <row r="12847" spans="13:13" x14ac:dyDescent="0.25">
      <c r="M12847" s="34">
        <f t="shared" si="376"/>
        <v>0</v>
      </c>
    </row>
    <row r="12848" spans="13:13" x14ac:dyDescent="0.25">
      <c r="M12848" s="34">
        <f t="shared" si="376"/>
        <v>0</v>
      </c>
    </row>
    <row r="12849" spans="13:13" x14ac:dyDescent="0.25">
      <c r="M12849" s="34">
        <f t="shared" si="376"/>
        <v>0</v>
      </c>
    </row>
    <row r="12850" spans="13:13" x14ac:dyDescent="0.25">
      <c r="M12850" s="34">
        <f t="shared" si="376"/>
        <v>0</v>
      </c>
    </row>
    <row r="12851" spans="13:13" x14ac:dyDescent="0.25">
      <c r="M12851" s="34">
        <f t="shared" si="376"/>
        <v>0</v>
      </c>
    </row>
    <row r="12852" spans="13:13" x14ac:dyDescent="0.25">
      <c r="M12852" s="34">
        <f t="shared" si="376"/>
        <v>0</v>
      </c>
    </row>
    <row r="12853" spans="13:13" x14ac:dyDescent="0.25">
      <c r="M12853" s="34">
        <f t="shared" si="376"/>
        <v>0</v>
      </c>
    </row>
    <row r="12854" spans="13:13" x14ac:dyDescent="0.25">
      <c r="M12854" s="34">
        <f t="shared" si="376"/>
        <v>0</v>
      </c>
    </row>
    <row r="12855" spans="13:13" x14ac:dyDescent="0.25">
      <c r="M12855" s="34">
        <f t="shared" si="376"/>
        <v>0</v>
      </c>
    </row>
    <row r="12856" spans="13:13" x14ac:dyDescent="0.25">
      <c r="M12856" s="34">
        <f t="shared" si="376"/>
        <v>0</v>
      </c>
    </row>
    <row r="12857" spans="13:13" x14ac:dyDescent="0.25">
      <c r="M12857" s="34">
        <f t="shared" si="376"/>
        <v>0</v>
      </c>
    </row>
    <row r="12858" spans="13:13" x14ac:dyDescent="0.25">
      <c r="M12858" s="34">
        <f t="shared" si="376"/>
        <v>0</v>
      </c>
    </row>
    <row r="12859" spans="13:13" x14ac:dyDescent="0.25">
      <c r="M12859" s="34">
        <f t="shared" si="376"/>
        <v>0</v>
      </c>
    </row>
    <row r="12860" spans="13:13" x14ac:dyDescent="0.25">
      <c r="M12860" s="34">
        <f t="shared" si="376"/>
        <v>0</v>
      </c>
    </row>
    <row r="12861" spans="13:13" x14ac:dyDescent="0.25">
      <c r="M12861" s="34">
        <f t="shared" si="376"/>
        <v>0</v>
      </c>
    </row>
    <row r="12862" spans="13:13" x14ac:dyDescent="0.25">
      <c r="M12862" s="34">
        <f t="shared" si="376"/>
        <v>0</v>
      </c>
    </row>
    <row r="12863" spans="13:13" x14ac:dyDescent="0.25">
      <c r="M12863" s="34">
        <f t="shared" si="376"/>
        <v>0</v>
      </c>
    </row>
    <row r="12864" spans="13:13" x14ac:dyDescent="0.25">
      <c r="M12864" s="34">
        <f t="shared" si="376"/>
        <v>0</v>
      </c>
    </row>
    <row r="12865" spans="13:13" x14ac:dyDescent="0.25">
      <c r="M12865" s="34">
        <f t="shared" si="376"/>
        <v>0</v>
      </c>
    </row>
    <row r="12866" spans="13:13" x14ac:dyDescent="0.25">
      <c r="M12866" s="34">
        <f t="shared" si="376"/>
        <v>0</v>
      </c>
    </row>
    <row r="12867" spans="13:13" x14ac:dyDescent="0.25">
      <c r="M12867" s="34">
        <f t="shared" ref="M12867:M12930" si="377">IF(AND(E12867="Chèque",G12867="RECETTE"),F12867,0)</f>
        <v>0</v>
      </c>
    </row>
    <row r="12868" spans="13:13" x14ac:dyDescent="0.25">
      <c r="M12868" s="34">
        <f t="shared" si="377"/>
        <v>0</v>
      </c>
    </row>
    <row r="12869" spans="13:13" x14ac:dyDescent="0.25">
      <c r="M12869" s="34">
        <f t="shared" si="377"/>
        <v>0</v>
      </c>
    </row>
    <row r="12870" spans="13:13" x14ac:dyDescent="0.25">
      <c r="M12870" s="34">
        <f t="shared" si="377"/>
        <v>0</v>
      </c>
    </row>
    <row r="12871" spans="13:13" x14ac:dyDescent="0.25">
      <c r="M12871" s="34">
        <f t="shared" si="377"/>
        <v>0</v>
      </c>
    </row>
    <row r="12872" spans="13:13" x14ac:dyDescent="0.25">
      <c r="M12872" s="34">
        <f t="shared" si="377"/>
        <v>0</v>
      </c>
    </row>
    <row r="12873" spans="13:13" x14ac:dyDescent="0.25">
      <c r="M12873" s="34">
        <f t="shared" si="377"/>
        <v>0</v>
      </c>
    </row>
    <row r="12874" spans="13:13" x14ac:dyDescent="0.25">
      <c r="M12874" s="34">
        <f t="shared" si="377"/>
        <v>0</v>
      </c>
    </row>
    <row r="12875" spans="13:13" x14ac:dyDescent="0.25">
      <c r="M12875" s="34">
        <f t="shared" si="377"/>
        <v>0</v>
      </c>
    </row>
    <row r="12876" spans="13:13" x14ac:dyDescent="0.25">
      <c r="M12876" s="34">
        <f t="shared" si="377"/>
        <v>0</v>
      </c>
    </row>
    <row r="12877" spans="13:13" x14ac:dyDescent="0.25">
      <c r="M12877" s="34">
        <f t="shared" si="377"/>
        <v>0</v>
      </c>
    </row>
    <row r="12878" spans="13:13" x14ac:dyDescent="0.25">
      <c r="M12878" s="34">
        <f t="shared" si="377"/>
        <v>0</v>
      </c>
    </row>
    <row r="12879" spans="13:13" x14ac:dyDescent="0.25">
      <c r="M12879" s="34">
        <f t="shared" si="377"/>
        <v>0</v>
      </c>
    </row>
    <row r="12880" spans="13:13" x14ac:dyDescent="0.25">
      <c r="M12880" s="34">
        <f t="shared" si="377"/>
        <v>0</v>
      </c>
    </row>
    <row r="12881" spans="13:13" x14ac:dyDescent="0.25">
      <c r="M12881" s="34">
        <f t="shared" si="377"/>
        <v>0</v>
      </c>
    </row>
    <row r="12882" spans="13:13" x14ac:dyDescent="0.25">
      <c r="M12882" s="34">
        <f t="shared" si="377"/>
        <v>0</v>
      </c>
    </row>
    <row r="12883" spans="13:13" x14ac:dyDescent="0.25">
      <c r="M12883" s="34">
        <f t="shared" si="377"/>
        <v>0</v>
      </c>
    </row>
    <row r="12884" spans="13:13" x14ac:dyDescent="0.25">
      <c r="M12884" s="34">
        <f t="shared" si="377"/>
        <v>0</v>
      </c>
    </row>
    <row r="12885" spans="13:13" x14ac:dyDescent="0.25">
      <c r="M12885" s="34">
        <f t="shared" si="377"/>
        <v>0</v>
      </c>
    </row>
    <row r="12886" spans="13:13" x14ac:dyDescent="0.25">
      <c r="M12886" s="34">
        <f t="shared" si="377"/>
        <v>0</v>
      </c>
    </row>
    <row r="12887" spans="13:13" x14ac:dyDescent="0.25">
      <c r="M12887" s="34">
        <f t="shared" si="377"/>
        <v>0</v>
      </c>
    </row>
    <row r="12888" spans="13:13" x14ac:dyDescent="0.25">
      <c r="M12888" s="34">
        <f t="shared" si="377"/>
        <v>0</v>
      </c>
    </row>
    <row r="12889" spans="13:13" x14ac:dyDescent="0.25">
      <c r="M12889" s="34">
        <f t="shared" si="377"/>
        <v>0</v>
      </c>
    </row>
    <row r="12890" spans="13:13" x14ac:dyDescent="0.25">
      <c r="M12890" s="34">
        <f t="shared" si="377"/>
        <v>0</v>
      </c>
    </row>
    <row r="12891" spans="13:13" x14ac:dyDescent="0.25">
      <c r="M12891" s="34">
        <f t="shared" si="377"/>
        <v>0</v>
      </c>
    </row>
    <row r="12892" spans="13:13" x14ac:dyDescent="0.25">
      <c r="M12892" s="34">
        <f t="shared" si="377"/>
        <v>0</v>
      </c>
    </row>
    <row r="12893" spans="13:13" x14ac:dyDescent="0.25">
      <c r="M12893" s="34">
        <f t="shared" si="377"/>
        <v>0</v>
      </c>
    </row>
    <row r="12894" spans="13:13" x14ac:dyDescent="0.25">
      <c r="M12894" s="34">
        <f t="shared" si="377"/>
        <v>0</v>
      </c>
    </row>
    <row r="12895" spans="13:13" x14ac:dyDescent="0.25">
      <c r="M12895" s="34">
        <f t="shared" si="377"/>
        <v>0</v>
      </c>
    </row>
    <row r="12896" spans="13:13" x14ac:dyDescent="0.25">
      <c r="M12896" s="34">
        <f t="shared" si="377"/>
        <v>0</v>
      </c>
    </row>
    <row r="12897" spans="13:13" x14ac:dyDescent="0.25">
      <c r="M12897" s="34">
        <f t="shared" si="377"/>
        <v>0</v>
      </c>
    </row>
    <row r="12898" spans="13:13" x14ac:dyDescent="0.25">
      <c r="M12898" s="34">
        <f t="shared" si="377"/>
        <v>0</v>
      </c>
    </row>
    <row r="12899" spans="13:13" x14ac:dyDescent="0.25">
      <c r="M12899" s="34">
        <f t="shared" si="377"/>
        <v>0</v>
      </c>
    </row>
    <row r="12900" spans="13:13" x14ac:dyDescent="0.25">
      <c r="M12900" s="34">
        <f t="shared" si="377"/>
        <v>0</v>
      </c>
    </row>
    <row r="12901" spans="13:13" x14ac:dyDescent="0.25">
      <c r="M12901" s="34">
        <f t="shared" si="377"/>
        <v>0</v>
      </c>
    </row>
    <row r="12902" spans="13:13" x14ac:dyDescent="0.25">
      <c r="M12902" s="34">
        <f t="shared" si="377"/>
        <v>0</v>
      </c>
    </row>
    <row r="12903" spans="13:13" x14ac:dyDescent="0.25">
      <c r="M12903" s="34">
        <f t="shared" si="377"/>
        <v>0</v>
      </c>
    </row>
    <row r="12904" spans="13:13" x14ac:dyDescent="0.25">
      <c r="M12904" s="34">
        <f t="shared" si="377"/>
        <v>0</v>
      </c>
    </row>
    <row r="12905" spans="13:13" x14ac:dyDescent="0.25">
      <c r="M12905" s="34">
        <f t="shared" si="377"/>
        <v>0</v>
      </c>
    </row>
    <row r="12906" spans="13:13" x14ac:dyDescent="0.25">
      <c r="M12906" s="34">
        <f t="shared" si="377"/>
        <v>0</v>
      </c>
    </row>
    <row r="12907" spans="13:13" x14ac:dyDescent="0.25">
      <c r="M12907" s="34">
        <f t="shared" si="377"/>
        <v>0</v>
      </c>
    </row>
    <row r="12908" spans="13:13" x14ac:dyDescent="0.25">
      <c r="M12908" s="34">
        <f t="shared" si="377"/>
        <v>0</v>
      </c>
    </row>
    <row r="12909" spans="13:13" x14ac:dyDescent="0.25">
      <c r="M12909" s="34">
        <f t="shared" si="377"/>
        <v>0</v>
      </c>
    </row>
    <row r="12910" spans="13:13" x14ac:dyDescent="0.25">
      <c r="M12910" s="34">
        <f t="shared" si="377"/>
        <v>0</v>
      </c>
    </row>
    <row r="12911" spans="13:13" x14ac:dyDescent="0.25">
      <c r="M12911" s="34">
        <f t="shared" si="377"/>
        <v>0</v>
      </c>
    </row>
    <row r="12912" spans="13:13" x14ac:dyDescent="0.25">
      <c r="M12912" s="34">
        <f t="shared" si="377"/>
        <v>0</v>
      </c>
    </row>
    <row r="12913" spans="13:13" x14ac:dyDescent="0.25">
      <c r="M12913" s="34">
        <f t="shared" si="377"/>
        <v>0</v>
      </c>
    </row>
    <row r="12914" spans="13:13" x14ac:dyDescent="0.25">
      <c r="M12914" s="34">
        <f t="shared" si="377"/>
        <v>0</v>
      </c>
    </row>
    <row r="12915" spans="13:13" x14ac:dyDescent="0.25">
      <c r="M12915" s="34">
        <f t="shared" si="377"/>
        <v>0</v>
      </c>
    </row>
    <row r="12916" spans="13:13" x14ac:dyDescent="0.25">
      <c r="M12916" s="34">
        <f t="shared" si="377"/>
        <v>0</v>
      </c>
    </row>
    <row r="12917" spans="13:13" x14ac:dyDescent="0.25">
      <c r="M12917" s="34">
        <f t="shared" si="377"/>
        <v>0</v>
      </c>
    </row>
    <row r="12918" spans="13:13" x14ac:dyDescent="0.25">
      <c r="M12918" s="34">
        <f t="shared" si="377"/>
        <v>0</v>
      </c>
    </row>
    <row r="12919" spans="13:13" x14ac:dyDescent="0.25">
      <c r="M12919" s="34">
        <f t="shared" si="377"/>
        <v>0</v>
      </c>
    </row>
    <row r="12920" spans="13:13" x14ac:dyDescent="0.25">
      <c r="M12920" s="34">
        <f t="shared" si="377"/>
        <v>0</v>
      </c>
    </row>
    <row r="12921" spans="13:13" x14ac:dyDescent="0.25">
      <c r="M12921" s="34">
        <f t="shared" si="377"/>
        <v>0</v>
      </c>
    </row>
    <row r="12922" spans="13:13" x14ac:dyDescent="0.25">
      <c r="M12922" s="34">
        <f t="shared" si="377"/>
        <v>0</v>
      </c>
    </row>
    <row r="12923" spans="13:13" x14ac:dyDescent="0.25">
      <c r="M12923" s="34">
        <f t="shared" si="377"/>
        <v>0</v>
      </c>
    </row>
    <row r="12924" spans="13:13" x14ac:dyDescent="0.25">
      <c r="M12924" s="34">
        <f t="shared" si="377"/>
        <v>0</v>
      </c>
    </row>
    <row r="12925" spans="13:13" x14ac:dyDescent="0.25">
      <c r="M12925" s="34">
        <f t="shared" si="377"/>
        <v>0</v>
      </c>
    </row>
    <row r="12926" spans="13:13" x14ac:dyDescent="0.25">
      <c r="M12926" s="34">
        <f t="shared" si="377"/>
        <v>0</v>
      </c>
    </row>
    <row r="12927" spans="13:13" x14ac:dyDescent="0.25">
      <c r="M12927" s="34">
        <f t="shared" si="377"/>
        <v>0</v>
      </c>
    </row>
    <row r="12928" spans="13:13" x14ac:dyDescent="0.25">
      <c r="M12928" s="34">
        <f t="shared" si="377"/>
        <v>0</v>
      </c>
    </row>
    <row r="12929" spans="13:13" x14ac:dyDescent="0.25">
      <c r="M12929" s="34">
        <f t="shared" si="377"/>
        <v>0</v>
      </c>
    </row>
    <row r="12930" spans="13:13" x14ac:dyDescent="0.25">
      <c r="M12930" s="34">
        <f t="shared" si="377"/>
        <v>0</v>
      </c>
    </row>
    <row r="12931" spans="13:13" x14ac:dyDescent="0.25">
      <c r="M12931" s="34">
        <f t="shared" ref="M12931:M12994" si="378">IF(AND(E12931="Chèque",G12931="RECETTE"),F12931,0)</f>
        <v>0</v>
      </c>
    </row>
    <row r="12932" spans="13:13" x14ac:dyDescent="0.25">
      <c r="M12932" s="34">
        <f t="shared" si="378"/>
        <v>0</v>
      </c>
    </row>
    <row r="12933" spans="13:13" x14ac:dyDescent="0.25">
      <c r="M12933" s="34">
        <f t="shared" si="378"/>
        <v>0</v>
      </c>
    </row>
    <row r="12934" spans="13:13" x14ac:dyDescent="0.25">
      <c r="M12934" s="34">
        <f t="shared" si="378"/>
        <v>0</v>
      </c>
    </row>
    <row r="12935" spans="13:13" x14ac:dyDescent="0.25">
      <c r="M12935" s="34">
        <f t="shared" si="378"/>
        <v>0</v>
      </c>
    </row>
    <row r="12936" spans="13:13" x14ac:dyDescent="0.25">
      <c r="M12936" s="34">
        <f t="shared" si="378"/>
        <v>0</v>
      </c>
    </row>
    <row r="12937" spans="13:13" x14ac:dyDescent="0.25">
      <c r="M12937" s="34">
        <f t="shared" si="378"/>
        <v>0</v>
      </c>
    </row>
    <row r="12938" spans="13:13" x14ac:dyDescent="0.25">
      <c r="M12938" s="34">
        <f t="shared" si="378"/>
        <v>0</v>
      </c>
    </row>
    <row r="12939" spans="13:13" x14ac:dyDescent="0.25">
      <c r="M12939" s="34">
        <f t="shared" si="378"/>
        <v>0</v>
      </c>
    </row>
    <row r="12940" spans="13:13" x14ac:dyDescent="0.25">
      <c r="M12940" s="34">
        <f t="shared" si="378"/>
        <v>0</v>
      </c>
    </row>
    <row r="12941" spans="13:13" x14ac:dyDescent="0.25">
      <c r="M12941" s="34">
        <f t="shared" si="378"/>
        <v>0</v>
      </c>
    </row>
    <row r="12942" spans="13:13" x14ac:dyDescent="0.25">
      <c r="M12942" s="34">
        <f t="shared" si="378"/>
        <v>0</v>
      </c>
    </row>
    <row r="12943" spans="13:13" x14ac:dyDescent="0.25">
      <c r="M12943" s="34">
        <f t="shared" si="378"/>
        <v>0</v>
      </c>
    </row>
    <row r="12944" spans="13:13" x14ac:dyDescent="0.25">
      <c r="M12944" s="34">
        <f t="shared" si="378"/>
        <v>0</v>
      </c>
    </row>
    <row r="12945" spans="13:13" x14ac:dyDescent="0.25">
      <c r="M12945" s="34">
        <f t="shared" si="378"/>
        <v>0</v>
      </c>
    </row>
    <row r="12946" spans="13:13" x14ac:dyDescent="0.25">
      <c r="M12946" s="34">
        <f t="shared" si="378"/>
        <v>0</v>
      </c>
    </row>
    <row r="12947" spans="13:13" x14ac:dyDescent="0.25">
      <c r="M12947" s="34">
        <f t="shared" si="378"/>
        <v>0</v>
      </c>
    </row>
    <row r="12948" spans="13:13" x14ac:dyDescent="0.25">
      <c r="M12948" s="34">
        <f t="shared" si="378"/>
        <v>0</v>
      </c>
    </row>
    <row r="12949" spans="13:13" x14ac:dyDescent="0.25">
      <c r="M12949" s="34">
        <f t="shared" si="378"/>
        <v>0</v>
      </c>
    </row>
    <row r="12950" spans="13:13" x14ac:dyDescent="0.25">
      <c r="M12950" s="34">
        <f t="shared" si="378"/>
        <v>0</v>
      </c>
    </row>
    <row r="12951" spans="13:13" x14ac:dyDescent="0.25">
      <c r="M12951" s="34">
        <f t="shared" si="378"/>
        <v>0</v>
      </c>
    </row>
    <row r="12952" spans="13:13" x14ac:dyDescent="0.25">
      <c r="M12952" s="34">
        <f t="shared" si="378"/>
        <v>0</v>
      </c>
    </row>
    <row r="12953" spans="13:13" x14ac:dyDescent="0.25">
      <c r="M12953" s="34">
        <f t="shared" si="378"/>
        <v>0</v>
      </c>
    </row>
    <row r="12954" spans="13:13" x14ac:dyDescent="0.25">
      <c r="M12954" s="34">
        <f t="shared" si="378"/>
        <v>0</v>
      </c>
    </row>
    <row r="12955" spans="13:13" x14ac:dyDescent="0.25">
      <c r="M12955" s="34">
        <f t="shared" si="378"/>
        <v>0</v>
      </c>
    </row>
    <row r="12956" spans="13:13" x14ac:dyDescent="0.25">
      <c r="M12956" s="34">
        <f t="shared" si="378"/>
        <v>0</v>
      </c>
    </row>
    <row r="12957" spans="13:13" x14ac:dyDescent="0.25">
      <c r="M12957" s="34">
        <f t="shared" si="378"/>
        <v>0</v>
      </c>
    </row>
    <row r="12958" spans="13:13" x14ac:dyDescent="0.25">
      <c r="M12958" s="34">
        <f t="shared" si="378"/>
        <v>0</v>
      </c>
    </row>
    <row r="12959" spans="13:13" x14ac:dyDescent="0.25">
      <c r="M12959" s="34">
        <f t="shared" si="378"/>
        <v>0</v>
      </c>
    </row>
    <row r="12960" spans="13:13" x14ac:dyDescent="0.25">
      <c r="M12960" s="34">
        <f t="shared" si="378"/>
        <v>0</v>
      </c>
    </row>
    <row r="12961" spans="13:13" x14ac:dyDescent="0.25">
      <c r="M12961" s="34">
        <f t="shared" si="378"/>
        <v>0</v>
      </c>
    </row>
    <row r="12962" spans="13:13" x14ac:dyDescent="0.25">
      <c r="M12962" s="34">
        <f t="shared" si="378"/>
        <v>0</v>
      </c>
    </row>
    <row r="12963" spans="13:13" x14ac:dyDescent="0.25">
      <c r="M12963" s="34">
        <f t="shared" si="378"/>
        <v>0</v>
      </c>
    </row>
    <row r="12964" spans="13:13" x14ac:dyDescent="0.25">
      <c r="M12964" s="34">
        <f t="shared" si="378"/>
        <v>0</v>
      </c>
    </row>
    <row r="12965" spans="13:13" x14ac:dyDescent="0.25">
      <c r="M12965" s="34">
        <f t="shared" si="378"/>
        <v>0</v>
      </c>
    </row>
    <row r="12966" spans="13:13" x14ac:dyDescent="0.25">
      <c r="M12966" s="34">
        <f t="shared" si="378"/>
        <v>0</v>
      </c>
    </row>
    <row r="12967" spans="13:13" x14ac:dyDescent="0.25">
      <c r="M12967" s="34">
        <f t="shared" si="378"/>
        <v>0</v>
      </c>
    </row>
    <row r="12968" spans="13:13" x14ac:dyDescent="0.25">
      <c r="M12968" s="34">
        <f t="shared" si="378"/>
        <v>0</v>
      </c>
    </row>
    <row r="12969" spans="13:13" x14ac:dyDescent="0.25">
      <c r="M12969" s="34">
        <f t="shared" si="378"/>
        <v>0</v>
      </c>
    </row>
    <row r="12970" spans="13:13" x14ac:dyDescent="0.25">
      <c r="M12970" s="34">
        <f t="shared" si="378"/>
        <v>0</v>
      </c>
    </row>
    <row r="12971" spans="13:13" x14ac:dyDescent="0.25">
      <c r="M12971" s="34">
        <f t="shared" si="378"/>
        <v>0</v>
      </c>
    </row>
    <row r="12972" spans="13:13" x14ac:dyDescent="0.25">
      <c r="M12972" s="34">
        <f t="shared" si="378"/>
        <v>0</v>
      </c>
    </row>
    <row r="12973" spans="13:13" x14ac:dyDescent="0.25">
      <c r="M12973" s="34">
        <f t="shared" si="378"/>
        <v>0</v>
      </c>
    </row>
    <row r="12974" spans="13:13" x14ac:dyDescent="0.25">
      <c r="M12974" s="34">
        <f t="shared" si="378"/>
        <v>0</v>
      </c>
    </row>
    <row r="12975" spans="13:13" x14ac:dyDescent="0.25">
      <c r="M12975" s="34">
        <f t="shared" si="378"/>
        <v>0</v>
      </c>
    </row>
    <row r="12976" spans="13:13" x14ac:dyDescent="0.25">
      <c r="M12976" s="34">
        <f t="shared" si="378"/>
        <v>0</v>
      </c>
    </row>
    <row r="12977" spans="13:13" x14ac:dyDescent="0.25">
      <c r="M12977" s="34">
        <f t="shared" si="378"/>
        <v>0</v>
      </c>
    </row>
    <row r="12978" spans="13:13" x14ac:dyDescent="0.25">
      <c r="M12978" s="34">
        <f t="shared" si="378"/>
        <v>0</v>
      </c>
    </row>
    <row r="12979" spans="13:13" x14ac:dyDescent="0.25">
      <c r="M12979" s="34">
        <f t="shared" si="378"/>
        <v>0</v>
      </c>
    </row>
    <row r="12980" spans="13:13" x14ac:dyDescent="0.25">
      <c r="M12980" s="34">
        <f t="shared" si="378"/>
        <v>0</v>
      </c>
    </row>
    <row r="12981" spans="13:13" x14ac:dyDescent="0.25">
      <c r="M12981" s="34">
        <f t="shared" si="378"/>
        <v>0</v>
      </c>
    </row>
    <row r="12982" spans="13:13" x14ac:dyDescent="0.25">
      <c r="M12982" s="34">
        <f t="shared" si="378"/>
        <v>0</v>
      </c>
    </row>
    <row r="12983" spans="13:13" x14ac:dyDescent="0.25">
      <c r="M12983" s="34">
        <f t="shared" si="378"/>
        <v>0</v>
      </c>
    </row>
    <row r="12984" spans="13:13" x14ac:dyDescent="0.25">
      <c r="M12984" s="34">
        <f t="shared" si="378"/>
        <v>0</v>
      </c>
    </row>
    <row r="12985" spans="13:13" x14ac:dyDescent="0.25">
      <c r="M12985" s="34">
        <f t="shared" si="378"/>
        <v>0</v>
      </c>
    </row>
    <row r="12986" spans="13:13" x14ac:dyDescent="0.25">
      <c r="M12986" s="34">
        <f t="shared" si="378"/>
        <v>0</v>
      </c>
    </row>
    <row r="12987" spans="13:13" x14ac:dyDescent="0.25">
      <c r="M12987" s="34">
        <f t="shared" si="378"/>
        <v>0</v>
      </c>
    </row>
    <row r="12988" spans="13:13" x14ac:dyDescent="0.25">
      <c r="M12988" s="34">
        <f t="shared" si="378"/>
        <v>0</v>
      </c>
    </row>
    <row r="12989" spans="13:13" x14ac:dyDescent="0.25">
      <c r="M12989" s="34">
        <f t="shared" si="378"/>
        <v>0</v>
      </c>
    </row>
    <row r="12990" spans="13:13" x14ac:dyDescent="0.25">
      <c r="M12990" s="34">
        <f t="shared" si="378"/>
        <v>0</v>
      </c>
    </row>
    <row r="12991" spans="13:13" x14ac:dyDescent="0.25">
      <c r="M12991" s="34">
        <f t="shared" si="378"/>
        <v>0</v>
      </c>
    </row>
    <row r="12992" spans="13:13" x14ac:dyDescent="0.25">
      <c r="M12992" s="34">
        <f t="shared" si="378"/>
        <v>0</v>
      </c>
    </row>
    <row r="12993" spans="13:13" x14ac:dyDescent="0.25">
      <c r="M12993" s="34">
        <f t="shared" si="378"/>
        <v>0</v>
      </c>
    </row>
    <row r="12994" spans="13:13" x14ac:dyDescent="0.25">
      <c r="M12994" s="34">
        <f t="shared" si="378"/>
        <v>0</v>
      </c>
    </row>
    <row r="12995" spans="13:13" x14ac:dyDescent="0.25">
      <c r="M12995" s="34">
        <f t="shared" ref="M12995:M13058" si="379">IF(AND(E12995="Chèque",G12995="RECETTE"),F12995,0)</f>
        <v>0</v>
      </c>
    </row>
    <row r="12996" spans="13:13" x14ac:dyDescent="0.25">
      <c r="M12996" s="34">
        <f t="shared" si="379"/>
        <v>0</v>
      </c>
    </row>
    <row r="12997" spans="13:13" x14ac:dyDescent="0.25">
      <c r="M12997" s="34">
        <f t="shared" si="379"/>
        <v>0</v>
      </c>
    </row>
    <row r="12998" spans="13:13" x14ac:dyDescent="0.25">
      <c r="M12998" s="34">
        <f t="shared" si="379"/>
        <v>0</v>
      </c>
    </row>
    <row r="12999" spans="13:13" x14ac:dyDescent="0.25">
      <c r="M12999" s="34">
        <f t="shared" si="379"/>
        <v>0</v>
      </c>
    </row>
    <row r="13000" spans="13:13" x14ac:dyDescent="0.25">
      <c r="M13000" s="34">
        <f t="shared" si="379"/>
        <v>0</v>
      </c>
    </row>
    <row r="13001" spans="13:13" x14ac:dyDescent="0.25">
      <c r="M13001" s="34">
        <f t="shared" si="379"/>
        <v>0</v>
      </c>
    </row>
    <row r="13002" spans="13:13" x14ac:dyDescent="0.25">
      <c r="M13002" s="34">
        <f t="shared" si="379"/>
        <v>0</v>
      </c>
    </row>
    <row r="13003" spans="13:13" x14ac:dyDescent="0.25">
      <c r="M13003" s="34">
        <f t="shared" si="379"/>
        <v>0</v>
      </c>
    </row>
    <row r="13004" spans="13:13" x14ac:dyDescent="0.25">
      <c r="M13004" s="34">
        <f t="shared" si="379"/>
        <v>0</v>
      </c>
    </row>
    <row r="13005" spans="13:13" x14ac:dyDescent="0.25">
      <c r="M13005" s="34">
        <f t="shared" si="379"/>
        <v>0</v>
      </c>
    </row>
    <row r="13006" spans="13:13" x14ac:dyDescent="0.25">
      <c r="M13006" s="34">
        <f t="shared" si="379"/>
        <v>0</v>
      </c>
    </row>
    <row r="13007" spans="13:13" x14ac:dyDescent="0.25">
      <c r="M13007" s="34">
        <f t="shared" si="379"/>
        <v>0</v>
      </c>
    </row>
    <row r="13008" spans="13:13" x14ac:dyDescent="0.25">
      <c r="M13008" s="34">
        <f t="shared" si="379"/>
        <v>0</v>
      </c>
    </row>
    <row r="13009" spans="13:13" x14ac:dyDescent="0.25">
      <c r="M13009" s="34">
        <f t="shared" si="379"/>
        <v>0</v>
      </c>
    </row>
    <row r="13010" spans="13:13" x14ac:dyDescent="0.25">
      <c r="M13010" s="34">
        <f t="shared" si="379"/>
        <v>0</v>
      </c>
    </row>
    <row r="13011" spans="13:13" x14ac:dyDescent="0.25">
      <c r="M13011" s="34">
        <f t="shared" si="379"/>
        <v>0</v>
      </c>
    </row>
    <row r="13012" spans="13:13" x14ac:dyDescent="0.25">
      <c r="M13012" s="34">
        <f t="shared" si="379"/>
        <v>0</v>
      </c>
    </row>
    <row r="13013" spans="13:13" x14ac:dyDescent="0.25">
      <c r="M13013" s="34">
        <f t="shared" si="379"/>
        <v>0</v>
      </c>
    </row>
    <row r="13014" spans="13:13" x14ac:dyDescent="0.25">
      <c r="M13014" s="34">
        <f t="shared" si="379"/>
        <v>0</v>
      </c>
    </row>
    <row r="13015" spans="13:13" x14ac:dyDescent="0.25">
      <c r="M13015" s="34">
        <f t="shared" si="379"/>
        <v>0</v>
      </c>
    </row>
    <row r="13016" spans="13:13" x14ac:dyDescent="0.25">
      <c r="M13016" s="34">
        <f t="shared" si="379"/>
        <v>0</v>
      </c>
    </row>
    <row r="13017" spans="13:13" x14ac:dyDescent="0.25">
      <c r="M13017" s="34">
        <f t="shared" si="379"/>
        <v>0</v>
      </c>
    </row>
    <row r="13018" spans="13:13" x14ac:dyDescent="0.25">
      <c r="M13018" s="34">
        <f t="shared" si="379"/>
        <v>0</v>
      </c>
    </row>
    <row r="13019" spans="13:13" x14ac:dyDescent="0.25">
      <c r="M13019" s="34">
        <f t="shared" si="379"/>
        <v>0</v>
      </c>
    </row>
    <row r="13020" spans="13:13" x14ac:dyDescent="0.25">
      <c r="M13020" s="34">
        <f t="shared" si="379"/>
        <v>0</v>
      </c>
    </row>
    <row r="13021" spans="13:13" x14ac:dyDescent="0.25">
      <c r="M13021" s="34">
        <f t="shared" si="379"/>
        <v>0</v>
      </c>
    </row>
    <row r="13022" spans="13:13" x14ac:dyDescent="0.25">
      <c r="M13022" s="34">
        <f t="shared" si="379"/>
        <v>0</v>
      </c>
    </row>
    <row r="13023" spans="13:13" x14ac:dyDescent="0.25">
      <c r="M13023" s="34">
        <f t="shared" si="379"/>
        <v>0</v>
      </c>
    </row>
    <row r="13024" spans="13:13" x14ac:dyDescent="0.25">
      <c r="M13024" s="34">
        <f t="shared" si="379"/>
        <v>0</v>
      </c>
    </row>
    <row r="13025" spans="13:13" x14ac:dyDescent="0.25">
      <c r="M13025" s="34">
        <f t="shared" si="379"/>
        <v>0</v>
      </c>
    </row>
    <row r="13026" spans="13:13" x14ac:dyDescent="0.25">
      <c r="M13026" s="34">
        <f t="shared" si="379"/>
        <v>0</v>
      </c>
    </row>
    <row r="13027" spans="13:13" x14ac:dyDescent="0.25">
      <c r="M13027" s="34">
        <f t="shared" si="379"/>
        <v>0</v>
      </c>
    </row>
    <row r="13028" spans="13:13" x14ac:dyDescent="0.25">
      <c r="M13028" s="34">
        <f t="shared" si="379"/>
        <v>0</v>
      </c>
    </row>
    <row r="13029" spans="13:13" x14ac:dyDescent="0.25">
      <c r="M13029" s="34">
        <f t="shared" si="379"/>
        <v>0</v>
      </c>
    </row>
    <row r="13030" spans="13:13" x14ac:dyDescent="0.25">
      <c r="M13030" s="34">
        <f t="shared" si="379"/>
        <v>0</v>
      </c>
    </row>
    <row r="13031" spans="13:13" x14ac:dyDescent="0.25">
      <c r="M13031" s="34">
        <f t="shared" si="379"/>
        <v>0</v>
      </c>
    </row>
    <row r="13032" spans="13:13" x14ac:dyDescent="0.25">
      <c r="M13032" s="34">
        <f t="shared" si="379"/>
        <v>0</v>
      </c>
    </row>
    <row r="13033" spans="13:13" x14ac:dyDescent="0.25">
      <c r="M13033" s="34">
        <f t="shared" si="379"/>
        <v>0</v>
      </c>
    </row>
    <row r="13034" spans="13:13" x14ac:dyDescent="0.25">
      <c r="M13034" s="34">
        <f t="shared" si="379"/>
        <v>0</v>
      </c>
    </row>
    <row r="13035" spans="13:13" x14ac:dyDescent="0.25">
      <c r="M13035" s="34">
        <f t="shared" si="379"/>
        <v>0</v>
      </c>
    </row>
    <row r="13036" spans="13:13" x14ac:dyDescent="0.25">
      <c r="M13036" s="34">
        <f t="shared" si="379"/>
        <v>0</v>
      </c>
    </row>
    <row r="13037" spans="13:13" x14ac:dyDescent="0.25">
      <c r="M13037" s="34">
        <f t="shared" si="379"/>
        <v>0</v>
      </c>
    </row>
    <row r="13038" spans="13:13" x14ac:dyDescent="0.25">
      <c r="M13038" s="34">
        <f t="shared" si="379"/>
        <v>0</v>
      </c>
    </row>
    <row r="13039" spans="13:13" x14ac:dyDescent="0.25">
      <c r="M13039" s="34">
        <f t="shared" si="379"/>
        <v>0</v>
      </c>
    </row>
    <row r="13040" spans="13:13" x14ac:dyDescent="0.25">
      <c r="M13040" s="34">
        <f t="shared" si="379"/>
        <v>0</v>
      </c>
    </row>
    <row r="13041" spans="13:13" x14ac:dyDescent="0.25">
      <c r="M13041" s="34">
        <f t="shared" si="379"/>
        <v>0</v>
      </c>
    </row>
    <row r="13042" spans="13:13" x14ac:dyDescent="0.25">
      <c r="M13042" s="34">
        <f t="shared" si="379"/>
        <v>0</v>
      </c>
    </row>
    <row r="13043" spans="13:13" x14ac:dyDescent="0.25">
      <c r="M13043" s="34">
        <f t="shared" si="379"/>
        <v>0</v>
      </c>
    </row>
    <row r="13044" spans="13:13" x14ac:dyDescent="0.25">
      <c r="M13044" s="34">
        <f t="shared" si="379"/>
        <v>0</v>
      </c>
    </row>
    <row r="13045" spans="13:13" x14ac:dyDescent="0.25">
      <c r="M13045" s="34">
        <f t="shared" si="379"/>
        <v>0</v>
      </c>
    </row>
    <row r="13046" spans="13:13" x14ac:dyDescent="0.25">
      <c r="M13046" s="34">
        <f t="shared" si="379"/>
        <v>0</v>
      </c>
    </row>
    <row r="13047" spans="13:13" x14ac:dyDescent="0.25">
      <c r="M13047" s="34">
        <f t="shared" si="379"/>
        <v>0</v>
      </c>
    </row>
    <row r="13048" spans="13:13" x14ac:dyDescent="0.25">
      <c r="M13048" s="34">
        <f t="shared" si="379"/>
        <v>0</v>
      </c>
    </row>
    <row r="13049" spans="13:13" x14ac:dyDescent="0.25">
      <c r="M13049" s="34">
        <f t="shared" si="379"/>
        <v>0</v>
      </c>
    </row>
    <row r="13050" spans="13:13" x14ac:dyDescent="0.25">
      <c r="M13050" s="34">
        <f t="shared" si="379"/>
        <v>0</v>
      </c>
    </row>
    <row r="13051" spans="13:13" x14ac:dyDescent="0.25">
      <c r="M13051" s="34">
        <f t="shared" si="379"/>
        <v>0</v>
      </c>
    </row>
    <row r="13052" spans="13:13" x14ac:dyDescent="0.25">
      <c r="M13052" s="34">
        <f t="shared" si="379"/>
        <v>0</v>
      </c>
    </row>
    <row r="13053" spans="13:13" x14ac:dyDescent="0.25">
      <c r="M13053" s="34">
        <f t="shared" si="379"/>
        <v>0</v>
      </c>
    </row>
    <row r="13054" spans="13:13" x14ac:dyDescent="0.25">
      <c r="M13054" s="34">
        <f t="shared" si="379"/>
        <v>0</v>
      </c>
    </row>
    <row r="13055" spans="13:13" x14ac:dyDescent="0.25">
      <c r="M13055" s="34">
        <f t="shared" si="379"/>
        <v>0</v>
      </c>
    </row>
    <row r="13056" spans="13:13" x14ac:dyDescent="0.25">
      <c r="M13056" s="34">
        <f t="shared" si="379"/>
        <v>0</v>
      </c>
    </row>
    <row r="13057" spans="13:13" x14ac:dyDescent="0.25">
      <c r="M13057" s="34">
        <f t="shared" si="379"/>
        <v>0</v>
      </c>
    </row>
    <row r="13058" spans="13:13" x14ac:dyDescent="0.25">
      <c r="M13058" s="34">
        <f t="shared" si="379"/>
        <v>0</v>
      </c>
    </row>
    <row r="13059" spans="13:13" x14ac:dyDescent="0.25">
      <c r="M13059" s="34">
        <f t="shared" ref="M13059:M13122" si="380">IF(AND(E13059="Chèque",G13059="RECETTE"),F13059,0)</f>
        <v>0</v>
      </c>
    </row>
    <row r="13060" spans="13:13" x14ac:dyDescent="0.25">
      <c r="M13060" s="34">
        <f t="shared" si="380"/>
        <v>0</v>
      </c>
    </row>
    <row r="13061" spans="13:13" x14ac:dyDescent="0.25">
      <c r="M13061" s="34">
        <f t="shared" si="380"/>
        <v>0</v>
      </c>
    </row>
    <row r="13062" spans="13:13" x14ac:dyDescent="0.25">
      <c r="M13062" s="34">
        <f t="shared" si="380"/>
        <v>0</v>
      </c>
    </row>
    <row r="13063" spans="13:13" x14ac:dyDescent="0.25">
      <c r="M13063" s="34">
        <f t="shared" si="380"/>
        <v>0</v>
      </c>
    </row>
    <row r="13064" spans="13:13" x14ac:dyDescent="0.25">
      <c r="M13064" s="34">
        <f t="shared" si="380"/>
        <v>0</v>
      </c>
    </row>
    <row r="13065" spans="13:13" x14ac:dyDescent="0.25">
      <c r="M13065" s="34">
        <f t="shared" si="380"/>
        <v>0</v>
      </c>
    </row>
    <row r="13066" spans="13:13" x14ac:dyDescent="0.25">
      <c r="M13066" s="34">
        <f t="shared" si="380"/>
        <v>0</v>
      </c>
    </row>
    <row r="13067" spans="13:13" x14ac:dyDescent="0.25">
      <c r="M13067" s="34">
        <f t="shared" si="380"/>
        <v>0</v>
      </c>
    </row>
    <row r="13068" spans="13:13" x14ac:dyDescent="0.25">
      <c r="M13068" s="34">
        <f t="shared" si="380"/>
        <v>0</v>
      </c>
    </row>
    <row r="13069" spans="13:13" x14ac:dyDescent="0.25">
      <c r="M13069" s="34">
        <f t="shared" si="380"/>
        <v>0</v>
      </c>
    </row>
    <row r="13070" spans="13:13" x14ac:dyDescent="0.25">
      <c r="M13070" s="34">
        <f t="shared" si="380"/>
        <v>0</v>
      </c>
    </row>
    <row r="13071" spans="13:13" x14ac:dyDescent="0.25">
      <c r="M13071" s="34">
        <f t="shared" si="380"/>
        <v>0</v>
      </c>
    </row>
    <row r="13072" spans="13:13" x14ac:dyDescent="0.25">
      <c r="M13072" s="34">
        <f t="shared" si="380"/>
        <v>0</v>
      </c>
    </row>
    <row r="13073" spans="13:13" x14ac:dyDescent="0.25">
      <c r="M13073" s="34">
        <f t="shared" si="380"/>
        <v>0</v>
      </c>
    </row>
    <row r="13074" spans="13:13" x14ac:dyDescent="0.25">
      <c r="M13074" s="34">
        <f t="shared" si="380"/>
        <v>0</v>
      </c>
    </row>
    <row r="13075" spans="13:13" x14ac:dyDescent="0.25">
      <c r="M13075" s="34">
        <f t="shared" si="380"/>
        <v>0</v>
      </c>
    </row>
    <row r="13076" spans="13:13" x14ac:dyDescent="0.25">
      <c r="M13076" s="34">
        <f t="shared" si="380"/>
        <v>0</v>
      </c>
    </row>
    <row r="13077" spans="13:13" x14ac:dyDescent="0.25">
      <c r="M13077" s="34">
        <f t="shared" si="380"/>
        <v>0</v>
      </c>
    </row>
    <row r="13078" spans="13:13" x14ac:dyDescent="0.25">
      <c r="M13078" s="34">
        <f t="shared" si="380"/>
        <v>0</v>
      </c>
    </row>
    <row r="13079" spans="13:13" x14ac:dyDescent="0.25">
      <c r="M13079" s="34">
        <f t="shared" si="380"/>
        <v>0</v>
      </c>
    </row>
    <row r="13080" spans="13:13" x14ac:dyDescent="0.25">
      <c r="M13080" s="34">
        <f t="shared" si="380"/>
        <v>0</v>
      </c>
    </row>
    <row r="13081" spans="13:13" x14ac:dyDescent="0.25">
      <c r="M13081" s="34">
        <f t="shared" si="380"/>
        <v>0</v>
      </c>
    </row>
    <row r="13082" spans="13:13" x14ac:dyDescent="0.25">
      <c r="M13082" s="34">
        <f t="shared" si="380"/>
        <v>0</v>
      </c>
    </row>
    <row r="13083" spans="13:13" x14ac:dyDescent="0.25">
      <c r="M13083" s="34">
        <f t="shared" si="380"/>
        <v>0</v>
      </c>
    </row>
    <row r="13084" spans="13:13" x14ac:dyDescent="0.25">
      <c r="M13084" s="34">
        <f t="shared" si="380"/>
        <v>0</v>
      </c>
    </row>
    <row r="13085" spans="13:13" x14ac:dyDescent="0.25">
      <c r="M13085" s="34">
        <f t="shared" si="380"/>
        <v>0</v>
      </c>
    </row>
    <row r="13086" spans="13:13" x14ac:dyDescent="0.25">
      <c r="M13086" s="34">
        <f t="shared" si="380"/>
        <v>0</v>
      </c>
    </row>
    <row r="13087" spans="13:13" x14ac:dyDescent="0.25">
      <c r="M13087" s="34">
        <f t="shared" si="380"/>
        <v>0</v>
      </c>
    </row>
    <row r="13088" spans="13:13" x14ac:dyDescent="0.25">
      <c r="M13088" s="34">
        <f t="shared" si="380"/>
        <v>0</v>
      </c>
    </row>
    <row r="13089" spans="13:13" x14ac:dyDescent="0.25">
      <c r="M13089" s="34">
        <f t="shared" si="380"/>
        <v>0</v>
      </c>
    </row>
    <row r="13090" spans="13:13" x14ac:dyDescent="0.25">
      <c r="M13090" s="34">
        <f t="shared" si="380"/>
        <v>0</v>
      </c>
    </row>
    <row r="13091" spans="13:13" x14ac:dyDescent="0.25">
      <c r="M13091" s="34">
        <f t="shared" si="380"/>
        <v>0</v>
      </c>
    </row>
    <row r="13092" spans="13:13" x14ac:dyDescent="0.25">
      <c r="M13092" s="34">
        <f t="shared" si="380"/>
        <v>0</v>
      </c>
    </row>
    <row r="13093" spans="13:13" x14ac:dyDescent="0.25">
      <c r="M13093" s="34">
        <f t="shared" si="380"/>
        <v>0</v>
      </c>
    </row>
    <row r="13094" spans="13:13" x14ac:dyDescent="0.25">
      <c r="M13094" s="34">
        <f t="shared" si="380"/>
        <v>0</v>
      </c>
    </row>
    <row r="13095" spans="13:13" x14ac:dyDescent="0.25">
      <c r="M13095" s="34">
        <f t="shared" si="380"/>
        <v>0</v>
      </c>
    </row>
    <row r="13096" spans="13:13" x14ac:dyDescent="0.25">
      <c r="M13096" s="34">
        <f t="shared" si="380"/>
        <v>0</v>
      </c>
    </row>
    <row r="13097" spans="13:13" x14ac:dyDescent="0.25">
      <c r="M13097" s="34">
        <f t="shared" si="380"/>
        <v>0</v>
      </c>
    </row>
    <row r="13098" spans="13:13" x14ac:dyDescent="0.25">
      <c r="M13098" s="34">
        <f t="shared" si="380"/>
        <v>0</v>
      </c>
    </row>
    <row r="13099" spans="13:13" x14ac:dyDescent="0.25">
      <c r="M13099" s="34">
        <f t="shared" si="380"/>
        <v>0</v>
      </c>
    </row>
    <row r="13100" spans="13:13" x14ac:dyDescent="0.25">
      <c r="M13100" s="34">
        <f t="shared" si="380"/>
        <v>0</v>
      </c>
    </row>
    <row r="13101" spans="13:13" x14ac:dyDescent="0.25">
      <c r="M13101" s="34">
        <f t="shared" si="380"/>
        <v>0</v>
      </c>
    </row>
    <row r="13102" spans="13:13" x14ac:dyDescent="0.25">
      <c r="M13102" s="34">
        <f t="shared" si="380"/>
        <v>0</v>
      </c>
    </row>
    <row r="13103" spans="13:13" x14ac:dyDescent="0.25">
      <c r="M13103" s="34">
        <f t="shared" si="380"/>
        <v>0</v>
      </c>
    </row>
    <row r="13104" spans="13:13" x14ac:dyDescent="0.25">
      <c r="M13104" s="34">
        <f t="shared" si="380"/>
        <v>0</v>
      </c>
    </row>
    <row r="13105" spans="13:13" x14ac:dyDescent="0.25">
      <c r="M13105" s="34">
        <f t="shared" si="380"/>
        <v>0</v>
      </c>
    </row>
    <row r="13106" spans="13:13" x14ac:dyDescent="0.25">
      <c r="M13106" s="34">
        <f t="shared" si="380"/>
        <v>0</v>
      </c>
    </row>
    <row r="13107" spans="13:13" x14ac:dyDescent="0.25">
      <c r="M13107" s="34">
        <f t="shared" si="380"/>
        <v>0</v>
      </c>
    </row>
    <row r="13108" spans="13:13" x14ac:dyDescent="0.25">
      <c r="M13108" s="34">
        <f t="shared" si="380"/>
        <v>0</v>
      </c>
    </row>
    <row r="13109" spans="13:13" x14ac:dyDescent="0.25">
      <c r="M13109" s="34">
        <f t="shared" si="380"/>
        <v>0</v>
      </c>
    </row>
    <row r="13110" spans="13:13" x14ac:dyDescent="0.25">
      <c r="M13110" s="34">
        <f t="shared" si="380"/>
        <v>0</v>
      </c>
    </row>
    <row r="13111" spans="13:13" x14ac:dyDescent="0.25">
      <c r="M13111" s="34">
        <f t="shared" si="380"/>
        <v>0</v>
      </c>
    </row>
    <row r="13112" spans="13:13" x14ac:dyDescent="0.25">
      <c r="M13112" s="34">
        <f t="shared" si="380"/>
        <v>0</v>
      </c>
    </row>
    <row r="13113" spans="13:13" x14ac:dyDescent="0.25">
      <c r="M13113" s="34">
        <f t="shared" si="380"/>
        <v>0</v>
      </c>
    </row>
    <row r="13114" spans="13:13" x14ac:dyDescent="0.25">
      <c r="M13114" s="34">
        <f t="shared" si="380"/>
        <v>0</v>
      </c>
    </row>
    <row r="13115" spans="13:13" x14ac:dyDescent="0.25">
      <c r="M13115" s="34">
        <f t="shared" si="380"/>
        <v>0</v>
      </c>
    </row>
    <row r="13116" spans="13:13" x14ac:dyDescent="0.25">
      <c r="M13116" s="34">
        <f t="shared" si="380"/>
        <v>0</v>
      </c>
    </row>
    <row r="13117" spans="13:13" x14ac:dyDescent="0.25">
      <c r="M13117" s="34">
        <f t="shared" si="380"/>
        <v>0</v>
      </c>
    </row>
    <row r="13118" spans="13:13" x14ac:dyDescent="0.25">
      <c r="M13118" s="34">
        <f t="shared" si="380"/>
        <v>0</v>
      </c>
    </row>
    <row r="13119" spans="13:13" x14ac:dyDescent="0.25">
      <c r="M13119" s="34">
        <f t="shared" si="380"/>
        <v>0</v>
      </c>
    </row>
    <row r="13120" spans="13:13" x14ac:dyDescent="0.25">
      <c r="M13120" s="34">
        <f t="shared" si="380"/>
        <v>0</v>
      </c>
    </row>
    <row r="13121" spans="13:13" x14ac:dyDescent="0.25">
      <c r="M13121" s="34">
        <f t="shared" si="380"/>
        <v>0</v>
      </c>
    </row>
    <row r="13122" spans="13:13" x14ac:dyDescent="0.25">
      <c r="M13122" s="34">
        <f t="shared" si="380"/>
        <v>0</v>
      </c>
    </row>
    <row r="13123" spans="13:13" x14ac:dyDescent="0.25">
      <c r="M13123" s="34">
        <f t="shared" ref="M13123:M13186" si="381">IF(AND(E13123="Chèque",G13123="RECETTE"),F13123,0)</f>
        <v>0</v>
      </c>
    </row>
    <row r="13124" spans="13:13" x14ac:dyDescent="0.25">
      <c r="M13124" s="34">
        <f t="shared" si="381"/>
        <v>0</v>
      </c>
    </row>
    <row r="13125" spans="13:13" x14ac:dyDescent="0.25">
      <c r="M13125" s="34">
        <f t="shared" si="381"/>
        <v>0</v>
      </c>
    </row>
    <row r="13126" spans="13:13" x14ac:dyDescent="0.25">
      <c r="M13126" s="34">
        <f t="shared" si="381"/>
        <v>0</v>
      </c>
    </row>
    <row r="13127" spans="13:13" x14ac:dyDescent="0.25">
      <c r="M13127" s="34">
        <f t="shared" si="381"/>
        <v>0</v>
      </c>
    </row>
    <row r="13128" spans="13:13" x14ac:dyDescent="0.25">
      <c r="M13128" s="34">
        <f t="shared" si="381"/>
        <v>0</v>
      </c>
    </row>
    <row r="13129" spans="13:13" x14ac:dyDescent="0.25">
      <c r="M13129" s="34">
        <f t="shared" si="381"/>
        <v>0</v>
      </c>
    </row>
    <row r="13130" spans="13:13" x14ac:dyDescent="0.25">
      <c r="M13130" s="34">
        <f t="shared" si="381"/>
        <v>0</v>
      </c>
    </row>
    <row r="13131" spans="13:13" x14ac:dyDescent="0.25">
      <c r="M13131" s="34">
        <f t="shared" si="381"/>
        <v>0</v>
      </c>
    </row>
    <row r="13132" spans="13:13" x14ac:dyDescent="0.25">
      <c r="M13132" s="34">
        <f t="shared" si="381"/>
        <v>0</v>
      </c>
    </row>
    <row r="13133" spans="13:13" x14ac:dyDescent="0.25">
      <c r="M13133" s="34">
        <f t="shared" si="381"/>
        <v>0</v>
      </c>
    </row>
    <row r="13134" spans="13:13" x14ac:dyDescent="0.25">
      <c r="M13134" s="34">
        <f t="shared" si="381"/>
        <v>0</v>
      </c>
    </row>
    <row r="13135" spans="13:13" x14ac:dyDescent="0.25">
      <c r="M13135" s="34">
        <f t="shared" si="381"/>
        <v>0</v>
      </c>
    </row>
    <row r="13136" spans="13:13" x14ac:dyDescent="0.25">
      <c r="M13136" s="34">
        <f t="shared" si="381"/>
        <v>0</v>
      </c>
    </row>
    <row r="13137" spans="13:13" x14ac:dyDescent="0.25">
      <c r="M13137" s="34">
        <f t="shared" si="381"/>
        <v>0</v>
      </c>
    </row>
    <row r="13138" spans="13:13" x14ac:dyDescent="0.25">
      <c r="M13138" s="34">
        <f t="shared" si="381"/>
        <v>0</v>
      </c>
    </row>
    <row r="13139" spans="13:13" x14ac:dyDescent="0.25">
      <c r="M13139" s="34">
        <f t="shared" si="381"/>
        <v>0</v>
      </c>
    </row>
    <row r="13140" spans="13:13" x14ac:dyDescent="0.25">
      <c r="M13140" s="34">
        <f t="shared" si="381"/>
        <v>0</v>
      </c>
    </row>
    <row r="13141" spans="13:13" x14ac:dyDescent="0.25">
      <c r="M13141" s="34">
        <f t="shared" si="381"/>
        <v>0</v>
      </c>
    </row>
    <row r="13142" spans="13:13" x14ac:dyDescent="0.25">
      <c r="M13142" s="34">
        <f t="shared" si="381"/>
        <v>0</v>
      </c>
    </row>
    <row r="13143" spans="13:13" x14ac:dyDescent="0.25">
      <c r="M13143" s="34">
        <f t="shared" si="381"/>
        <v>0</v>
      </c>
    </row>
    <row r="13144" spans="13:13" x14ac:dyDescent="0.25">
      <c r="M13144" s="34">
        <f t="shared" si="381"/>
        <v>0</v>
      </c>
    </row>
    <row r="13145" spans="13:13" x14ac:dyDescent="0.25">
      <c r="M13145" s="34">
        <f t="shared" si="381"/>
        <v>0</v>
      </c>
    </row>
    <row r="13146" spans="13:13" x14ac:dyDescent="0.25">
      <c r="M13146" s="34">
        <f t="shared" si="381"/>
        <v>0</v>
      </c>
    </row>
    <row r="13147" spans="13:13" x14ac:dyDescent="0.25">
      <c r="M13147" s="34">
        <f t="shared" si="381"/>
        <v>0</v>
      </c>
    </row>
    <row r="13148" spans="13:13" x14ac:dyDescent="0.25">
      <c r="M13148" s="34">
        <f t="shared" si="381"/>
        <v>0</v>
      </c>
    </row>
    <row r="13149" spans="13:13" x14ac:dyDescent="0.25">
      <c r="M13149" s="34">
        <f t="shared" si="381"/>
        <v>0</v>
      </c>
    </row>
    <row r="13150" spans="13:13" x14ac:dyDescent="0.25">
      <c r="M13150" s="34">
        <f t="shared" si="381"/>
        <v>0</v>
      </c>
    </row>
    <row r="13151" spans="13:13" x14ac:dyDescent="0.25">
      <c r="M13151" s="34">
        <f t="shared" si="381"/>
        <v>0</v>
      </c>
    </row>
    <row r="13152" spans="13:13" x14ac:dyDescent="0.25">
      <c r="M13152" s="34">
        <f t="shared" si="381"/>
        <v>0</v>
      </c>
    </row>
    <row r="13153" spans="13:13" x14ac:dyDescent="0.25">
      <c r="M13153" s="34">
        <f t="shared" si="381"/>
        <v>0</v>
      </c>
    </row>
    <row r="13154" spans="13:13" x14ac:dyDescent="0.25">
      <c r="M13154" s="34">
        <f t="shared" si="381"/>
        <v>0</v>
      </c>
    </row>
    <row r="13155" spans="13:13" x14ac:dyDescent="0.25">
      <c r="M13155" s="34">
        <f t="shared" si="381"/>
        <v>0</v>
      </c>
    </row>
    <row r="13156" spans="13:13" x14ac:dyDescent="0.25">
      <c r="M13156" s="34">
        <f t="shared" si="381"/>
        <v>0</v>
      </c>
    </row>
    <row r="13157" spans="13:13" x14ac:dyDescent="0.25">
      <c r="M13157" s="34">
        <f t="shared" si="381"/>
        <v>0</v>
      </c>
    </row>
    <row r="13158" spans="13:13" x14ac:dyDescent="0.25">
      <c r="M13158" s="34">
        <f t="shared" si="381"/>
        <v>0</v>
      </c>
    </row>
    <row r="13159" spans="13:13" x14ac:dyDescent="0.25">
      <c r="M13159" s="34">
        <f t="shared" si="381"/>
        <v>0</v>
      </c>
    </row>
    <row r="13160" spans="13:13" x14ac:dyDescent="0.25">
      <c r="M13160" s="34">
        <f t="shared" si="381"/>
        <v>0</v>
      </c>
    </row>
    <row r="13161" spans="13:13" x14ac:dyDescent="0.25">
      <c r="M13161" s="34">
        <f t="shared" si="381"/>
        <v>0</v>
      </c>
    </row>
    <row r="13162" spans="13:13" x14ac:dyDescent="0.25">
      <c r="M13162" s="34">
        <f t="shared" si="381"/>
        <v>0</v>
      </c>
    </row>
    <row r="13163" spans="13:13" x14ac:dyDescent="0.25">
      <c r="M13163" s="34">
        <f t="shared" si="381"/>
        <v>0</v>
      </c>
    </row>
    <row r="13164" spans="13:13" x14ac:dyDescent="0.25">
      <c r="M13164" s="34">
        <f t="shared" si="381"/>
        <v>0</v>
      </c>
    </row>
    <row r="13165" spans="13:13" x14ac:dyDescent="0.25">
      <c r="M13165" s="34">
        <f t="shared" si="381"/>
        <v>0</v>
      </c>
    </row>
    <row r="13166" spans="13:13" x14ac:dyDescent="0.25">
      <c r="M13166" s="34">
        <f t="shared" si="381"/>
        <v>0</v>
      </c>
    </row>
    <row r="13167" spans="13:13" x14ac:dyDescent="0.25">
      <c r="M13167" s="34">
        <f t="shared" si="381"/>
        <v>0</v>
      </c>
    </row>
    <row r="13168" spans="13:13" x14ac:dyDescent="0.25">
      <c r="M13168" s="34">
        <f t="shared" si="381"/>
        <v>0</v>
      </c>
    </row>
    <row r="13169" spans="13:13" x14ac:dyDescent="0.25">
      <c r="M13169" s="34">
        <f t="shared" si="381"/>
        <v>0</v>
      </c>
    </row>
    <row r="13170" spans="13:13" x14ac:dyDescent="0.25">
      <c r="M13170" s="34">
        <f t="shared" si="381"/>
        <v>0</v>
      </c>
    </row>
    <row r="13171" spans="13:13" x14ac:dyDescent="0.25">
      <c r="M13171" s="34">
        <f t="shared" si="381"/>
        <v>0</v>
      </c>
    </row>
    <row r="13172" spans="13:13" x14ac:dyDescent="0.25">
      <c r="M13172" s="34">
        <f t="shared" si="381"/>
        <v>0</v>
      </c>
    </row>
    <row r="13173" spans="13:13" x14ac:dyDescent="0.25">
      <c r="M13173" s="34">
        <f t="shared" si="381"/>
        <v>0</v>
      </c>
    </row>
    <row r="13174" spans="13:13" x14ac:dyDescent="0.25">
      <c r="M13174" s="34">
        <f t="shared" si="381"/>
        <v>0</v>
      </c>
    </row>
    <row r="13175" spans="13:13" x14ac:dyDescent="0.25">
      <c r="M13175" s="34">
        <f t="shared" si="381"/>
        <v>0</v>
      </c>
    </row>
    <row r="13176" spans="13:13" x14ac:dyDescent="0.25">
      <c r="M13176" s="34">
        <f t="shared" si="381"/>
        <v>0</v>
      </c>
    </row>
    <row r="13177" spans="13:13" x14ac:dyDescent="0.25">
      <c r="M13177" s="34">
        <f t="shared" si="381"/>
        <v>0</v>
      </c>
    </row>
    <row r="13178" spans="13:13" x14ac:dyDescent="0.25">
      <c r="M13178" s="34">
        <f t="shared" si="381"/>
        <v>0</v>
      </c>
    </row>
    <row r="13179" spans="13:13" x14ac:dyDescent="0.25">
      <c r="M13179" s="34">
        <f t="shared" si="381"/>
        <v>0</v>
      </c>
    </row>
    <row r="13180" spans="13:13" x14ac:dyDescent="0.25">
      <c r="M13180" s="34">
        <f t="shared" si="381"/>
        <v>0</v>
      </c>
    </row>
    <row r="13181" spans="13:13" x14ac:dyDescent="0.25">
      <c r="M13181" s="34">
        <f t="shared" si="381"/>
        <v>0</v>
      </c>
    </row>
    <row r="13182" spans="13:13" x14ac:dyDescent="0.25">
      <c r="M13182" s="34">
        <f t="shared" si="381"/>
        <v>0</v>
      </c>
    </row>
    <row r="13183" spans="13:13" x14ac:dyDescent="0.25">
      <c r="M13183" s="34">
        <f t="shared" si="381"/>
        <v>0</v>
      </c>
    </row>
    <row r="13184" spans="13:13" x14ac:dyDescent="0.25">
      <c r="M13184" s="34">
        <f t="shared" si="381"/>
        <v>0</v>
      </c>
    </row>
    <row r="13185" spans="13:13" x14ac:dyDescent="0.25">
      <c r="M13185" s="34">
        <f t="shared" si="381"/>
        <v>0</v>
      </c>
    </row>
    <row r="13186" spans="13:13" x14ac:dyDescent="0.25">
      <c r="M13186" s="34">
        <f t="shared" si="381"/>
        <v>0</v>
      </c>
    </row>
    <row r="13187" spans="13:13" x14ac:dyDescent="0.25">
      <c r="M13187" s="34">
        <f t="shared" ref="M13187:M13250" si="382">IF(AND(E13187="Chèque",G13187="RECETTE"),F13187,0)</f>
        <v>0</v>
      </c>
    </row>
    <row r="13188" spans="13:13" x14ac:dyDescent="0.25">
      <c r="M13188" s="34">
        <f t="shared" si="382"/>
        <v>0</v>
      </c>
    </row>
    <row r="13189" spans="13:13" x14ac:dyDescent="0.25">
      <c r="M13189" s="34">
        <f t="shared" si="382"/>
        <v>0</v>
      </c>
    </row>
    <row r="13190" spans="13:13" x14ac:dyDescent="0.25">
      <c r="M13190" s="34">
        <f t="shared" si="382"/>
        <v>0</v>
      </c>
    </row>
    <row r="13191" spans="13:13" x14ac:dyDescent="0.25">
      <c r="M13191" s="34">
        <f t="shared" si="382"/>
        <v>0</v>
      </c>
    </row>
    <row r="13192" spans="13:13" x14ac:dyDescent="0.25">
      <c r="M13192" s="34">
        <f t="shared" si="382"/>
        <v>0</v>
      </c>
    </row>
    <row r="13193" spans="13:13" x14ac:dyDescent="0.25">
      <c r="M13193" s="34">
        <f t="shared" si="382"/>
        <v>0</v>
      </c>
    </row>
    <row r="13194" spans="13:13" x14ac:dyDescent="0.25">
      <c r="M13194" s="34">
        <f t="shared" si="382"/>
        <v>0</v>
      </c>
    </row>
    <row r="13195" spans="13:13" x14ac:dyDescent="0.25">
      <c r="M13195" s="34">
        <f t="shared" si="382"/>
        <v>0</v>
      </c>
    </row>
    <row r="13196" spans="13:13" x14ac:dyDescent="0.25">
      <c r="M13196" s="34">
        <f t="shared" si="382"/>
        <v>0</v>
      </c>
    </row>
    <row r="13197" spans="13:13" x14ac:dyDescent="0.25">
      <c r="M13197" s="34">
        <f t="shared" si="382"/>
        <v>0</v>
      </c>
    </row>
    <row r="13198" spans="13:13" x14ac:dyDescent="0.25">
      <c r="M13198" s="34">
        <f t="shared" si="382"/>
        <v>0</v>
      </c>
    </row>
    <row r="13199" spans="13:13" x14ac:dyDescent="0.25">
      <c r="M13199" s="34">
        <f t="shared" si="382"/>
        <v>0</v>
      </c>
    </row>
    <row r="13200" spans="13:13" x14ac:dyDescent="0.25">
      <c r="M13200" s="34">
        <f t="shared" si="382"/>
        <v>0</v>
      </c>
    </row>
    <row r="13201" spans="13:13" x14ac:dyDescent="0.25">
      <c r="M13201" s="34">
        <f t="shared" si="382"/>
        <v>0</v>
      </c>
    </row>
    <row r="13202" spans="13:13" x14ac:dyDescent="0.25">
      <c r="M13202" s="34">
        <f t="shared" si="382"/>
        <v>0</v>
      </c>
    </row>
    <row r="13203" spans="13:13" x14ac:dyDescent="0.25">
      <c r="M13203" s="34">
        <f t="shared" si="382"/>
        <v>0</v>
      </c>
    </row>
    <row r="13204" spans="13:13" x14ac:dyDescent="0.25">
      <c r="M13204" s="34">
        <f t="shared" si="382"/>
        <v>0</v>
      </c>
    </row>
    <row r="13205" spans="13:13" x14ac:dyDescent="0.25">
      <c r="M13205" s="34">
        <f t="shared" si="382"/>
        <v>0</v>
      </c>
    </row>
    <row r="13206" spans="13:13" x14ac:dyDescent="0.25">
      <c r="M13206" s="34">
        <f t="shared" si="382"/>
        <v>0</v>
      </c>
    </row>
    <row r="13207" spans="13:13" x14ac:dyDescent="0.25">
      <c r="M13207" s="34">
        <f t="shared" si="382"/>
        <v>0</v>
      </c>
    </row>
    <row r="13208" spans="13:13" x14ac:dyDescent="0.25">
      <c r="M13208" s="34">
        <f t="shared" si="382"/>
        <v>0</v>
      </c>
    </row>
    <row r="13209" spans="13:13" x14ac:dyDescent="0.25">
      <c r="M13209" s="34">
        <f t="shared" si="382"/>
        <v>0</v>
      </c>
    </row>
    <row r="13210" spans="13:13" x14ac:dyDescent="0.25">
      <c r="M13210" s="34">
        <f t="shared" si="382"/>
        <v>0</v>
      </c>
    </row>
    <row r="13211" spans="13:13" x14ac:dyDescent="0.25">
      <c r="M13211" s="34">
        <f t="shared" si="382"/>
        <v>0</v>
      </c>
    </row>
    <row r="13212" spans="13:13" x14ac:dyDescent="0.25">
      <c r="M13212" s="34">
        <f t="shared" si="382"/>
        <v>0</v>
      </c>
    </row>
    <row r="13213" spans="13:13" x14ac:dyDescent="0.25">
      <c r="M13213" s="34">
        <f t="shared" si="382"/>
        <v>0</v>
      </c>
    </row>
    <row r="13214" spans="13:13" x14ac:dyDescent="0.25">
      <c r="M13214" s="34">
        <f t="shared" si="382"/>
        <v>0</v>
      </c>
    </row>
    <row r="13215" spans="13:13" x14ac:dyDescent="0.25">
      <c r="M13215" s="34">
        <f t="shared" si="382"/>
        <v>0</v>
      </c>
    </row>
    <row r="13216" spans="13:13" x14ac:dyDescent="0.25">
      <c r="M13216" s="34">
        <f t="shared" si="382"/>
        <v>0</v>
      </c>
    </row>
    <row r="13217" spans="13:13" x14ac:dyDescent="0.25">
      <c r="M13217" s="34">
        <f t="shared" si="382"/>
        <v>0</v>
      </c>
    </row>
    <row r="13218" spans="13:13" x14ac:dyDescent="0.25">
      <c r="M13218" s="34">
        <f t="shared" si="382"/>
        <v>0</v>
      </c>
    </row>
    <row r="13219" spans="13:13" x14ac:dyDescent="0.25">
      <c r="M13219" s="34">
        <f t="shared" si="382"/>
        <v>0</v>
      </c>
    </row>
    <row r="13220" spans="13:13" x14ac:dyDescent="0.25">
      <c r="M13220" s="34">
        <f t="shared" si="382"/>
        <v>0</v>
      </c>
    </row>
    <row r="13221" spans="13:13" x14ac:dyDescent="0.25">
      <c r="M13221" s="34">
        <f t="shared" si="382"/>
        <v>0</v>
      </c>
    </row>
    <row r="13222" spans="13:13" x14ac:dyDescent="0.25">
      <c r="M13222" s="34">
        <f t="shared" si="382"/>
        <v>0</v>
      </c>
    </row>
    <row r="13223" spans="13:13" x14ac:dyDescent="0.25">
      <c r="M13223" s="34">
        <f t="shared" si="382"/>
        <v>0</v>
      </c>
    </row>
    <row r="13224" spans="13:13" x14ac:dyDescent="0.25">
      <c r="M13224" s="34">
        <f t="shared" si="382"/>
        <v>0</v>
      </c>
    </row>
    <row r="13225" spans="13:13" x14ac:dyDescent="0.25">
      <c r="M13225" s="34">
        <f t="shared" si="382"/>
        <v>0</v>
      </c>
    </row>
    <row r="13226" spans="13:13" x14ac:dyDescent="0.25">
      <c r="M13226" s="34">
        <f t="shared" si="382"/>
        <v>0</v>
      </c>
    </row>
    <row r="13227" spans="13:13" x14ac:dyDescent="0.25">
      <c r="M13227" s="34">
        <f t="shared" si="382"/>
        <v>0</v>
      </c>
    </row>
    <row r="13228" spans="13:13" x14ac:dyDescent="0.25">
      <c r="M13228" s="34">
        <f t="shared" si="382"/>
        <v>0</v>
      </c>
    </row>
    <row r="13229" spans="13:13" x14ac:dyDescent="0.25">
      <c r="M13229" s="34">
        <f t="shared" si="382"/>
        <v>0</v>
      </c>
    </row>
    <row r="13230" spans="13:13" x14ac:dyDescent="0.25">
      <c r="M13230" s="34">
        <f t="shared" si="382"/>
        <v>0</v>
      </c>
    </row>
    <row r="13231" spans="13:13" x14ac:dyDescent="0.25">
      <c r="M13231" s="34">
        <f t="shared" si="382"/>
        <v>0</v>
      </c>
    </row>
    <row r="13232" spans="13:13" x14ac:dyDescent="0.25">
      <c r="M13232" s="34">
        <f t="shared" si="382"/>
        <v>0</v>
      </c>
    </row>
    <row r="13233" spans="13:13" x14ac:dyDescent="0.25">
      <c r="M13233" s="34">
        <f t="shared" si="382"/>
        <v>0</v>
      </c>
    </row>
    <row r="13234" spans="13:13" x14ac:dyDescent="0.25">
      <c r="M13234" s="34">
        <f t="shared" si="382"/>
        <v>0</v>
      </c>
    </row>
    <row r="13235" spans="13:13" x14ac:dyDescent="0.25">
      <c r="M13235" s="34">
        <f t="shared" si="382"/>
        <v>0</v>
      </c>
    </row>
    <row r="13236" spans="13:13" x14ac:dyDescent="0.25">
      <c r="M13236" s="34">
        <f t="shared" si="382"/>
        <v>0</v>
      </c>
    </row>
    <row r="13237" spans="13:13" x14ac:dyDescent="0.25">
      <c r="M13237" s="34">
        <f t="shared" si="382"/>
        <v>0</v>
      </c>
    </row>
    <row r="13238" spans="13:13" x14ac:dyDescent="0.25">
      <c r="M13238" s="34">
        <f t="shared" si="382"/>
        <v>0</v>
      </c>
    </row>
    <row r="13239" spans="13:13" x14ac:dyDescent="0.25">
      <c r="M13239" s="34">
        <f t="shared" si="382"/>
        <v>0</v>
      </c>
    </row>
    <row r="13240" spans="13:13" x14ac:dyDescent="0.25">
      <c r="M13240" s="34">
        <f t="shared" si="382"/>
        <v>0</v>
      </c>
    </row>
    <row r="13241" spans="13:13" x14ac:dyDescent="0.25">
      <c r="M13241" s="34">
        <f t="shared" si="382"/>
        <v>0</v>
      </c>
    </row>
    <row r="13242" spans="13:13" x14ac:dyDescent="0.25">
      <c r="M13242" s="34">
        <f t="shared" si="382"/>
        <v>0</v>
      </c>
    </row>
    <row r="13243" spans="13:13" x14ac:dyDescent="0.25">
      <c r="M13243" s="34">
        <f t="shared" si="382"/>
        <v>0</v>
      </c>
    </row>
    <row r="13244" spans="13:13" x14ac:dyDescent="0.25">
      <c r="M13244" s="34">
        <f t="shared" si="382"/>
        <v>0</v>
      </c>
    </row>
    <row r="13245" spans="13:13" x14ac:dyDescent="0.25">
      <c r="M13245" s="34">
        <f t="shared" si="382"/>
        <v>0</v>
      </c>
    </row>
    <row r="13246" spans="13:13" x14ac:dyDescent="0.25">
      <c r="M13246" s="34">
        <f t="shared" si="382"/>
        <v>0</v>
      </c>
    </row>
    <row r="13247" spans="13:13" x14ac:dyDescent="0.25">
      <c r="M13247" s="34">
        <f t="shared" si="382"/>
        <v>0</v>
      </c>
    </row>
    <row r="13248" spans="13:13" x14ac:dyDescent="0.25">
      <c r="M13248" s="34">
        <f t="shared" si="382"/>
        <v>0</v>
      </c>
    </row>
    <row r="13249" spans="13:13" x14ac:dyDescent="0.25">
      <c r="M13249" s="34">
        <f t="shared" si="382"/>
        <v>0</v>
      </c>
    </row>
    <row r="13250" spans="13:13" x14ac:dyDescent="0.25">
      <c r="M13250" s="34">
        <f t="shared" si="382"/>
        <v>0</v>
      </c>
    </row>
    <row r="13251" spans="13:13" x14ac:dyDescent="0.25">
      <c r="M13251" s="34">
        <f t="shared" ref="M13251:M13314" si="383">IF(AND(E13251="Chèque",G13251="RECETTE"),F13251,0)</f>
        <v>0</v>
      </c>
    </row>
    <row r="13252" spans="13:13" x14ac:dyDescent="0.25">
      <c r="M13252" s="34">
        <f t="shared" si="383"/>
        <v>0</v>
      </c>
    </row>
    <row r="13253" spans="13:13" x14ac:dyDescent="0.25">
      <c r="M13253" s="34">
        <f t="shared" si="383"/>
        <v>0</v>
      </c>
    </row>
    <row r="13254" spans="13:13" x14ac:dyDescent="0.25">
      <c r="M13254" s="34">
        <f t="shared" si="383"/>
        <v>0</v>
      </c>
    </row>
    <row r="13255" spans="13:13" x14ac:dyDescent="0.25">
      <c r="M13255" s="34">
        <f t="shared" si="383"/>
        <v>0</v>
      </c>
    </row>
    <row r="13256" spans="13:13" x14ac:dyDescent="0.25">
      <c r="M13256" s="34">
        <f t="shared" si="383"/>
        <v>0</v>
      </c>
    </row>
    <row r="13257" spans="13:13" x14ac:dyDescent="0.25">
      <c r="M13257" s="34">
        <f t="shared" si="383"/>
        <v>0</v>
      </c>
    </row>
    <row r="13258" spans="13:13" x14ac:dyDescent="0.25">
      <c r="M13258" s="34">
        <f t="shared" si="383"/>
        <v>0</v>
      </c>
    </row>
    <row r="13259" spans="13:13" x14ac:dyDescent="0.25">
      <c r="M13259" s="34">
        <f t="shared" si="383"/>
        <v>0</v>
      </c>
    </row>
    <row r="13260" spans="13:13" x14ac:dyDescent="0.25">
      <c r="M13260" s="34">
        <f t="shared" si="383"/>
        <v>0</v>
      </c>
    </row>
    <row r="13261" spans="13:13" x14ac:dyDescent="0.25">
      <c r="M13261" s="34">
        <f t="shared" si="383"/>
        <v>0</v>
      </c>
    </row>
    <row r="13262" spans="13:13" x14ac:dyDescent="0.25">
      <c r="M13262" s="34">
        <f t="shared" si="383"/>
        <v>0</v>
      </c>
    </row>
    <row r="13263" spans="13:13" x14ac:dyDescent="0.25">
      <c r="M13263" s="34">
        <f t="shared" si="383"/>
        <v>0</v>
      </c>
    </row>
    <row r="13264" spans="13:13" x14ac:dyDescent="0.25">
      <c r="M13264" s="34">
        <f t="shared" si="383"/>
        <v>0</v>
      </c>
    </row>
    <row r="13265" spans="13:13" x14ac:dyDescent="0.25">
      <c r="M13265" s="34">
        <f t="shared" si="383"/>
        <v>0</v>
      </c>
    </row>
    <row r="13266" spans="13:13" x14ac:dyDescent="0.25">
      <c r="M13266" s="34">
        <f t="shared" si="383"/>
        <v>0</v>
      </c>
    </row>
    <row r="13267" spans="13:13" x14ac:dyDescent="0.25">
      <c r="M13267" s="34">
        <f t="shared" si="383"/>
        <v>0</v>
      </c>
    </row>
    <row r="13268" spans="13:13" x14ac:dyDescent="0.25">
      <c r="M13268" s="34">
        <f t="shared" si="383"/>
        <v>0</v>
      </c>
    </row>
    <row r="13269" spans="13:13" x14ac:dyDescent="0.25">
      <c r="M13269" s="34">
        <f t="shared" si="383"/>
        <v>0</v>
      </c>
    </row>
    <row r="13270" spans="13:13" x14ac:dyDescent="0.25">
      <c r="M13270" s="34">
        <f t="shared" si="383"/>
        <v>0</v>
      </c>
    </row>
    <row r="13271" spans="13:13" x14ac:dyDescent="0.25">
      <c r="M13271" s="34">
        <f t="shared" si="383"/>
        <v>0</v>
      </c>
    </row>
    <row r="13272" spans="13:13" x14ac:dyDescent="0.25">
      <c r="M13272" s="34">
        <f t="shared" si="383"/>
        <v>0</v>
      </c>
    </row>
    <row r="13273" spans="13:13" x14ac:dyDescent="0.25">
      <c r="M13273" s="34">
        <f t="shared" si="383"/>
        <v>0</v>
      </c>
    </row>
    <row r="13274" spans="13:13" x14ac:dyDescent="0.25">
      <c r="M13274" s="34">
        <f t="shared" si="383"/>
        <v>0</v>
      </c>
    </row>
    <row r="13275" spans="13:13" x14ac:dyDescent="0.25">
      <c r="M13275" s="34">
        <f t="shared" si="383"/>
        <v>0</v>
      </c>
    </row>
    <row r="13276" spans="13:13" x14ac:dyDescent="0.25">
      <c r="M13276" s="34">
        <f t="shared" si="383"/>
        <v>0</v>
      </c>
    </row>
    <row r="13277" spans="13:13" x14ac:dyDescent="0.25">
      <c r="M13277" s="34">
        <f t="shared" si="383"/>
        <v>0</v>
      </c>
    </row>
    <row r="13278" spans="13:13" x14ac:dyDescent="0.25">
      <c r="M13278" s="34">
        <f t="shared" si="383"/>
        <v>0</v>
      </c>
    </row>
    <row r="13279" spans="13:13" x14ac:dyDescent="0.25">
      <c r="M13279" s="34">
        <f t="shared" si="383"/>
        <v>0</v>
      </c>
    </row>
    <row r="13280" spans="13:13" x14ac:dyDescent="0.25">
      <c r="M13280" s="34">
        <f t="shared" si="383"/>
        <v>0</v>
      </c>
    </row>
    <row r="13281" spans="13:13" x14ac:dyDescent="0.25">
      <c r="M13281" s="34">
        <f t="shared" si="383"/>
        <v>0</v>
      </c>
    </row>
    <row r="13282" spans="13:13" x14ac:dyDescent="0.25">
      <c r="M13282" s="34">
        <f t="shared" si="383"/>
        <v>0</v>
      </c>
    </row>
    <row r="13283" spans="13:13" x14ac:dyDescent="0.25">
      <c r="M13283" s="34">
        <f t="shared" si="383"/>
        <v>0</v>
      </c>
    </row>
    <row r="13284" spans="13:13" x14ac:dyDescent="0.25">
      <c r="M13284" s="34">
        <f t="shared" si="383"/>
        <v>0</v>
      </c>
    </row>
    <row r="13285" spans="13:13" x14ac:dyDescent="0.25">
      <c r="M13285" s="34">
        <f t="shared" si="383"/>
        <v>0</v>
      </c>
    </row>
    <row r="13286" spans="13:13" x14ac:dyDescent="0.25">
      <c r="M13286" s="34">
        <f t="shared" si="383"/>
        <v>0</v>
      </c>
    </row>
    <row r="13287" spans="13:13" x14ac:dyDescent="0.25">
      <c r="M13287" s="34">
        <f t="shared" si="383"/>
        <v>0</v>
      </c>
    </row>
    <row r="13288" spans="13:13" x14ac:dyDescent="0.25">
      <c r="M13288" s="34">
        <f t="shared" si="383"/>
        <v>0</v>
      </c>
    </row>
    <row r="13289" spans="13:13" x14ac:dyDescent="0.25">
      <c r="M13289" s="34">
        <f t="shared" si="383"/>
        <v>0</v>
      </c>
    </row>
    <row r="13290" spans="13:13" x14ac:dyDescent="0.25">
      <c r="M13290" s="34">
        <f t="shared" si="383"/>
        <v>0</v>
      </c>
    </row>
    <row r="13291" spans="13:13" x14ac:dyDescent="0.25">
      <c r="M13291" s="34">
        <f t="shared" si="383"/>
        <v>0</v>
      </c>
    </row>
    <row r="13292" spans="13:13" x14ac:dyDescent="0.25">
      <c r="M13292" s="34">
        <f t="shared" si="383"/>
        <v>0</v>
      </c>
    </row>
    <row r="13293" spans="13:13" x14ac:dyDescent="0.25">
      <c r="M13293" s="34">
        <f t="shared" si="383"/>
        <v>0</v>
      </c>
    </row>
    <row r="13294" spans="13:13" x14ac:dyDescent="0.25">
      <c r="M13294" s="34">
        <f t="shared" si="383"/>
        <v>0</v>
      </c>
    </row>
    <row r="13295" spans="13:13" x14ac:dyDescent="0.25">
      <c r="M13295" s="34">
        <f t="shared" si="383"/>
        <v>0</v>
      </c>
    </row>
    <row r="13296" spans="13:13" x14ac:dyDescent="0.25">
      <c r="M13296" s="34">
        <f t="shared" si="383"/>
        <v>0</v>
      </c>
    </row>
    <row r="13297" spans="13:13" x14ac:dyDescent="0.25">
      <c r="M13297" s="34">
        <f t="shared" si="383"/>
        <v>0</v>
      </c>
    </row>
    <row r="13298" spans="13:13" x14ac:dyDescent="0.25">
      <c r="M13298" s="34">
        <f t="shared" si="383"/>
        <v>0</v>
      </c>
    </row>
    <row r="13299" spans="13:13" x14ac:dyDescent="0.25">
      <c r="M13299" s="34">
        <f t="shared" si="383"/>
        <v>0</v>
      </c>
    </row>
    <row r="13300" spans="13:13" x14ac:dyDescent="0.25">
      <c r="M13300" s="34">
        <f t="shared" si="383"/>
        <v>0</v>
      </c>
    </row>
    <row r="13301" spans="13:13" x14ac:dyDescent="0.25">
      <c r="M13301" s="34">
        <f t="shared" si="383"/>
        <v>0</v>
      </c>
    </row>
    <row r="13302" spans="13:13" x14ac:dyDescent="0.25">
      <c r="M13302" s="34">
        <f t="shared" si="383"/>
        <v>0</v>
      </c>
    </row>
    <row r="13303" spans="13:13" x14ac:dyDescent="0.25">
      <c r="M13303" s="34">
        <f t="shared" si="383"/>
        <v>0</v>
      </c>
    </row>
    <row r="13304" spans="13:13" x14ac:dyDescent="0.25">
      <c r="M13304" s="34">
        <f t="shared" si="383"/>
        <v>0</v>
      </c>
    </row>
    <row r="13305" spans="13:13" x14ac:dyDescent="0.25">
      <c r="M13305" s="34">
        <f t="shared" si="383"/>
        <v>0</v>
      </c>
    </row>
    <row r="13306" spans="13:13" x14ac:dyDescent="0.25">
      <c r="M13306" s="34">
        <f t="shared" si="383"/>
        <v>0</v>
      </c>
    </row>
    <row r="13307" spans="13:13" x14ac:dyDescent="0.25">
      <c r="M13307" s="34">
        <f t="shared" si="383"/>
        <v>0</v>
      </c>
    </row>
    <row r="13308" spans="13:13" x14ac:dyDescent="0.25">
      <c r="M13308" s="34">
        <f t="shared" si="383"/>
        <v>0</v>
      </c>
    </row>
    <row r="13309" spans="13:13" x14ac:dyDescent="0.25">
      <c r="M13309" s="34">
        <f t="shared" si="383"/>
        <v>0</v>
      </c>
    </row>
    <row r="13310" spans="13:13" x14ac:dyDescent="0.25">
      <c r="M13310" s="34">
        <f t="shared" si="383"/>
        <v>0</v>
      </c>
    </row>
    <row r="13311" spans="13:13" x14ac:dyDescent="0.25">
      <c r="M13311" s="34">
        <f t="shared" si="383"/>
        <v>0</v>
      </c>
    </row>
    <row r="13312" spans="13:13" x14ac:dyDescent="0.25">
      <c r="M13312" s="34">
        <f t="shared" si="383"/>
        <v>0</v>
      </c>
    </row>
    <row r="13313" spans="13:13" x14ac:dyDescent="0.25">
      <c r="M13313" s="34">
        <f t="shared" si="383"/>
        <v>0</v>
      </c>
    </row>
    <row r="13314" spans="13:13" x14ac:dyDescent="0.25">
      <c r="M13314" s="34">
        <f t="shared" si="383"/>
        <v>0</v>
      </c>
    </row>
    <row r="13315" spans="13:13" x14ac:dyDescent="0.25">
      <c r="M13315" s="34">
        <f t="shared" ref="M13315:M13378" si="384">IF(AND(E13315="Chèque",G13315="RECETTE"),F13315,0)</f>
        <v>0</v>
      </c>
    </row>
    <row r="13316" spans="13:13" x14ac:dyDescent="0.25">
      <c r="M13316" s="34">
        <f t="shared" si="384"/>
        <v>0</v>
      </c>
    </row>
    <row r="13317" spans="13:13" x14ac:dyDescent="0.25">
      <c r="M13317" s="34">
        <f t="shared" si="384"/>
        <v>0</v>
      </c>
    </row>
    <row r="13318" spans="13:13" x14ac:dyDescent="0.25">
      <c r="M13318" s="34">
        <f t="shared" si="384"/>
        <v>0</v>
      </c>
    </row>
    <row r="13319" spans="13:13" x14ac:dyDescent="0.25">
      <c r="M13319" s="34">
        <f t="shared" si="384"/>
        <v>0</v>
      </c>
    </row>
    <row r="13320" spans="13:13" x14ac:dyDescent="0.25">
      <c r="M13320" s="34">
        <f t="shared" si="384"/>
        <v>0</v>
      </c>
    </row>
    <row r="13321" spans="13:13" x14ac:dyDescent="0.25">
      <c r="M13321" s="34">
        <f t="shared" si="384"/>
        <v>0</v>
      </c>
    </row>
    <row r="13322" spans="13:13" x14ac:dyDescent="0.25">
      <c r="M13322" s="34">
        <f t="shared" si="384"/>
        <v>0</v>
      </c>
    </row>
    <row r="13323" spans="13:13" x14ac:dyDescent="0.25">
      <c r="M13323" s="34">
        <f t="shared" si="384"/>
        <v>0</v>
      </c>
    </row>
    <row r="13324" spans="13:13" x14ac:dyDescent="0.25">
      <c r="M13324" s="34">
        <f t="shared" si="384"/>
        <v>0</v>
      </c>
    </row>
    <row r="13325" spans="13:13" x14ac:dyDescent="0.25">
      <c r="M13325" s="34">
        <f t="shared" si="384"/>
        <v>0</v>
      </c>
    </row>
    <row r="13326" spans="13:13" x14ac:dyDescent="0.25">
      <c r="M13326" s="34">
        <f t="shared" si="384"/>
        <v>0</v>
      </c>
    </row>
    <row r="13327" spans="13:13" x14ac:dyDescent="0.25">
      <c r="M13327" s="34">
        <f t="shared" si="384"/>
        <v>0</v>
      </c>
    </row>
    <row r="13328" spans="13:13" x14ac:dyDescent="0.25">
      <c r="M13328" s="34">
        <f t="shared" si="384"/>
        <v>0</v>
      </c>
    </row>
    <row r="13329" spans="13:13" x14ac:dyDescent="0.25">
      <c r="M13329" s="34">
        <f t="shared" si="384"/>
        <v>0</v>
      </c>
    </row>
    <row r="13330" spans="13:13" x14ac:dyDescent="0.25">
      <c r="M13330" s="34">
        <f t="shared" si="384"/>
        <v>0</v>
      </c>
    </row>
    <row r="13331" spans="13:13" x14ac:dyDescent="0.25">
      <c r="M13331" s="34">
        <f t="shared" si="384"/>
        <v>0</v>
      </c>
    </row>
    <row r="13332" spans="13:13" x14ac:dyDescent="0.25">
      <c r="M13332" s="34">
        <f t="shared" si="384"/>
        <v>0</v>
      </c>
    </row>
    <row r="13333" spans="13:13" x14ac:dyDescent="0.25">
      <c r="M13333" s="34">
        <f t="shared" si="384"/>
        <v>0</v>
      </c>
    </row>
    <row r="13334" spans="13:13" x14ac:dyDescent="0.25">
      <c r="M13334" s="34">
        <f t="shared" si="384"/>
        <v>0</v>
      </c>
    </row>
    <row r="13335" spans="13:13" x14ac:dyDescent="0.25">
      <c r="M13335" s="34">
        <f t="shared" si="384"/>
        <v>0</v>
      </c>
    </row>
    <row r="13336" spans="13:13" x14ac:dyDescent="0.25">
      <c r="M13336" s="34">
        <f t="shared" si="384"/>
        <v>0</v>
      </c>
    </row>
    <row r="13337" spans="13:13" x14ac:dyDescent="0.25">
      <c r="M13337" s="34">
        <f t="shared" si="384"/>
        <v>0</v>
      </c>
    </row>
    <row r="13338" spans="13:13" x14ac:dyDescent="0.25">
      <c r="M13338" s="34">
        <f t="shared" si="384"/>
        <v>0</v>
      </c>
    </row>
    <row r="13339" spans="13:13" x14ac:dyDescent="0.25">
      <c r="M13339" s="34">
        <f t="shared" si="384"/>
        <v>0</v>
      </c>
    </row>
    <row r="13340" spans="13:13" x14ac:dyDescent="0.25">
      <c r="M13340" s="34">
        <f t="shared" si="384"/>
        <v>0</v>
      </c>
    </row>
    <row r="13341" spans="13:13" x14ac:dyDescent="0.25">
      <c r="M13341" s="34">
        <f t="shared" si="384"/>
        <v>0</v>
      </c>
    </row>
    <row r="13342" spans="13:13" x14ac:dyDescent="0.25">
      <c r="M13342" s="34">
        <f t="shared" si="384"/>
        <v>0</v>
      </c>
    </row>
    <row r="13343" spans="13:13" x14ac:dyDescent="0.25">
      <c r="M13343" s="34">
        <f t="shared" si="384"/>
        <v>0</v>
      </c>
    </row>
    <row r="13344" spans="13:13" x14ac:dyDescent="0.25">
      <c r="M13344" s="34">
        <f t="shared" si="384"/>
        <v>0</v>
      </c>
    </row>
    <row r="13345" spans="13:13" x14ac:dyDescent="0.25">
      <c r="M13345" s="34">
        <f t="shared" si="384"/>
        <v>0</v>
      </c>
    </row>
    <row r="13346" spans="13:13" x14ac:dyDescent="0.25">
      <c r="M13346" s="34">
        <f t="shared" si="384"/>
        <v>0</v>
      </c>
    </row>
    <row r="13347" spans="13:13" x14ac:dyDescent="0.25">
      <c r="M13347" s="34">
        <f t="shared" si="384"/>
        <v>0</v>
      </c>
    </row>
    <row r="13348" spans="13:13" x14ac:dyDescent="0.25">
      <c r="M13348" s="34">
        <f t="shared" si="384"/>
        <v>0</v>
      </c>
    </row>
    <row r="13349" spans="13:13" x14ac:dyDescent="0.25">
      <c r="M13349" s="34">
        <f t="shared" si="384"/>
        <v>0</v>
      </c>
    </row>
    <row r="13350" spans="13:13" x14ac:dyDescent="0.25">
      <c r="M13350" s="34">
        <f t="shared" si="384"/>
        <v>0</v>
      </c>
    </row>
    <row r="13351" spans="13:13" x14ac:dyDescent="0.25">
      <c r="M13351" s="34">
        <f t="shared" si="384"/>
        <v>0</v>
      </c>
    </row>
    <row r="13352" spans="13:13" x14ac:dyDescent="0.25">
      <c r="M13352" s="34">
        <f t="shared" si="384"/>
        <v>0</v>
      </c>
    </row>
    <row r="13353" spans="13:13" x14ac:dyDescent="0.25">
      <c r="M13353" s="34">
        <f t="shared" si="384"/>
        <v>0</v>
      </c>
    </row>
    <row r="13354" spans="13:13" x14ac:dyDescent="0.25">
      <c r="M13354" s="34">
        <f t="shared" si="384"/>
        <v>0</v>
      </c>
    </row>
    <row r="13355" spans="13:13" x14ac:dyDescent="0.25">
      <c r="M13355" s="34">
        <f t="shared" si="384"/>
        <v>0</v>
      </c>
    </row>
    <row r="13356" spans="13:13" x14ac:dyDescent="0.25">
      <c r="M13356" s="34">
        <f t="shared" si="384"/>
        <v>0</v>
      </c>
    </row>
    <row r="13357" spans="13:13" x14ac:dyDescent="0.25">
      <c r="M13357" s="34">
        <f t="shared" si="384"/>
        <v>0</v>
      </c>
    </row>
    <row r="13358" spans="13:13" x14ac:dyDescent="0.25">
      <c r="M13358" s="34">
        <f t="shared" si="384"/>
        <v>0</v>
      </c>
    </row>
    <row r="13359" spans="13:13" x14ac:dyDescent="0.25">
      <c r="M13359" s="34">
        <f t="shared" si="384"/>
        <v>0</v>
      </c>
    </row>
    <row r="13360" spans="13:13" x14ac:dyDescent="0.25">
      <c r="M13360" s="34">
        <f t="shared" si="384"/>
        <v>0</v>
      </c>
    </row>
    <row r="13361" spans="13:13" x14ac:dyDescent="0.25">
      <c r="M13361" s="34">
        <f t="shared" si="384"/>
        <v>0</v>
      </c>
    </row>
    <row r="13362" spans="13:13" x14ac:dyDescent="0.25">
      <c r="M13362" s="34">
        <f t="shared" si="384"/>
        <v>0</v>
      </c>
    </row>
    <row r="13363" spans="13:13" x14ac:dyDescent="0.25">
      <c r="M13363" s="34">
        <f t="shared" si="384"/>
        <v>0</v>
      </c>
    </row>
    <row r="13364" spans="13:13" x14ac:dyDescent="0.25">
      <c r="M13364" s="34">
        <f t="shared" si="384"/>
        <v>0</v>
      </c>
    </row>
    <row r="13365" spans="13:13" x14ac:dyDescent="0.25">
      <c r="M13365" s="34">
        <f t="shared" si="384"/>
        <v>0</v>
      </c>
    </row>
    <row r="13366" spans="13:13" x14ac:dyDescent="0.25">
      <c r="M13366" s="34">
        <f t="shared" si="384"/>
        <v>0</v>
      </c>
    </row>
    <row r="13367" spans="13:13" x14ac:dyDescent="0.25">
      <c r="M13367" s="34">
        <f t="shared" si="384"/>
        <v>0</v>
      </c>
    </row>
    <row r="13368" spans="13:13" x14ac:dyDescent="0.25">
      <c r="M13368" s="34">
        <f t="shared" si="384"/>
        <v>0</v>
      </c>
    </row>
    <row r="13369" spans="13:13" x14ac:dyDescent="0.25">
      <c r="M13369" s="34">
        <f t="shared" si="384"/>
        <v>0</v>
      </c>
    </row>
    <row r="13370" spans="13:13" x14ac:dyDescent="0.25">
      <c r="M13370" s="34">
        <f t="shared" si="384"/>
        <v>0</v>
      </c>
    </row>
    <row r="13371" spans="13:13" x14ac:dyDescent="0.25">
      <c r="M13371" s="34">
        <f t="shared" si="384"/>
        <v>0</v>
      </c>
    </row>
    <row r="13372" spans="13:13" x14ac:dyDescent="0.25">
      <c r="M13372" s="34">
        <f t="shared" si="384"/>
        <v>0</v>
      </c>
    </row>
    <row r="13373" spans="13:13" x14ac:dyDescent="0.25">
      <c r="M13373" s="34">
        <f t="shared" si="384"/>
        <v>0</v>
      </c>
    </row>
    <row r="13374" spans="13:13" x14ac:dyDescent="0.25">
      <c r="M13374" s="34">
        <f t="shared" si="384"/>
        <v>0</v>
      </c>
    </row>
    <row r="13375" spans="13:13" x14ac:dyDescent="0.25">
      <c r="M13375" s="34">
        <f t="shared" si="384"/>
        <v>0</v>
      </c>
    </row>
    <row r="13376" spans="13:13" x14ac:dyDescent="0.25">
      <c r="M13376" s="34">
        <f t="shared" si="384"/>
        <v>0</v>
      </c>
    </row>
    <row r="13377" spans="13:13" x14ac:dyDescent="0.25">
      <c r="M13377" s="34">
        <f t="shared" si="384"/>
        <v>0</v>
      </c>
    </row>
    <row r="13378" spans="13:13" x14ac:dyDescent="0.25">
      <c r="M13378" s="34">
        <f t="shared" si="384"/>
        <v>0</v>
      </c>
    </row>
    <row r="13379" spans="13:13" x14ac:dyDescent="0.25">
      <c r="M13379" s="34">
        <f t="shared" ref="M13379:M13442" si="385">IF(AND(E13379="Chèque",G13379="RECETTE"),F13379,0)</f>
        <v>0</v>
      </c>
    </row>
    <row r="13380" spans="13:13" x14ac:dyDescent="0.25">
      <c r="M13380" s="34">
        <f t="shared" si="385"/>
        <v>0</v>
      </c>
    </row>
    <row r="13381" spans="13:13" x14ac:dyDescent="0.25">
      <c r="M13381" s="34">
        <f t="shared" si="385"/>
        <v>0</v>
      </c>
    </row>
    <row r="13382" spans="13:13" x14ac:dyDescent="0.25">
      <c r="M13382" s="34">
        <f t="shared" si="385"/>
        <v>0</v>
      </c>
    </row>
    <row r="13383" spans="13:13" x14ac:dyDescent="0.25">
      <c r="M13383" s="34">
        <f t="shared" si="385"/>
        <v>0</v>
      </c>
    </row>
    <row r="13384" spans="13:13" x14ac:dyDescent="0.25">
      <c r="M13384" s="34">
        <f t="shared" si="385"/>
        <v>0</v>
      </c>
    </row>
    <row r="13385" spans="13:13" x14ac:dyDescent="0.25">
      <c r="M13385" s="34">
        <f t="shared" si="385"/>
        <v>0</v>
      </c>
    </row>
    <row r="13386" spans="13:13" x14ac:dyDescent="0.25">
      <c r="M13386" s="34">
        <f t="shared" si="385"/>
        <v>0</v>
      </c>
    </row>
    <row r="13387" spans="13:13" x14ac:dyDescent="0.25">
      <c r="M13387" s="34">
        <f t="shared" si="385"/>
        <v>0</v>
      </c>
    </row>
    <row r="13388" spans="13:13" x14ac:dyDescent="0.25">
      <c r="M13388" s="34">
        <f t="shared" si="385"/>
        <v>0</v>
      </c>
    </row>
    <row r="13389" spans="13:13" x14ac:dyDescent="0.25">
      <c r="M13389" s="34">
        <f t="shared" si="385"/>
        <v>0</v>
      </c>
    </row>
    <row r="13390" spans="13:13" x14ac:dyDescent="0.25">
      <c r="M13390" s="34">
        <f t="shared" si="385"/>
        <v>0</v>
      </c>
    </row>
    <row r="13391" spans="13:13" x14ac:dyDescent="0.25">
      <c r="M13391" s="34">
        <f t="shared" si="385"/>
        <v>0</v>
      </c>
    </row>
    <row r="13392" spans="13:13" x14ac:dyDescent="0.25">
      <c r="M13392" s="34">
        <f t="shared" si="385"/>
        <v>0</v>
      </c>
    </row>
    <row r="13393" spans="13:13" x14ac:dyDescent="0.25">
      <c r="M13393" s="34">
        <f t="shared" si="385"/>
        <v>0</v>
      </c>
    </row>
    <row r="13394" spans="13:13" x14ac:dyDescent="0.25">
      <c r="M13394" s="34">
        <f t="shared" si="385"/>
        <v>0</v>
      </c>
    </row>
    <row r="13395" spans="13:13" x14ac:dyDescent="0.25">
      <c r="M13395" s="34">
        <f t="shared" si="385"/>
        <v>0</v>
      </c>
    </row>
    <row r="13396" spans="13:13" x14ac:dyDescent="0.25">
      <c r="M13396" s="34">
        <f t="shared" si="385"/>
        <v>0</v>
      </c>
    </row>
    <row r="13397" spans="13:13" x14ac:dyDescent="0.25">
      <c r="M13397" s="34">
        <f t="shared" si="385"/>
        <v>0</v>
      </c>
    </row>
    <row r="13398" spans="13:13" x14ac:dyDescent="0.25">
      <c r="M13398" s="34">
        <f t="shared" si="385"/>
        <v>0</v>
      </c>
    </row>
    <row r="13399" spans="13:13" x14ac:dyDescent="0.25">
      <c r="M13399" s="34">
        <f t="shared" si="385"/>
        <v>0</v>
      </c>
    </row>
    <row r="13400" spans="13:13" x14ac:dyDescent="0.25">
      <c r="M13400" s="34">
        <f t="shared" si="385"/>
        <v>0</v>
      </c>
    </row>
    <row r="13401" spans="13:13" x14ac:dyDescent="0.25">
      <c r="M13401" s="34">
        <f t="shared" si="385"/>
        <v>0</v>
      </c>
    </row>
    <row r="13402" spans="13:13" x14ac:dyDescent="0.25">
      <c r="M13402" s="34">
        <f t="shared" si="385"/>
        <v>0</v>
      </c>
    </row>
    <row r="13403" spans="13:13" x14ac:dyDescent="0.25">
      <c r="M13403" s="34">
        <f t="shared" si="385"/>
        <v>0</v>
      </c>
    </row>
    <row r="13404" spans="13:13" x14ac:dyDescent="0.25">
      <c r="M13404" s="34">
        <f t="shared" si="385"/>
        <v>0</v>
      </c>
    </row>
    <row r="13405" spans="13:13" x14ac:dyDescent="0.25">
      <c r="M13405" s="34">
        <f t="shared" si="385"/>
        <v>0</v>
      </c>
    </row>
    <row r="13406" spans="13:13" x14ac:dyDescent="0.25">
      <c r="M13406" s="34">
        <f t="shared" si="385"/>
        <v>0</v>
      </c>
    </row>
    <row r="13407" spans="13:13" x14ac:dyDescent="0.25">
      <c r="M13407" s="34">
        <f t="shared" si="385"/>
        <v>0</v>
      </c>
    </row>
    <row r="13408" spans="13:13" x14ac:dyDescent="0.25">
      <c r="M13408" s="34">
        <f t="shared" si="385"/>
        <v>0</v>
      </c>
    </row>
    <row r="13409" spans="13:13" x14ac:dyDescent="0.25">
      <c r="M13409" s="34">
        <f t="shared" si="385"/>
        <v>0</v>
      </c>
    </row>
    <row r="13410" spans="13:13" x14ac:dyDescent="0.25">
      <c r="M13410" s="34">
        <f t="shared" si="385"/>
        <v>0</v>
      </c>
    </row>
    <row r="13411" spans="13:13" x14ac:dyDescent="0.25">
      <c r="M13411" s="34">
        <f t="shared" si="385"/>
        <v>0</v>
      </c>
    </row>
    <row r="13412" spans="13:13" x14ac:dyDescent="0.25">
      <c r="M13412" s="34">
        <f t="shared" si="385"/>
        <v>0</v>
      </c>
    </row>
    <row r="13413" spans="13:13" x14ac:dyDescent="0.25">
      <c r="M13413" s="34">
        <f t="shared" si="385"/>
        <v>0</v>
      </c>
    </row>
    <row r="13414" spans="13:13" x14ac:dyDescent="0.25">
      <c r="M13414" s="34">
        <f t="shared" si="385"/>
        <v>0</v>
      </c>
    </row>
    <row r="13415" spans="13:13" x14ac:dyDescent="0.25">
      <c r="M13415" s="34">
        <f t="shared" si="385"/>
        <v>0</v>
      </c>
    </row>
    <row r="13416" spans="13:13" x14ac:dyDescent="0.25">
      <c r="M13416" s="34">
        <f t="shared" si="385"/>
        <v>0</v>
      </c>
    </row>
    <row r="13417" spans="13:13" x14ac:dyDescent="0.25">
      <c r="M13417" s="34">
        <f t="shared" si="385"/>
        <v>0</v>
      </c>
    </row>
    <row r="13418" spans="13:13" x14ac:dyDescent="0.25">
      <c r="M13418" s="34">
        <f t="shared" si="385"/>
        <v>0</v>
      </c>
    </row>
    <row r="13419" spans="13:13" x14ac:dyDescent="0.25">
      <c r="M13419" s="34">
        <f t="shared" si="385"/>
        <v>0</v>
      </c>
    </row>
    <row r="13420" spans="13:13" x14ac:dyDescent="0.25">
      <c r="M13420" s="34">
        <f t="shared" si="385"/>
        <v>0</v>
      </c>
    </row>
    <row r="13421" spans="13:13" x14ac:dyDescent="0.25">
      <c r="M13421" s="34">
        <f t="shared" si="385"/>
        <v>0</v>
      </c>
    </row>
    <row r="13422" spans="13:13" x14ac:dyDescent="0.25">
      <c r="M13422" s="34">
        <f t="shared" si="385"/>
        <v>0</v>
      </c>
    </row>
    <row r="13423" spans="13:13" x14ac:dyDescent="0.25">
      <c r="M13423" s="34">
        <f t="shared" si="385"/>
        <v>0</v>
      </c>
    </row>
    <row r="13424" spans="13:13" x14ac:dyDescent="0.25">
      <c r="M13424" s="34">
        <f t="shared" si="385"/>
        <v>0</v>
      </c>
    </row>
    <row r="13425" spans="13:13" x14ac:dyDescent="0.25">
      <c r="M13425" s="34">
        <f t="shared" si="385"/>
        <v>0</v>
      </c>
    </row>
    <row r="13426" spans="13:13" x14ac:dyDescent="0.25">
      <c r="M13426" s="34">
        <f t="shared" si="385"/>
        <v>0</v>
      </c>
    </row>
    <row r="13427" spans="13:13" x14ac:dyDescent="0.25">
      <c r="M13427" s="34">
        <f t="shared" si="385"/>
        <v>0</v>
      </c>
    </row>
    <row r="13428" spans="13:13" x14ac:dyDescent="0.25">
      <c r="M13428" s="34">
        <f t="shared" si="385"/>
        <v>0</v>
      </c>
    </row>
    <row r="13429" spans="13:13" x14ac:dyDescent="0.25">
      <c r="M13429" s="34">
        <f t="shared" si="385"/>
        <v>0</v>
      </c>
    </row>
    <row r="13430" spans="13:13" x14ac:dyDescent="0.25">
      <c r="M13430" s="34">
        <f t="shared" si="385"/>
        <v>0</v>
      </c>
    </row>
    <row r="13431" spans="13:13" x14ac:dyDescent="0.25">
      <c r="M13431" s="34">
        <f t="shared" si="385"/>
        <v>0</v>
      </c>
    </row>
    <row r="13432" spans="13:13" x14ac:dyDescent="0.25">
      <c r="M13432" s="34">
        <f t="shared" si="385"/>
        <v>0</v>
      </c>
    </row>
    <row r="13433" spans="13:13" x14ac:dyDescent="0.25">
      <c r="M13433" s="34">
        <f t="shared" si="385"/>
        <v>0</v>
      </c>
    </row>
    <row r="13434" spans="13:13" x14ac:dyDescent="0.25">
      <c r="M13434" s="34">
        <f t="shared" si="385"/>
        <v>0</v>
      </c>
    </row>
    <row r="13435" spans="13:13" x14ac:dyDescent="0.25">
      <c r="M13435" s="34">
        <f t="shared" si="385"/>
        <v>0</v>
      </c>
    </row>
    <row r="13436" spans="13:13" x14ac:dyDescent="0.25">
      <c r="M13436" s="34">
        <f t="shared" si="385"/>
        <v>0</v>
      </c>
    </row>
    <row r="13437" spans="13:13" x14ac:dyDescent="0.25">
      <c r="M13437" s="34">
        <f t="shared" si="385"/>
        <v>0</v>
      </c>
    </row>
    <row r="13438" spans="13:13" x14ac:dyDescent="0.25">
      <c r="M13438" s="34">
        <f t="shared" si="385"/>
        <v>0</v>
      </c>
    </row>
    <row r="13439" spans="13:13" x14ac:dyDescent="0.25">
      <c r="M13439" s="34">
        <f t="shared" si="385"/>
        <v>0</v>
      </c>
    </row>
    <row r="13440" spans="13:13" x14ac:dyDescent="0.25">
      <c r="M13440" s="34">
        <f t="shared" si="385"/>
        <v>0</v>
      </c>
    </row>
    <row r="13441" spans="13:13" x14ac:dyDescent="0.25">
      <c r="M13441" s="34">
        <f t="shared" si="385"/>
        <v>0</v>
      </c>
    </row>
    <row r="13442" spans="13:13" x14ac:dyDescent="0.25">
      <c r="M13442" s="34">
        <f t="shared" si="385"/>
        <v>0</v>
      </c>
    </row>
    <row r="13443" spans="13:13" x14ac:dyDescent="0.25">
      <c r="M13443" s="34">
        <f t="shared" ref="M13443:M13506" si="386">IF(AND(E13443="Chèque",G13443="RECETTE"),F13443,0)</f>
        <v>0</v>
      </c>
    </row>
    <row r="13444" spans="13:13" x14ac:dyDescent="0.25">
      <c r="M13444" s="34">
        <f t="shared" si="386"/>
        <v>0</v>
      </c>
    </row>
    <row r="13445" spans="13:13" x14ac:dyDescent="0.25">
      <c r="M13445" s="34">
        <f t="shared" si="386"/>
        <v>0</v>
      </c>
    </row>
    <row r="13446" spans="13:13" x14ac:dyDescent="0.25">
      <c r="M13446" s="34">
        <f t="shared" si="386"/>
        <v>0</v>
      </c>
    </row>
    <row r="13447" spans="13:13" x14ac:dyDescent="0.25">
      <c r="M13447" s="34">
        <f t="shared" si="386"/>
        <v>0</v>
      </c>
    </row>
    <row r="13448" spans="13:13" x14ac:dyDescent="0.25">
      <c r="M13448" s="34">
        <f t="shared" si="386"/>
        <v>0</v>
      </c>
    </row>
    <row r="13449" spans="13:13" x14ac:dyDescent="0.25">
      <c r="M13449" s="34">
        <f t="shared" si="386"/>
        <v>0</v>
      </c>
    </row>
    <row r="13450" spans="13:13" x14ac:dyDescent="0.25">
      <c r="M13450" s="34">
        <f t="shared" si="386"/>
        <v>0</v>
      </c>
    </row>
    <row r="13451" spans="13:13" x14ac:dyDescent="0.25">
      <c r="M13451" s="34">
        <f t="shared" si="386"/>
        <v>0</v>
      </c>
    </row>
    <row r="13452" spans="13:13" x14ac:dyDescent="0.25">
      <c r="M13452" s="34">
        <f t="shared" si="386"/>
        <v>0</v>
      </c>
    </row>
    <row r="13453" spans="13:13" x14ac:dyDescent="0.25">
      <c r="M13453" s="34">
        <f t="shared" si="386"/>
        <v>0</v>
      </c>
    </row>
    <row r="13454" spans="13:13" x14ac:dyDescent="0.25">
      <c r="M13454" s="34">
        <f t="shared" si="386"/>
        <v>0</v>
      </c>
    </row>
    <row r="13455" spans="13:13" x14ac:dyDescent="0.25">
      <c r="M13455" s="34">
        <f t="shared" si="386"/>
        <v>0</v>
      </c>
    </row>
    <row r="13456" spans="13:13" x14ac:dyDescent="0.25">
      <c r="M13456" s="34">
        <f t="shared" si="386"/>
        <v>0</v>
      </c>
    </row>
    <row r="13457" spans="13:13" x14ac:dyDescent="0.25">
      <c r="M13457" s="34">
        <f t="shared" si="386"/>
        <v>0</v>
      </c>
    </row>
    <row r="13458" spans="13:13" x14ac:dyDescent="0.25">
      <c r="M13458" s="34">
        <f t="shared" si="386"/>
        <v>0</v>
      </c>
    </row>
    <row r="13459" spans="13:13" x14ac:dyDescent="0.25">
      <c r="M13459" s="34">
        <f t="shared" si="386"/>
        <v>0</v>
      </c>
    </row>
    <row r="13460" spans="13:13" x14ac:dyDescent="0.25">
      <c r="M13460" s="34">
        <f t="shared" si="386"/>
        <v>0</v>
      </c>
    </row>
    <row r="13461" spans="13:13" x14ac:dyDescent="0.25">
      <c r="M13461" s="34">
        <f t="shared" si="386"/>
        <v>0</v>
      </c>
    </row>
    <row r="13462" spans="13:13" x14ac:dyDescent="0.25">
      <c r="M13462" s="34">
        <f t="shared" si="386"/>
        <v>0</v>
      </c>
    </row>
    <row r="13463" spans="13:13" x14ac:dyDescent="0.25">
      <c r="M13463" s="34">
        <f t="shared" si="386"/>
        <v>0</v>
      </c>
    </row>
    <row r="13464" spans="13:13" x14ac:dyDescent="0.25">
      <c r="M13464" s="34">
        <f t="shared" si="386"/>
        <v>0</v>
      </c>
    </row>
    <row r="13465" spans="13:13" x14ac:dyDescent="0.25">
      <c r="M13465" s="34">
        <f t="shared" si="386"/>
        <v>0</v>
      </c>
    </row>
    <row r="13466" spans="13:13" x14ac:dyDescent="0.25">
      <c r="M13466" s="34">
        <f t="shared" si="386"/>
        <v>0</v>
      </c>
    </row>
    <row r="13467" spans="13:13" x14ac:dyDescent="0.25">
      <c r="M13467" s="34">
        <f t="shared" si="386"/>
        <v>0</v>
      </c>
    </row>
    <row r="13468" spans="13:13" x14ac:dyDescent="0.25">
      <c r="M13468" s="34">
        <f t="shared" si="386"/>
        <v>0</v>
      </c>
    </row>
    <row r="13469" spans="13:13" x14ac:dyDescent="0.25">
      <c r="M13469" s="34">
        <f t="shared" si="386"/>
        <v>0</v>
      </c>
    </row>
    <row r="13470" spans="13:13" x14ac:dyDescent="0.25">
      <c r="M13470" s="34">
        <f t="shared" si="386"/>
        <v>0</v>
      </c>
    </row>
    <row r="13471" spans="13:13" x14ac:dyDescent="0.25">
      <c r="M13471" s="34">
        <f t="shared" si="386"/>
        <v>0</v>
      </c>
    </row>
    <row r="13472" spans="13:13" x14ac:dyDescent="0.25">
      <c r="M13472" s="34">
        <f t="shared" si="386"/>
        <v>0</v>
      </c>
    </row>
    <row r="13473" spans="13:13" x14ac:dyDescent="0.25">
      <c r="M13473" s="34">
        <f t="shared" si="386"/>
        <v>0</v>
      </c>
    </row>
    <row r="13474" spans="13:13" x14ac:dyDescent="0.25">
      <c r="M13474" s="34">
        <f t="shared" si="386"/>
        <v>0</v>
      </c>
    </row>
    <row r="13475" spans="13:13" x14ac:dyDescent="0.25">
      <c r="M13475" s="34">
        <f t="shared" si="386"/>
        <v>0</v>
      </c>
    </row>
    <row r="13476" spans="13:13" x14ac:dyDescent="0.25">
      <c r="M13476" s="34">
        <f t="shared" si="386"/>
        <v>0</v>
      </c>
    </row>
    <row r="13477" spans="13:13" x14ac:dyDescent="0.25">
      <c r="M13477" s="34">
        <f t="shared" si="386"/>
        <v>0</v>
      </c>
    </row>
    <row r="13478" spans="13:13" x14ac:dyDescent="0.25">
      <c r="M13478" s="34">
        <f t="shared" si="386"/>
        <v>0</v>
      </c>
    </row>
    <row r="13479" spans="13:13" x14ac:dyDescent="0.25">
      <c r="M13479" s="34">
        <f t="shared" si="386"/>
        <v>0</v>
      </c>
    </row>
    <row r="13480" spans="13:13" x14ac:dyDescent="0.25">
      <c r="M13480" s="34">
        <f t="shared" si="386"/>
        <v>0</v>
      </c>
    </row>
    <row r="13481" spans="13:13" x14ac:dyDescent="0.25">
      <c r="M13481" s="34">
        <f t="shared" si="386"/>
        <v>0</v>
      </c>
    </row>
    <row r="13482" spans="13:13" x14ac:dyDescent="0.25">
      <c r="M13482" s="34">
        <f t="shared" si="386"/>
        <v>0</v>
      </c>
    </row>
    <row r="13483" spans="13:13" x14ac:dyDescent="0.25">
      <c r="M13483" s="34">
        <f t="shared" si="386"/>
        <v>0</v>
      </c>
    </row>
    <row r="13484" spans="13:13" x14ac:dyDescent="0.25">
      <c r="M13484" s="34">
        <f t="shared" si="386"/>
        <v>0</v>
      </c>
    </row>
    <row r="13485" spans="13:13" x14ac:dyDescent="0.25">
      <c r="M13485" s="34">
        <f t="shared" si="386"/>
        <v>0</v>
      </c>
    </row>
    <row r="13486" spans="13:13" x14ac:dyDescent="0.25">
      <c r="M13486" s="34">
        <f t="shared" si="386"/>
        <v>0</v>
      </c>
    </row>
    <row r="13487" spans="13:13" x14ac:dyDescent="0.25">
      <c r="M13487" s="34">
        <f t="shared" si="386"/>
        <v>0</v>
      </c>
    </row>
    <row r="13488" spans="13:13" x14ac:dyDescent="0.25">
      <c r="M13488" s="34">
        <f t="shared" si="386"/>
        <v>0</v>
      </c>
    </row>
    <row r="13489" spans="13:13" x14ac:dyDescent="0.25">
      <c r="M13489" s="34">
        <f t="shared" si="386"/>
        <v>0</v>
      </c>
    </row>
    <row r="13490" spans="13:13" x14ac:dyDescent="0.25">
      <c r="M13490" s="34">
        <f t="shared" si="386"/>
        <v>0</v>
      </c>
    </row>
    <row r="13491" spans="13:13" x14ac:dyDescent="0.25">
      <c r="M13491" s="34">
        <f t="shared" si="386"/>
        <v>0</v>
      </c>
    </row>
    <row r="13492" spans="13:13" x14ac:dyDescent="0.25">
      <c r="M13492" s="34">
        <f t="shared" si="386"/>
        <v>0</v>
      </c>
    </row>
    <row r="13493" spans="13:13" x14ac:dyDescent="0.25">
      <c r="M13493" s="34">
        <f t="shared" si="386"/>
        <v>0</v>
      </c>
    </row>
    <row r="13494" spans="13:13" x14ac:dyDescent="0.25">
      <c r="M13494" s="34">
        <f t="shared" si="386"/>
        <v>0</v>
      </c>
    </row>
    <row r="13495" spans="13:13" x14ac:dyDescent="0.25">
      <c r="M13495" s="34">
        <f t="shared" si="386"/>
        <v>0</v>
      </c>
    </row>
    <row r="13496" spans="13:13" x14ac:dyDescent="0.25">
      <c r="M13496" s="34">
        <f t="shared" si="386"/>
        <v>0</v>
      </c>
    </row>
    <row r="13497" spans="13:13" x14ac:dyDescent="0.25">
      <c r="M13497" s="34">
        <f t="shared" si="386"/>
        <v>0</v>
      </c>
    </row>
    <row r="13498" spans="13:13" x14ac:dyDescent="0.25">
      <c r="M13498" s="34">
        <f t="shared" si="386"/>
        <v>0</v>
      </c>
    </row>
    <row r="13499" spans="13:13" x14ac:dyDescent="0.25">
      <c r="M13499" s="34">
        <f t="shared" si="386"/>
        <v>0</v>
      </c>
    </row>
    <row r="13500" spans="13:13" x14ac:dyDescent="0.25">
      <c r="M13500" s="34">
        <f t="shared" si="386"/>
        <v>0</v>
      </c>
    </row>
    <row r="13501" spans="13:13" x14ac:dyDescent="0.25">
      <c r="M13501" s="34">
        <f t="shared" si="386"/>
        <v>0</v>
      </c>
    </row>
    <row r="13502" spans="13:13" x14ac:dyDescent="0.25">
      <c r="M13502" s="34">
        <f t="shared" si="386"/>
        <v>0</v>
      </c>
    </row>
    <row r="13503" spans="13:13" x14ac:dyDescent="0.25">
      <c r="M13503" s="34">
        <f t="shared" si="386"/>
        <v>0</v>
      </c>
    </row>
    <row r="13504" spans="13:13" x14ac:dyDescent="0.25">
      <c r="M13504" s="34">
        <f t="shared" si="386"/>
        <v>0</v>
      </c>
    </row>
    <row r="13505" spans="13:13" x14ac:dyDescent="0.25">
      <c r="M13505" s="34">
        <f t="shared" si="386"/>
        <v>0</v>
      </c>
    </row>
    <row r="13506" spans="13:13" x14ac:dyDescent="0.25">
      <c r="M13506" s="34">
        <f t="shared" si="386"/>
        <v>0</v>
      </c>
    </row>
    <row r="13507" spans="13:13" x14ac:dyDescent="0.25">
      <c r="M13507" s="34">
        <f t="shared" ref="M13507:M13570" si="387">IF(AND(E13507="Chèque",G13507="RECETTE"),F13507,0)</f>
        <v>0</v>
      </c>
    </row>
    <row r="13508" spans="13:13" x14ac:dyDescent="0.25">
      <c r="M13508" s="34">
        <f t="shared" si="387"/>
        <v>0</v>
      </c>
    </row>
    <row r="13509" spans="13:13" x14ac:dyDescent="0.25">
      <c r="M13509" s="34">
        <f t="shared" si="387"/>
        <v>0</v>
      </c>
    </row>
    <row r="13510" spans="13:13" x14ac:dyDescent="0.25">
      <c r="M13510" s="34">
        <f t="shared" si="387"/>
        <v>0</v>
      </c>
    </row>
    <row r="13511" spans="13:13" x14ac:dyDescent="0.25">
      <c r="M13511" s="34">
        <f t="shared" si="387"/>
        <v>0</v>
      </c>
    </row>
    <row r="13512" spans="13:13" x14ac:dyDescent="0.25">
      <c r="M13512" s="34">
        <f t="shared" si="387"/>
        <v>0</v>
      </c>
    </row>
    <row r="13513" spans="13:13" x14ac:dyDescent="0.25">
      <c r="M13513" s="34">
        <f t="shared" si="387"/>
        <v>0</v>
      </c>
    </row>
    <row r="13514" spans="13:13" x14ac:dyDescent="0.25">
      <c r="M13514" s="34">
        <f t="shared" si="387"/>
        <v>0</v>
      </c>
    </row>
    <row r="13515" spans="13:13" x14ac:dyDescent="0.25">
      <c r="M13515" s="34">
        <f t="shared" si="387"/>
        <v>0</v>
      </c>
    </row>
    <row r="13516" spans="13:13" x14ac:dyDescent="0.25">
      <c r="M13516" s="34">
        <f t="shared" si="387"/>
        <v>0</v>
      </c>
    </row>
    <row r="13517" spans="13:13" x14ac:dyDescent="0.25">
      <c r="M13517" s="34">
        <f t="shared" si="387"/>
        <v>0</v>
      </c>
    </row>
    <row r="13518" spans="13:13" x14ac:dyDescent="0.25">
      <c r="M13518" s="34">
        <f t="shared" si="387"/>
        <v>0</v>
      </c>
    </row>
    <row r="13519" spans="13:13" x14ac:dyDescent="0.25">
      <c r="M13519" s="34">
        <f t="shared" si="387"/>
        <v>0</v>
      </c>
    </row>
    <row r="13520" spans="13:13" x14ac:dyDescent="0.25">
      <c r="M13520" s="34">
        <f t="shared" si="387"/>
        <v>0</v>
      </c>
    </row>
    <row r="13521" spans="13:13" x14ac:dyDescent="0.25">
      <c r="M13521" s="34">
        <f t="shared" si="387"/>
        <v>0</v>
      </c>
    </row>
    <row r="13522" spans="13:13" x14ac:dyDescent="0.25">
      <c r="M13522" s="34">
        <f t="shared" si="387"/>
        <v>0</v>
      </c>
    </row>
    <row r="13523" spans="13:13" x14ac:dyDescent="0.25">
      <c r="M13523" s="34">
        <f t="shared" si="387"/>
        <v>0</v>
      </c>
    </row>
    <row r="13524" spans="13:13" x14ac:dyDescent="0.25">
      <c r="M13524" s="34">
        <f t="shared" si="387"/>
        <v>0</v>
      </c>
    </row>
    <row r="13525" spans="13:13" x14ac:dyDescent="0.25">
      <c r="M13525" s="34">
        <f t="shared" si="387"/>
        <v>0</v>
      </c>
    </row>
    <row r="13526" spans="13:13" x14ac:dyDescent="0.25">
      <c r="M13526" s="34">
        <f t="shared" si="387"/>
        <v>0</v>
      </c>
    </row>
    <row r="13527" spans="13:13" x14ac:dyDescent="0.25">
      <c r="M13527" s="34">
        <f t="shared" si="387"/>
        <v>0</v>
      </c>
    </row>
    <row r="13528" spans="13:13" x14ac:dyDescent="0.25">
      <c r="M13528" s="34">
        <f t="shared" si="387"/>
        <v>0</v>
      </c>
    </row>
    <row r="13529" spans="13:13" x14ac:dyDescent="0.25">
      <c r="M13529" s="34">
        <f t="shared" si="387"/>
        <v>0</v>
      </c>
    </row>
    <row r="13530" spans="13:13" x14ac:dyDescent="0.25">
      <c r="M13530" s="34">
        <f t="shared" si="387"/>
        <v>0</v>
      </c>
    </row>
    <row r="13531" spans="13:13" x14ac:dyDescent="0.25">
      <c r="M13531" s="34">
        <f t="shared" si="387"/>
        <v>0</v>
      </c>
    </row>
    <row r="13532" spans="13:13" x14ac:dyDescent="0.25">
      <c r="M13532" s="34">
        <f t="shared" si="387"/>
        <v>0</v>
      </c>
    </row>
    <row r="13533" spans="13:13" x14ac:dyDescent="0.25">
      <c r="M13533" s="34">
        <f t="shared" si="387"/>
        <v>0</v>
      </c>
    </row>
    <row r="13534" spans="13:13" x14ac:dyDescent="0.25">
      <c r="M13534" s="34">
        <f t="shared" si="387"/>
        <v>0</v>
      </c>
    </row>
    <row r="13535" spans="13:13" x14ac:dyDescent="0.25">
      <c r="M13535" s="34">
        <f t="shared" si="387"/>
        <v>0</v>
      </c>
    </row>
    <row r="13536" spans="13:13" x14ac:dyDescent="0.25">
      <c r="M13536" s="34">
        <f t="shared" si="387"/>
        <v>0</v>
      </c>
    </row>
    <row r="13537" spans="13:13" x14ac:dyDescent="0.25">
      <c r="M13537" s="34">
        <f t="shared" si="387"/>
        <v>0</v>
      </c>
    </row>
    <row r="13538" spans="13:13" x14ac:dyDescent="0.25">
      <c r="M13538" s="34">
        <f t="shared" si="387"/>
        <v>0</v>
      </c>
    </row>
    <row r="13539" spans="13:13" x14ac:dyDescent="0.25">
      <c r="M13539" s="34">
        <f t="shared" si="387"/>
        <v>0</v>
      </c>
    </row>
    <row r="13540" spans="13:13" x14ac:dyDescent="0.25">
      <c r="M13540" s="34">
        <f t="shared" si="387"/>
        <v>0</v>
      </c>
    </row>
    <row r="13541" spans="13:13" x14ac:dyDescent="0.25">
      <c r="M13541" s="34">
        <f t="shared" si="387"/>
        <v>0</v>
      </c>
    </row>
    <row r="13542" spans="13:13" x14ac:dyDescent="0.25">
      <c r="M13542" s="34">
        <f t="shared" si="387"/>
        <v>0</v>
      </c>
    </row>
    <row r="13543" spans="13:13" x14ac:dyDescent="0.25">
      <c r="M13543" s="34">
        <f t="shared" si="387"/>
        <v>0</v>
      </c>
    </row>
    <row r="13544" spans="13:13" x14ac:dyDescent="0.25">
      <c r="M13544" s="34">
        <f t="shared" si="387"/>
        <v>0</v>
      </c>
    </row>
    <row r="13545" spans="13:13" x14ac:dyDescent="0.25">
      <c r="M13545" s="34">
        <f t="shared" si="387"/>
        <v>0</v>
      </c>
    </row>
    <row r="13546" spans="13:13" x14ac:dyDescent="0.25">
      <c r="M13546" s="34">
        <f t="shared" si="387"/>
        <v>0</v>
      </c>
    </row>
    <row r="13547" spans="13:13" x14ac:dyDescent="0.25">
      <c r="M13547" s="34">
        <f t="shared" si="387"/>
        <v>0</v>
      </c>
    </row>
    <row r="13548" spans="13:13" x14ac:dyDescent="0.25">
      <c r="M13548" s="34">
        <f t="shared" si="387"/>
        <v>0</v>
      </c>
    </row>
    <row r="13549" spans="13:13" x14ac:dyDescent="0.25">
      <c r="M13549" s="34">
        <f t="shared" si="387"/>
        <v>0</v>
      </c>
    </row>
    <row r="13550" spans="13:13" x14ac:dyDescent="0.25">
      <c r="M13550" s="34">
        <f t="shared" si="387"/>
        <v>0</v>
      </c>
    </row>
    <row r="13551" spans="13:13" x14ac:dyDescent="0.25">
      <c r="M13551" s="34">
        <f t="shared" si="387"/>
        <v>0</v>
      </c>
    </row>
    <row r="13552" spans="13:13" x14ac:dyDescent="0.25">
      <c r="M13552" s="34">
        <f t="shared" si="387"/>
        <v>0</v>
      </c>
    </row>
    <row r="13553" spans="13:13" x14ac:dyDescent="0.25">
      <c r="M13553" s="34">
        <f t="shared" si="387"/>
        <v>0</v>
      </c>
    </row>
    <row r="13554" spans="13:13" x14ac:dyDescent="0.25">
      <c r="M13554" s="34">
        <f t="shared" si="387"/>
        <v>0</v>
      </c>
    </row>
    <row r="13555" spans="13:13" x14ac:dyDescent="0.25">
      <c r="M13555" s="34">
        <f t="shared" si="387"/>
        <v>0</v>
      </c>
    </row>
    <row r="13556" spans="13:13" x14ac:dyDescent="0.25">
      <c r="M13556" s="34">
        <f t="shared" si="387"/>
        <v>0</v>
      </c>
    </row>
    <row r="13557" spans="13:13" x14ac:dyDescent="0.25">
      <c r="M13557" s="34">
        <f t="shared" si="387"/>
        <v>0</v>
      </c>
    </row>
    <row r="13558" spans="13:13" x14ac:dyDescent="0.25">
      <c r="M13558" s="34">
        <f t="shared" si="387"/>
        <v>0</v>
      </c>
    </row>
    <row r="13559" spans="13:13" x14ac:dyDescent="0.25">
      <c r="M13559" s="34">
        <f t="shared" si="387"/>
        <v>0</v>
      </c>
    </row>
    <row r="13560" spans="13:13" x14ac:dyDescent="0.25">
      <c r="M13560" s="34">
        <f t="shared" si="387"/>
        <v>0</v>
      </c>
    </row>
    <row r="13561" spans="13:13" x14ac:dyDescent="0.25">
      <c r="M13561" s="34">
        <f t="shared" si="387"/>
        <v>0</v>
      </c>
    </row>
    <row r="13562" spans="13:13" x14ac:dyDescent="0.25">
      <c r="M13562" s="34">
        <f t="shared" si="387"/>
        <v>0</v>
      </c>
    </row>
    <row r="13563" spans="13:13" x14ac:dyDescent="0.25">
      <c r="M13563" s="34">
        <f t="shared" si="387"/>
        <v>0</v>
      </c>
    </row>
    <row r="13564" spans="13:13" x14ac:dyDescent="0.25">
      <c r="M13564" s="34">
        <f t="shared" si="387"/>
        <v>0</v>
      </c>
    </row>
    <row r="13565" spans="13:13" x14ac:dyDescent="0.25">
      <c r="M13565" s="34">
        <f t="shared" si="387"/>
        <v>0</v>
      </c>
    </row>
    <row r="13566" spans="13:13" x14ac:dyDescent="0.25">
      <c r="M13566" s="34">
        <f t="shared" si="387"/>
        <v>0</v>
      </c>
    </row>
    <row r="13567" spans="13:13" x14ac:dyDescent="0.25">
      <c r="M13567" s="34">
        <f t="shared" si="387"/>
        <v>0</v>
      </c>
    </row>
    <row r="13568" spans="13:13" x14ac:dyDescent="0.25">
      <c r="M13568" s="34">
        <f t="shared" si="387"/>
        <v>0</v>
      </c>
    </row>
    <row r="13569" spans="13:13" x14ac:dyDescent="0.25">
      <c r="M13569" s="34">
        <f t="shared" si="387"/>
        <v>0</v>
      </c>
    </row>
    <row r="13570" spans="13:13" x14ac:dyDescent="0.25">
      <c r="M13570" s="34">
        <f t="shared" si="387"/>
        <v>0</v>
      </c>
    </row>
    <row r="13571" spans="13:13" x14ac:dyDescent="0.25">
      <c r="M13571" s="34">
        <f t="shared" ref="M13571:M13634" si="388">IF(AND(E13571="Chèque",G13571="RECETTE"),F13571,0)</f>
        <v>0</v>
      </c>
    </row>
    <row r="13572" spans="13:13" x14ac:dyDescent="0.25">
      <c r="M13572" s="34">
        <f t="shared" si="388"/>
        <v>0</v>
      </c>
    </row>
    <row r="13573" spans="13:13" x14ac:dyDescent="0.25">
      <c r="M13573" s="34">
        <f t="shared" si="388"/>
        <v>0</v>
      </c>
    </row>
    <row r="13574" spans="13:13" x14ac:dyDescent="0.25">
      <c r="M13574" s="34">
        <f t="shared" si="388"/>
        <v>0</v>
      </c>
    </row>
    <row r="13575" spans="13:13" x14ac:dyDescent="0.25">
      <c r="M13575" s="34">
        <f t="shared" si="388"/>
        <v>0</v>
      </c>
    </row>
    <row r="13576" spans="13:13" x14ac:dyDescent="0.25">
      <c r="M13576" s="34">
        <f t="shared" si="388"/>
        <v>0</v>
      </c>
    </row>
    <row r="13577" spans="13:13" x14ac:dyDescent="0.25">
      <c r="M13577" s="34">
        <f t="shared" si="388"/>
        <v>0</v>
      </c>
    </row>
    <row r="13578" spans="13:13" x14ac:dyDescent="0.25">
      <c r="M13578" s="34">
        <f t="shared" si="388"/>
        <v>0</v>
      </c>
    </row>
    <row r="13579" spans="13:13" x14ac:dyDescent="0.25">
      <c r="M13579" s="34">
        <f t="shared" si="388"/>
        <v>0</v>
      </c>
    </row>
    <row r="13580" spans="13:13" x14ac:dyDescent="0.25">
      <c r="M13580" s="34">
        <f t="shared" si="388"/>
        <v>0</v>
      </c>
    </row>
    <row r="13581" spans="13:13" x14ac:dyDescent="0.25">
      <c r="M13581" s="34">
        <f t="shared" si="388"/>
        <v>0</v>
      </c>
    </row>
    <row r="13582" spans="13:13" x14ac:dyDescent="0.25">
      <c r="M13582" s="34">
        <f t="shared" si="388"/>
        <v>0</v>
      </c>
    </row>
    <row r="13583" spans="13:13" x14ac:dyDescent="0.25">
      <c r="M13583" s="34">
        <f t="shared" si="388"/>
        <v>0</v>
      </c>
    </row>
    <row r="13584" spans="13:13" x14ac:dyDescent="0.25">
      <c r="M13584" s="34">
        <f t="shared" si="388"/>
        <v>0</v>
      </c>
    </row>
    <row r="13585" spans="13:13" x14ac:dyDescent="0.25">
      <c r="M13585" s="34">
        <f t="shared" si="388"/>
        <v>0</v>
      </c>
    </row>
    <row r="13586" spans="13:13" x14ac:dyDescent="0.25">
      <c r="M13586" s="34">
        <f t="shared" si="388"/>
        <v>0</v>
      </c>
    </row>
    <row r="13587" spans="13:13" x14ac:dyDescent="0.25">
      <c r="M13587" s="34">
        <f t="shared" si="388"/>
        <v>0</v>
      </c>
    </row>
    <row r="13588" spans="13:13" x14ac:dyDescent="0.25">
      <c r="M13588" s="34">
        <f t="shared" si="388"/>
        <v>0</v>
      </c>
    </row>
    <row r="13589" spans="13:13" x14ac:dyDescent="0.25">
      <c r="M13589" s="34">
        <f t="shared" si="388"/>
        <v>0</v>
      </c>
    </row>
    <row r="13590" spans="13:13" x14ac:dyDescent="0.25">
      <c r="M13590" s="34">
        <f t="shared" si="388"/>
        <v>0</v>
      </c>
    </row>
    <row r="13591" spans="13:13" x14ac:dyDescent="0.25">
      <c r="M13591" s="34">
        <f t="shared" si="388"/>
        <v>0</v>
      </c>
    </row>
    <row r="13592" spans="13:13" x14ac:dyDescent="0.25">
      <c r="M13592" s="34">
        <f t="shared" si="388"/>
        <v>0</v>
      </c>
    </row>
    <row r="13593" spans="13:13" x14ac:dyDescent="0.25">
      <c r="M13593" s="34">
        <f t="shared" si="388"/>
        <v>0</v>
      </c>
    </row>
    <row r="13594" spans="13:13" x14ac:dyDescent="0.25">
      <c r="M13594" s="34">
        <f t="shared" si="388"/>
        <v>0</v>
      </c>
    </row>
    <row r="13595" spans="13:13" x14ac:dyDescent="0.25">
      <c r="M13595" s="34">
        <f t="shared" si="388"/>
        <v>0</v>
      </c>
    </row>
    <row r="13596" spans="13:13" x14ac:dyDescent="0.25">
      <c r="M13596" s="34">
        <f t="shared" si="388"/>
        <v>0</v>
      </c>
    </row>
    <row r="13597" spans="13:13" x14ac:dyDescent="0.25">
      <c r="M13597" s="34">
        <f t="shared" si="388"/>
        <v>0</v>
      </c>
    </row>
    <row r="13598" spans="13:13" x14ac:dyDescent="0.25">
      <c r="M13598" s="34">
        <f t="shared" si="388"/>
        <v>0</v>
      </c>
    </row>
    <row r="13599" spans="13:13" x14ac:dyDescent="0.25">
      <c r="M13599" s="34">
        <f t="shared" si="388"/>
        <v>0</v>
      </c>
    </row>
    <row r="13600" spans="13:13" x14ac:dyDescent="0.25">
      <c r="M13600" s="34">
        <f t="shared" si="388"/>
        <v>0</v>
      </c>
    </row>
    <row r="13601" spans="13:13" x14ac:dyDescent="0.25">
      <c r="M13601" s="34">
        <f t="shared" si="388"/>
        <v>0</v>
      </c>
    </row>
    <row r="13602" spans="13:13" x14ac:dyDescent="0.25">
      <c r="M13602" s="34">
        <f t="shared" si="388"/>
        <v>0</v>
      </c>
    </row>
    <row r="13603" spans="13:13" x14ac:dyDescent="0.25">
      <c r="M13603" s="34">
        <f t="shared" si="388"/>
        <v>0</v>
      </c>
    </row>
    <row r="13604" spans="13:13" x14ac:dyDescent="0.25">
      <c r="M13604" s="34">
        <f t="shared" si="388"/>
        <v>0</v>
      </c>
    </row>
    <row r="13605" spans="13:13" x14ac:dyDescent="0.25">
      <c r="M13605" s="34">
        <f t="shared" si="388"/>
        <v>0</v>
      </c>
    </row>
    <row r="13606" spans="13:13" x14ac:dyDescent="0.25">
      <c r="M13606" s="34">
        <f t="shared" si="388"/>
        <v>0</v>
      </c>
    </row>
    <row r="13607" spans="13:13" x14ac:dyDescent="0.25">
      <c r="M13607" s="34">
        <f t="shared" si="388"/>
        <v>0</v>
      </c>
    </row>
    <row r="13608" spans="13:13" x14ac:dyDescent="0.25">
      <c r="M13608" s="34">
        <f t="shared" si="388"/>
        <v>0</v>
      </c>
    </row>
    <row r="13609" spans="13:13" x14ac:dyDescent="0.25">
      <c r="M13609" s="34">
        <f t="shared" si="388"/>
        <v>0</v>
      </c>
    </row>
    <row r="13610" spans="13:13" x14ac:dyDescent="0.25">
      <c r="M13610" s="34">
        <f t="shared" si="388"/>
        <v>0</v>
      </c>
    </row>
    <row r="13611" spans="13:13" x14ac:dyDescent="0.25">
      <c r="M13611" s="34">
        <f t="shared" si="388"/>
        <v>0</v>
      </c>
    </row>
    <row r="13612" spans="13:13" x14ac:dyDescent="0.25">
      <c r="M13612" s="34">
        <f t="shared" si="388"/>
        <v>0</v>
      </c>
    </row>
    <row r="13613" spans="13:13" x14ac:dyDescent="0.25">
      <c r="M13613" s="34">
        <f t="shared" si="388"/>
        <v>0</v>
      </c>
    </row>
    <row r="13614" spans="13:13" x14ac:dyDescent="0.25">
      <c r="M13614" s="34">
        <f t="shared" si="388"/>
        <v>0</v>
      </c>
    </row>
    <row r="13615" spans="13:13" x14ac:dyDescent="0.25">
      <c r="M13615" s="34">
        <f t="shared" si="388"/>
        <v>0</v>
      </c>
    </row>
    <row r="13616" spans="13:13" x14ac:dyDescent="0.25">
      <c r="M13616" s="34">
        <f t="shared" si="388"/>
        <v>0</v>
      </c>
    </row>
    <row r="13617" spans="13:13" x14ac:dyDescent="0.25">
      <c r="M13617" s="34">
        <f t="shared" si="388"/>
        <v>0</v>
      </c>
    </row>
    <row r="13618" spans="13:13" x14ac:dyDescent="0.25">
      <c r="M13618" s="34">
        <f t="shared" si="388"/>
        <v>0</v>
      </c>
    </row>
    <row r="13619" spans="13:13" x14ac:dyDescent="0.25">
      <c r="M13619" s="34">
        <f t="shared" si="388"/>
        <v>0</v>
      </c>
    </row>
    <row r="13620" spans="13:13" x14ac:dyDescent="0.25">
      <c r="M13620" s="34">
        <f t="shared" si="388"/>
        <v>0</v>
      </c>
    </row>
    <row r="13621" spans="13:13" x14ac:dyDescent="0.25">
      <c r="M13621" s="34">
        <f t="shared" si="388"/>
        <v>0</v>
      </c>
    </row>
    <row r="13622" spans="13:13" x14ac:dyDescent="0.25">
      <c r="M13622" s="34">
        <f t="shared" si="388"/>
        <v>0</v>
      </c>
    </row>
    <row r="13623" spans="13:13" x14ac:dyDescent="0.25">
      <c r="M13623" s="34">
        <f t="shared" si="388"/>
        <v>0</v>
      </c>
    </row>
    <row r="13624" spans="13:13" x14ac:dyDescent="0.25">
      <c r="M13624" s="34">
        <f t="shared" si="388"/>
        <v>0</v>
      </c>
    </row>
    <row r="13625" spans="13:13" x14ac:dyDescent="0.25">
      <c r="M13625" s="34">
        <f t="shared" si="388"/>
        <v>0</v>
      </c>
    </row>
    <row r="13626" spans="13:13" x14ac:dyDescent="0.25">
      <c r="M13626" s="34">
        <f t="shared" si="388"/>
        <v>0</v>
      </c>
    </row>
    <row r="13627" spans="13:13" x14ac:dyDescent="0.25">
      <c r="M13627" s="34">
        <f t="shared" si="388"/>
        <v>0</v>
      </c>
    </row>
    <row r="13628" spans="13:13" x14ac:dyDescent="0.25">
      <c r="M13628" s="34">
        <f t="shared" si="388"/>
        <v>0</v>
      </c>
    </row>
    <row r="13629" spans="13:13" x14ac:dyDescent="0.25">
      <c r="M13629" s="34">
        <f t="shared" si="388"/>
        <v>0</v>
      </c>
    </row>
    <row r="13630" spans="13:13" x14ac:dyDescent="0.25">
      <c r="M13630" s="34">
        <f t="shared" si="388"/>
        <v>0</v>
      </c>
    </row>
    <row r="13631" spans="13:13" x14ac:dyDescent="0.25">
      <c r="M13631" s="34">
        <f t="shared" si="388"/>
        <v>0</v>
      </c>
    </row>
    <row r="13632" spans="13:13" x14ac:dyDescent="0.25">
      <c r="M13632" s="34">
        <f t="shared" si="388"/>
        <v>0</v>
      </c>
    </row>
    <row r="13633" spans="13:13" x14ac:dyDescent="0.25">
      <c r="M13633" s="34">
        <f t="shared" si="388"/>
        <v>0</v>
      </c>
    </row>
    <row r="13634" spans="13:13" x14ac:dyDescent="0.25">
      <c r="M13634" s="34">
        <f t="shared" si="388"/>
        <v>0</v>
      </c>
    </row>
    <row r="13635" spans="13:13" x14ac:dyDescent="0.25">
      <c r="M13635" s="34">
        <f t="shared" ref="M13635:M13698" si="389">IF(AND(E13635="Chèque",G13635="RECETTE"),F13635,0)</f>
        <v>0</v>
      </c>
    </row>
    <row r="13636" spans="13:13" x14ac:dyDescent="0.25">
      <c r="M13636" s="34">
        <f t="shared" si="389"/>
        <v>0</v>
      </c>
    </row>
    <row r="13637" spans="13:13" x14ac:dyDescent="0.25">
      <c r="M13637" s="34">
        <f t="shared" si="389"/>
        <v>0</v>
      </c>
    </row>
    <row r="13638" spans="13:13" x14ac:dyDescent="0.25">
      <c r="M13638" s="34">
        <f t="shared" si="389"/>
        <v>0</v>
      </c>
    </row>
    <row r="13639" spans="13:13" x14ac:dyDescent="0.25">
      <c r="M13639" s="34">
        <f t="shared" si="389"/>
        <v>0</v>
      </c>
    </row>
    <row r="13640" spans="13:13" x14ac:dyDescent="0.25">
      <c r="M13640" s="34">
        <f t="shared" si="389"/>
        <v>0</v>
      </c>
    </row>
    <row r="13641" spans="13:13" x14ac:dyDescent="0.25">
      <c r="M13641" s="34">
        <f t="shared" si="389"/>
        <v>0</v>
      </c>
    </row>
    <row r="13642" spans="13:13" x14ac:dyDescent="0.25">
      <c r="M13642" s="34">
        <f t="shared" si="389"/>
        <v>0</v>
      </c>
    </row>
    <row r="13643" spans="13:13" x14ac:dyDescent="0.25">
      <c r="M13643" s="34">
        <f t="shared" si="389"/>
        <v>0</v>
      </c>
    </row>
    <row r="13644" spans="13:13" x14ac:dyDescent="0.25">
      <c r="M13644" s="34">
        <f t="shared" si="389"/>
        <v>0</v>
      </c>
    </row>
    <row r="13645" spans="13:13" x14ac:dyDescent="0.25">
      <c r="M13645" s="34">
        <f t="shared" si="389"/>
        <v>0</v>
      </c>
    </row>
    <row r="13646" spans="13:13" x14ac:dyDescent="0.25">
      <c r="M13646" s="34">
        <f t="shared" si="389"/>
        <v>0</v>
      </c>
    </row>
    <row r="13647" spans="13:13" x14ac:dyDescent="0.25">
      <c r="M13647" s="34">
        <f t="shared" si="389"/>
        <v>0</v>
      </c>
    </row>
    <row r="13648" spans="13:13" x14ac:dyDescent="0.25">
      <c r="M13648" s="34">
        <f t="shared" si="389"/>
        <v>0</v>
      </c>
    </row>
    <row r="13649" spans="13:13" x14ac:dyDescent="0.25">
      <c r="M13649" s="34">
        <f t="shared" si="389"/>
        <v>0</v>
      </c>
    </row>
    <row r="13650" spans="13:13" x14ac:dyDescent="0.25">
      <c r="M13650" s="34">
        <f t="shared" si="389"/>
        <v>0</v>
      </c>
    </row>
    <row r="13651" spans="13:13" x14ac:dyDescent="0.25">
      <c r="M13651" s="34">
        <f t="shared" si="389"/>
        <v>0</v>
      </c>
    </row>
    <row r="13652" spans="13:13" x14ac:dyDescent="0.25">
      <c r="M13652" s="34">
        <f t="shared" si="389"/>
        <v>0</v>
      </c>
    </row>
    <row r="13653" spans="13:13" x14ac:dyDescent="0.25">
      <c r="M13653" s="34">
        <f t="shared" si="389"/>
        <v>0</v>
      </c>
    </row>
    <row r="13654" spans="13:13" x14ac:dyDescent="0.25">
      <c r="M13654" s="34">
        <f t="shared" si="389"/>
        <v>0</v>
      </c>
    </row>
    <row r="13655" spans="13:13" x14ac:dyDescent="0.25">
      <c r="M13655" s="34">
        <f t="shared" si="389"/>
        <v>0</v>
      </c>
    </row>
    <row r="13656" spans="13:13" x14ac:dyDescent="0.25">
      <c r="M13656" s="34">
        <f t="shared" si="389"/>
        <v>0</v>
      </c>
    </row>
    <row r="13657" spans="13:13" x14ac:dyDescent="0.25">
      <c r="M13657" s="34">
        <f t="shared" si="389"/>
        <v>0</v>
      </c>
    </row>
    <row r="13658" spans="13:13" x14ac:dyDescent="0.25">
      <c r="M13658" s="34">
        <f t="shared" si="389"/>
        <v>0</v>
      </c>
    </row>
    <row r="13659" spans="13:13" x14ac:dyDescent="0.25">
      <c r="M13659" s="34">
        <f t="shared" si="389"/>
        <v>0</v>
      </c>
    </row>
    <row r="13660" spans="13:13" x14ac:dyDescent="0.25">
      <c r="M13660" s="34">
        <f t="shared" si="389"/>
        <v>0</v>
      </c>
    </row>
    <row r="13661" spans="13:13" x14ac:dyDescent="0.25">
      <c r="M13661" s="34">
        <f t="shared" si="389"/>
        <v>0</v>
      </c>
    </row>
    <row r="13662" spans="13:13" x14ac:dyDescent="0.25">
      <c r="M13662" s="34">
        <f t="shared" si="389"/>
        <v>0</v>
      </c>
    </row>
    <row r="13663" spans="13:13" x14ac:dyDescent="0.25">
      <c r="M13663" s="34">
        <f t="shared" si="389"/>
        <v>0</v>
      </c>
    </row>
    <row r="13664" spans="13:13" x14ac:dyDescent="0.25">
      <c r="M13664" s="34">
        <f t="shared" si="389"/>
        <v>0</v>
      </c>
    </row>
    <row r="13665" spans="13:13" x14ac:dyDescent="0.25">
      <c r="M13665" s="34">
        <f t="shared" si="389"/>
        <v>0</v>
      </c>
    </row>
    <row r="13666" spans="13:13" x14ac:dyDescent="0.25">
      <c r="M13666" s="34">
        <f t="shared" si="389"/>
        <v>0</v>
      </c>
    </row>
    <row r="13667" spans="13:13" x14ac:dyDescent="0.25">
      <c r="M13667" s="34">
        <f t="shared" si="389"/>
        <v>0</v>
      </c>
    </row>
    <row r="13668" spans="13:13" x14ac:dyDescent="0.25">
      <c r="M13668" s="34">
        <f t="shared" si="389"/>
        <v>0</v>
      </c>
    </row>
    <row r="13669" spans="13:13" x14ac:dyDescent="0.25">
      <c r="M13669" s="34">
        <f t="shared" si="389"/>
        <v>0</v>
      </c>
    </row>
    <row r="13670" spans="13:13" x14ac:dyDescent="0.25">
      <c r="M13670" s="34">
        <f t="shared" si="389"/>
        <v>0</v>
      </c>
    </row>
    <row r="13671" spans="13:13" x14ac:dyDescent="0.25">
      <c r="M13671" s="34">
        <f t="shared" si="389"/>
        <v>0</v>
      </c>
    </row>
    <row r="13672" spans="13:13" x14ac:dyDescent="0.25">
      <c r="M13672" s="34">
        <f t="shared" si="389"/>
        <v>0</v>
      </c>
    </row>
    <row r="13673" spans="13:13" x14ac:dyDescent="0.25">
      <c r="M13673" s="34">
        <f t="shared" si="389"/>
        <v>0</v>
      </c>
    </row>
    <row r="13674" spans="13:13" x14ac:dyDescent="0.25">
      <c r="M13674" s="34">
        <f t="shared" si="389"/>
        <v>0</v>
      </c>
    </row>
    <row r="13675" spans="13:13" x14ac:dyDescent="0.25">
      <c r="M13675" s="34">
        <f t="shared" si="389"/>
        <v>0</v>
      </c>
    </row>
    <row r="13676" spans="13:13" x14ac:dyDescent="0.25">
      <c r="M13676" s="34">
        <f t="shared" si="389"/>
        <v>0</v>
      </c>
    </row>
    <row r="13677" spans="13:13" x14ac:dyDescent="0.25">
      <c r="M13677" s="34">
        <f t="shared" si="389"/>
        <v>0</v>
      </c>
    </row>
    <row r="13678" spans="13:13" x14ac:dyDescent="0.25">
      <c r="M13678" s="34">
        <f t="shared" si="389"/>
        <v>0</v>
      </c>
    </row>
    <row r="13679" spans="13:13" x14ac:dyDescent="0.25">
      <c r="M13679" s="34">
        <f t="shared" si="389"/>
        <v>0</v>
      </c>
    </row>
    <row r="13680" spans="13:13" x14ac:dyDescent="0.25">
      <c r="M13680" s="34">
        <f t="shared" si="389"/>
        <v>0</v>
      </c>
    </row>
    <row r="13681" spans="13:13" x14ac:dyDescent="0.25">
      <c r="M13681" s="34">
        <f t="shared" si="389"/>
        <v>0</v>
      </c>
    </row>
    <row r="13682" spans="13:13" x14ac:dyDescent="0.25">
      <c r="M13682" s="34">
        <f t="shared" si="389"/>
        <v>0</v>
      </c>
    </row>
    <row r="13683" spans="13:13" x14ac:dyDescent="0.25">
      <c r="M13683" s="34">
        <f t="shared" si="389"/>
        <v>0</v>
      </c>
    </row>
    <row r="13684" spans="13:13" x14ac:dyDescent="0.25">
      <c r="M13684" s="34">
        <f t="shared" si="389"/>
        <v>0</v>
      </c>
    </row>
    <row r="13685" spans="13:13" x14ac:dyDescent="0.25">
      <c r="M13685" s="34">
        <f t="shared" si="389"/>
        <v>0</v>
      </c>
    </row>
    <row r="13686" spans="13:13" x14ac:dyDescent="0.25">
      <c r="M13686" s="34">
        <f t="shared" si="389"/>
        <v>0</v>
      </c>
    </row>
    <row r="13687" spans="13:13" x14ac:dyDescent="0.25">
      <c r="M13687" s="34">
        <f t="shared" si="389"/>
        <v>0</v>
      </c>
    </row>
    <row r="13688" spans="13:13" x14ac:dyDescent="0.25">
      <c r="M13688" s="34">
        <f t="shared" si="389"/>
        <v>0</v>
      </c>
    </row>
    <row r="13689" spans="13:13" x14ac:dyDescent="0.25">
      <c r="M13689" s="34">
        <f t="shared" si="389"/>
        <v>0</v>
      </c>
    </row>
    <row r="13690" spans="13:13" x14ac:dyDescent="0.25">
      <c r="M13690" s="34">
        <f t="shared" si="389"/>
        <v>0</v>
      </c>
    </row>
    <row r="13691" spans="13:13" x14ac:dyDescent="0.25">
      <c r="M13691" s="34">
        <f t="shared" si="389"/>
        <v>0</v>
      </c>
    </row>
    <row r="13692" spans="13:13" x14ac:dyDescent="0.25">
      <c r="M13692" s="34">
        <f t="shared" si="389"/>
        <v>0</v>
      </c>
    </row>
    <row r="13693" spans="13:13" x14ac:dyDescent="0.25">
      <c r="M13693" s="34">
        <f t="shared" si="389"/>
        <v>0</v>
      </c>
    </row>
    <row r="13694" spans="13:13" x14ac:dyDescent="0.25">
      <c r="M13694" s="34">
        <f t="shared" si="389"/>
        <v>0</v>
      </c>
    </row>
    <row r="13695" spans="13:13" x14ac:dyDescent="0.25">
      <c r="M13695" s="34">
        <f t="shared" si="389"/>
        <v>0</v>
      </c>
    </row>
    <row r="13696" spans="13:13" x14ac:dyDescent="0.25">
      <c r="M13696" s="34">
        <f t="shared" si="389"/>
        <v>0</v>
      </c>
    </row>
    <row r="13697" spans="13:13" x14ac:dyDescent="0.25">
      <c r="M13697" s="34">
        <f t="shared" si="389"/>
        <v>0</v>
      </c>
    </row>
    <row r="13698" spans="13:13" x14ac:dyDescent="0.25">
      <c r="M13698" s="34">
        <f t="shared" si="389"/>
        <v>0</v>
      </c>
    </row>
    <row r="13699" spans="13:13" x14ac:dyDescent="0.25">
      <c r="M13699" s="34">
        <f t="shared" ref="M13699:M13762" si="390">IF(AND(E13699="Chèque",G13699="RECETTE"),F13699,0)</f>
        <v>0</v>
      </c>
    </row>
    <row r="13700" spans="13:13" x14ac:dyDescent="0.25">
      <c r="M13700" s="34">
        <f t="shared" si="390"/>
        <v>0</v>
      </c>
    </row>
    <row r="13701" spans="13:13" x14ac:dyDescent="0.25">
      <c r="M13701" s="34">
        <f t="shared" si="390"/>
        <v>0</v>
      </c>
    </row>
    <row r="13702" spans="13:13" x14ac:dyDescent="0.25">
      <c r="M13702" s="34">
        <f t="shared" si="390"/>
        <v>0</v>
      </c>
    </row>
    <row r="13703" spans="13:13" x14ac:dyDescent="0.25">
      <c r="M13703" s="34">
        <f t="shared" si="390"/>
        <v>0</v>
      </c>
    </row>
    <row r="13704" spans="13:13" x14ac:dyDescent="0.25">
      <c r="M13704" s="34">
        <f t="shared" si="390"/>
        <v>0</v>
      </c>
    </row>
    <row r="13705" spans="13:13" x14ac:dyDescent="0.25">
      <c r="M13705" s="34">
        <f t="shared" si="390"/>
        <v>0</v>
      </c>
    </row>
    <row r="13706" spans="13:13" x14ac:dyDescent="0.25">
      <c r="M13706" s="34">
        <f t="shared" si="390"/>
        <v>0</v>
      </c>
    </row>
    <row r="13707" spans="13:13" x14ac:dyDescent="0.25">
      <c r="M13707" s="34">
        <f t="shared" si="390"/>
        <v>0</v>
      </c>
    </row>
    <row r="13708" spans="13:13" x14ac:dyDescent="0.25">
      <c r="M13708" s="34">
        <f t="shared" si="390"/>
        <v>0</v>
      </c>
    </row>
    <row r="13709" spans="13:13" x14ac:dyDescent="0.25">
      <c r="M13709" s="34">
        <f t="shared" si="390"/>
        <v>0</v>
      </c>
    </row>
    <row r="13710" spans="13:13" x14ac:dyDescent="0.25">
      <c r="M13710" s="34">
        <f t="shared" si="390"/>
        <v>0</v>
      </c>
    </row>
    <row r="13711" spans="13:13" x14ac:dyDescent="0.25">
      <c r="M13711" s="34">
        <f t="shared" si="390"/>
        <v>0</v>
      </c>
    </row>
    <row r="13712" spans="13:13" x14ac:dyDescent="0.25">
      <c r="M13712" s="34">
        <f t="shared" si="390"/>
        <v>0</v>
      </c>
    </row>
    <row r="13713" spans="13:13" x14ac:dyDescent="0.25">
      <c r="M13713" s="34">
        <f t="shared" si="390"/>
        <v>0</v>
      </c>
    </row>
    <row r="13714" spans="13:13" x14ac:dyDescent="0.25">
      <c r="M13714" s="34">
        <f t="shared" si="390"/>
        <v>0</v>
      </c>
    </row>
    <row r="13715" spans="13:13" x14ac:dyDescent="0.25">
      <c r="M13715" s="34">
        <f t="shared" si="390"/>
        <v>0</v>
      </c>
    </row>
    <row r="13716" spans="13:13" x14ac:dyDescent="0.25">
      <c r="M13716" s="34">
        <f t="shared" si="390"/>
        <v>0</v>
      </c>
    </row>
    <row r="13717" spans="13:13" x14ac:dyDescent="0.25">
      <c r="M13717" s="34">
        <f t="shared" si="390"/>
        <v>0</v>
      </c>
    </row>
    <row r="13718" spans="13:13" x14ac:dyDescent="0.25">
      <c r="M13718" s="34">
        <f t="shared" si="390"/>
        <v>0</v>
      </c>
    </row>
    <row r="13719" spans="13:13" x14ac:dyDescent="0.25">
      <c r="M13719" s="34">
        <f t="shared" si="390"/>
        <v>0</v>
      </c>
    </row>
    <row r="13720" spans="13:13" x14ac:dyDescent="0.25">
      <c r="M13720" s="34">
        <f t="shared" si="390"/>
        <v>0</v>
      </c>
    </row>
    <row r="13721" spans="13:13" x14ac:dyDescent="0.25">
      <c r="M13721" s="34">
        <f t="shared" si="390"/>
        <v>0</v>
      </c>
    </row>
    <row r="13722" spans="13:13" x14ac:dyDescent="0.25">
      <c r="M13722" s="34">
        <f t="shared" si="390"/>
        <v>0</v>
      </c>
    </row>
    <row r="13723" spans="13:13" x14ac:dyDescent="0.25">
      <c r="M13723" s="34">
        <f t="shared" si="390"/>
        <v>0</v>
      </c>
    </row>
    <row r="13724" spans="13:13" x14ac:dyDescent="0.25">
      <c r="M13724" s="34">
        <f t="shared" si="390"/>
        <v>0</v>
      </c>
    </row>
    <row r="13725" spans="13:13" x14ac:dyDescent="0.25">
      <c r="M13725" s="34">
        <f t="shared" si="390"/>
        <v>0</v>
      </c>
    </row>
    <row r="13726" spans="13:13" x14ac:dyDescent="0.25">
      <c r="M13726" s="34">
        <f t="shared" si="390"/>
        <v>0</v>
      </c>
    </row>
    <row r="13727" spans="13:13" x14ac:dyDescent="0.25">
      <c r="M13727" s="34">
        <f t="shared" si="390"/>
        <v>0</v>
      </c>
    </row>
    <row r="13728" spans="13:13" x14ac:dyDescent="0.25">
      <c r="M13728" s="34">
        <f t="shared" si="390"/>
        <v>0</v>
      </c>
    </row>
    <row r="13729" spans="13:13" x14ac:dyDescent="0.25">
      <c r="M13729" s="34">
        <f t="shared" si="390"/>
        <v>0</v>
      </c>
    </row>
    <row r="13730" spans="13:13" x14ac:dyDescent="0.25">
      <c r="M13730" s="34">
        <f t="shared" si="390"/>
        <v>0</v>
      </c>
    </row>
    <row r="13731" spans="13:13" x14ac:dyDescent="0.25">
      <c r="M13731" s="34">
        <f t="shared" si="390"/>
        <v>0</v>
      </c>
    </row>
    <row r="13732" spans="13:13" x14ac:dyDescent="0.25">
      <c r="M13732" s="34">
        <f t="shared" si="390"/>
        <v>0</v>
      </c>
    </row>
    <row r="13733" spans="13:13" x14ac:dyDescent="0.25">
      <c r="M13733" s="34">
        <f t="shared" si="390"/>
        <v>0</v>
      </c>
    </row>
    <row r="13734" spans="13:13" x14ac:dyDescent="0.25">
      <c r="M13734" s="34">
        <f t="shared" si="390"/>
        <v>0</v>
      </c>
    </row>
    <row r="13735" spans="13:13" x14ac:dyDescent="0.25">
      <c r="M13735" s="34">
        <f t="shared" si="390"/>
        <v>0</v>
      </c>
    </row>
    <row r="13736" spans="13:13" x14ac:dyDescent="0.25">
      <c r="M13736" s="34">
        <f t="shared" si="390"/>
        <v>0</v>
      </c>
    </row>
    <row r="13737" spans="13:13" x14ac:dyDescent="0.25">
      <c r="M13737" s="34">
        <f t="shared" si="390"/>
        <v>0</v>
      </c>
    </row>
    <row r="13738" spans="13:13" x14ac:dyDescent="0.25">
      <c r="M13738" s="34">
        <f t="shared" si="390"/>
        <v>0</v>
      </c>
    </row>
    <row r="13739" spans="13:13" x14ac:dyDescent="0.25">
      <c r="M13739" s="34">
        <f t="shared" si="390"/>
        <v>0</v>
      </c>
    </row>
    <row r="13740" spans="13:13" x14ac:dyDescent="0.25">
      <c r="M13740" s="34">
        <f t="shared" si="390"/>
        <v>0</v>
      </c>
    </row>
    <row r="13741" spans="13:13" x14ac:dyDescent="0.25">
      <c r="M13741" s="34">
        <f t="shared" si="390"/>
        <v>0</v>
      </c>
    </row>
    <row r="13742" spans="13:13" x14ac:dyDescent="0.25">
      <c r="M13742" s="34">
        <f t="shared" si="390"/>
        <v>0</v>
      </c>
    </row>
    <row r="13743" spans="13:13" x14ac:dyDescent="0.25">
      <c r="M13743" s="34">
        <f t="shared" si="390"/>
        <v>0</v>
      </c>
    </row>
    <row r="13744" spans="13:13" x14ac:dyDescent="0.25">
      <c r="M13744" s="34">
        <f t="shared" si="390"/>
        <v>0</v>
      </c>
    </row>
    <row r="13745" spans="13:13" x14ac:dyDescent="0.25">
      <c r="M13745" s="34">
        <f t="shared" si="390"/>
        <v>0</v>
      </c>
    </row>
    <row r="13746" spans="13:13" x14ac:dyDescent="0.25">
      <c r="M13746" s="34">
        <f t="shared" si="390"/>
        <v>0</v>
      </c>
    </row>
    <row r="13747" spans="13:13" x14ac:dyDescent="0.25">
      <c r="M13747" s="34">
        <f t="shared" si="390"/>
        <v>0</v>
      </c>
    </row>
    <row r="13748" spans="13:13" x14ac:dyDescent="0.25">
      <c r="M13748" s="34">
        <f t="shared" si="390"/>
        <v>0</v>
      </c>
    </row>
    <row r="13749" spans="13:13" x14ac:dyDescent="0.25">
      <c r="M13749" s="34">
        <f t="shared" si="390"/>
        <v>0</v>
      </c>
    </row>
    <row r="13750" spans="13:13" x14ac:dyDescent="0.25">
      <c r="M13750" s="34">
        <f t="shared" si="390"/>
        <v>0</v>
      </c>
    </row>
    <row r="13751" spans="13:13" x14ac:dyDescent="0.25">
      <c r="M13751" s="34">
        <f t="shared" si="390"/>
        <v>0</v>
      </c>
    </row>
    <row r="13752" spans="13:13" x14ac:dyDescent="0.25">
      <c r="M13752" s="34">
        <f t="shared" si="390"/>
        <v>0</v>
      </c>
    </row>
    <row r="13753" spans="13:13" x14ac:dyDescent="0.25">
      <c r="M13753" s="34">
        <f t="shared" si="390"/>
        <v>0</v>
      </c>
    </row>
    <row r="13754" spans="13:13" x14ac:dyDescent="0.25">
      <c r="M13754" s="34">
        <f t="shared" si="390"/>
        <v>0</v>
      </c>
    </row>
    <row r="13755" spans="13:13" x14ac:dyDescent="0.25">
      <c r="M13755" s="34">
        <f t="shared" si="390"/>
        <v>0</v>
      </c>
    </row>
    <row r="13756" spans="13:13" x14ac:dyDescent="0.25">
      <c r="M13756" s="34">
        <f t="shared" si="390"/>
        <v>0</v>
      </c>
    </row>
    <row r="13757" spans="13:13" x14ac:dyDescent="0.25">
      <c r="M13757" s="34">
        <f t="shared" si="390"/>
        <v>0</v>
      </c>
    </row>
    <row r="13758" spans="13:13" x14ac:dyDescent="0.25">
      <c r="M13758" s="34">
        <f t="shared" si="390"/>
        <v>0</v>
      </c>
    </row>
    <row r="13759" spans="13:13" x14ac:dyDescent="0.25">
      <c r="M13759" s="34">
        <f t="shared" si="390"/>
        <v>0</v>
      </c>
    </row>
    <row r="13760" spans="13:13" x14ac:dyDescent="0.25">
      <c r="M13760" s="34">
        <f t="shared" si="390"/>
        <v>0</v>
      </c>
    </row>
    <row r="13761" spans="13:13" x14ac:dyDescent="0.25">
      <c r="M13761" s="34">
        <f t="shared" si="390"/>
        <v>0</v>
      </c>
    </row>
    <row r="13762" spans="13:13" x14ac:dyDescent="0.25">
      <c r="M13762" s="34">
        <f t="shared" si="390"/>
        <v>0</v>
      </c>
    </row>
    <row r="13763" spans="13:13" x14ac:dyDescent="0.25">
      <c r="M13763" s="34">
        <f t="shared" ref="M13763:M13826" si="391">IF(AND(E13763="Chèque",G13763="RECETTE"),F13763,0)</f>
        <v>0</v>
      </c>
    </row>
    <row r="13764" spans="13:13" x14ac:dyDescent="0.25">
      <c r="M13764" s="34">
        <f t="shared" si="391"/>
        <v>0</v>
      </c>
    </row>
    <row r="13765" spans="13:13" x14ac:dyDescent="0.25">
      <c r="M13765" s="34">
        <f t="shared" si="391"/>
        <v>0</v>
      </c>
    </row>
    <row r="13766" spans="13:13" x14ac:dyDescent="0.25">
      <c r="M13766" s="34">
        <f t="shared" si="391"/>
        <v>0</v>
      </c>
    </row>
    <row r="13767" spans="13:13" x14ac:dyDescent="0.25">
      <c r="M13767" s="34">
        <f t="shared" si="391"/>
        <v>0</v>
      </c>
    </row>
    <row r="13768" spans="13:13" x14ac:dyDescent="0.25">
      <c r="M13768" s="34">
        <f t="shared" si="391"/>
        <v>0</v>
      </c>
    </row>
    <row r="13769" spans="13:13" x14ac:dyDescent="0.25">
      <c r="M13769" s="34">
        <f t="shared" si="391"/>
        <v>0</v>
      </c>
    </row>
    <row r="13770" spans="13:13" x14ac:dyDescent="0.25">
      <c r="M13770" s="34">
        <f t="shared" si="391"/>
        <v>0</v>
      </c>
    </row>
    <row r="13771" spans="13:13" x14ac:dyDescent="0.25">
      <c r="M13771" s="34">
        <f t="shared" si="391"/>
        <v>0</v>
      </c>
    </row>
    <row r="13772" spans="13:13" x14ac:dyDescent="0.25">
      <c r="M13772" s="34">
        <f t="shared" si="391"/>
        <v>0</v>
      </c>
    </row>
    <row r="13773" spans="13:13" x14ac:dyDescent="0.25">
      <c r="M13773" s="34">
        <f t="shared" si="391"/>
        <v>0</v>
      </c>
    </row>
    <row r="13774" spans="13:13" x14ac:dyDescent="0.25">
      <c r="M13774" s="34">
        <f t="shared" si="391"/>
        <v>0</v>
      </c>
    </row>
    <row r="13775" spans="13:13" x14ac:dyDescent="0.25">
      <c r="M13775" s="34">
        <f t="shared" si="391"/>
        <v>0</v>
      </c>
    </row>
    <row r="13776" spans="13:13" x14ac:dyDescent="0.25">
      <c r="M13776" s="34">
        <f t="shared" si="391"/>
        <v>0</v>
      </c>
    </row>
    <row r="13777" spans="13:13" x14ac:dyDescent="0.25">
      <c r="M13777" s="34">
        <f t="shared" si="391"/>
        <v>0</v>
      </c>
    </row>
    <row r="13778" spans="13:13" x14ac:dyDescent="0.25">
      <c r="M13778" s="34">
        <f t="shared" si="391"/>
        <v>0</v>
      </c>
    </row>
    <row r="13779" spans="13:13" x14ac:dyDescent="0.25">
      <c r="M13779" s="34">
        <f t="shared" si="391"/>
        <v>0</v>
      </c>
    </row>
    <row r="13780" spans="13:13" x14ac:dyDescent="0.25">
      <c r="M13780" s="34">
        <f t="shared" si="391"/>
        <v>0</v>
      </c>
    </row>
    <row r="13781" spans="13:13" x14ac:dyDescent="0.25">
      <c r="M13781" s="34">
        <f t="shared" si="391"/>
        <v>0</v>
      </c>
    </row>
    <row r="13782" spans="13:13" x14ac:dyDescent="0.25">
      <c r="M13782" s="34">
        <f t="shared" si="391"/>
        <v>0</v>
      </c>
    </row>
    <row r="13783" spans="13:13" x14ac:dyDescent="0.25">
      <c r="M13783" s="34">
        <f t="shared" si="391"/>
        <v>0</v>
      </c>
    </row>
    <row r="13784" spans="13:13" x14ac:dyDescent="0.25">
      <c r="M13784" s="34">
        <f t="shared" si="391"/>
        <v>0</v>
      </c>
    </row>
    <row r="13785" spans="13:13" x14ac:dyDescent="0.25">
      <c r="M13785" s="34">
        <f t="shared" si="391"/>
        <v>0</v>
      </c>
    </row>
    <row r="13786" spans="13:13" x14ac:dyDescent="0.25">
      <c r="M13786" s="34">
        <f t="shared" si="391"/>
        <v>0</v>
      </c>
    </row>
    <row r="13787" spans="13:13" x14ac:dyDescent="0.25">
      <c r="M13787" s="34">
        <f t="shared" si="391"/>
        <v>0</v>
      </c>
    </row>
    <row r="13788" spans="13:13" x14ac:dyDescent="0.25">
      <c r="M13788" s="34">
        <f t="shared" si="391"/>
        <v>0</v>
      </c>
    </row>
    <row r="13789" spans="13:13" x14ac:dyDescent="0.25">
      <c r="M13789" s="34">
        <f t="shared" si="391"/>
        <v>0</v>
      </c>
    </row>
    <row r="13790" spans="13:13" x14ac:dyDescent="0.25">
      <c r="M13790" s="34">
        <f t="shared" si="391"/>
        <v>0</v>
      </c>
    </row>
    <row r="13791" spans="13:13" x14ac:dyDescent="0.25">
      <c r="M13791" s="34">
        <f t="shared" si="391"/>
        <v>0</v>
      </c>
    </row>
    <row r="13792" spans="13:13" x14ac:dyDescent="0.25">
      <c r="M13792" s="34">
        <f t="shared" si="391"/>
        <v>0</v>
      </c>
    </row>
    <row r="13793" spans="13:13" x14ac:dyDescent="0.25">
      <c r="M13793" s="34">
        <f t="shared" si="391"/>
        <v>0</v>
      </c>
    </row>
    <row r="13794" spans="13:13" x14ac:dyDescent="0.25">
      <c r="M13794" s="34">
        <f t="shared" si="391"/>
        <v>0</v>
      </c>
    </row>
    <row r="13795" spans="13:13" x14ac:dyDescent="0.25">
      <c r="M13795" s="34">
        <f t="shared" si="391"/>
        <v>0</v>
      </c>
    </row>
    <row r="13796" spans="13:13" x14ac:dyDescent="0.25">
      <c r="M13796" s="34">
        <f t="shared" si="391"/>
        <v>0</v>
      </c>
    </row>
    <row r="13797" spans="13:13" x14ac:dyDescent="0.25">
      <c r="M13797" s="34">
        <f t="shared" si="391"/>
        <v>0</v>
      </c>
    </row>
    <row r="13798" spans="13:13" x14ac:dyDescent="0.25">
      <c r="M13798" s="34">
        <f t="shared" si="391"/>
        <v>0</v>
      </c>
    </row>
    <row r="13799" spans="13:13" x14ac:dyDescent="0.25">
      <c r="M13799" s="34">
        <f t="shared" si="391"/>
        <v>0</v>
      </c>
    </row>
    <row r="13800" spans="13:13" x14ac:dyDescent="0.25">
      <c r="M13800" s="34">
        <f t="shared" si="391"/>
        <v>0</v>
      </c>
    </row>
    <row r="13801" spans="13:13" x14ac:dyDescent="0.25">
      <c r="M13801" s="34">
        <f t="shared" si="391"/>
        <v>0</v>
      </c>
    </row>
    <row r="13802" spans="13:13" x14ac:dyDescent="0.25">
      <c r="M13802" s="34">
        <f t="shared" si="391"/>
        <v>0</v>
      </c>
    </row>
    <row r="13803" spans="13:13" x14ac:dyDescent="0.25">
      <c r="M13803" s="34">
        <f t="shared" si="391"/>
        <v>0</v>
      </c>
    </row>
    <row r="13804" spans="13:13" x14ac:dyDescent="0.25">
      <c r="M13804" s="34">
        <f t="shared" si="391"/>
        <v>0</v>
      </c>
    </row>
    <row r="13805" spans="13:13" x14ac:dyDescent="0.25">
      <c r="M13805" s="34">
        <f t="shared" si="391"/>
        <v>0</v>
      </c>
    </row>
    <row r="13806" spans="13:13" x14ac:dyDescent="0.25">
      <c r="M13806" s="34">
        <f t="shared" si="391"/>
        <v>0</v>
      </c>
    </row>
    <row r="13807" spans="13:13" x14ac:dyDescent="0.25">
      <c r="M13807" s="34">
        <f t="shared" si="391"/>
        <v>0</v>
      </c>
    </row>
    <row r="13808" spans="13:13" x14ac:dyDescent="0.25">
      <c r="M13808" s="34">
        <f t="shared" si="391"/>
        <v>0</v>
      </c>
    </row>
    <row r="13809" spans="13:13" x14ac:dyDescent="0.25">
      <c r="M13809" s="34">
        <f t="shared" si="391"/>
        <v>0</v>
      </c>
    </row>
    <row r="13810" spans="13:13" x14ac:dyDescent="0.25">
      <c r="M13810" s="34">
        <f t="shared" si="391"/>
        <v>0</v>
      </c>
    </row>
    <row r="13811" spans="13:13" x14ac:dyDescent="0.25">
      <c r="M13811" s="34">
        <f t="shared" si="391"/>
        <v>0</v>
      </c>
    </row>
    <row r="13812" spans="13:13" x14ac:dyDescent="0.25">
      <c r="M13812" s="34">
        <f t="shared" si="391"/>
        <v>0</v>
      </c>
    </row>
    <row r="13813" spans="13:13" x14ac:dyDescent="0.25">
      <c r="M13813" s="34">
        <f t="shared" si="391"/>
        <v>0</v>
      </c>
    </row>
    <row r="13814" spans="13:13" x14ac:dyDescent="0.25">
      <c r="M13814" s="34">
        <f t="shared" si="391"/>
        <v>0</v>
      </c>
    </row>
    <row r="13815" spans="13:13" x14ac:dyDescent="0.25">
      <c r="M13815" s="34">
        <f t="shared" si="391"/>
        <v>0</v>
      </c>
    </row>
    <row r="13816" spans="13:13" x14ac:dyDescent="0.25">
      <c r="M13816" s="34">
        <f t="shared" si="391"/>
        <v>0</v>
      </c>
    </row>
    <row r="13817" spans="13:13" x14ac:dyDescent="0.25">
      <c r="M13817" s="34">
        <f t="shared" si="391"/>
        <v>0</v>
      </c>
    </row>
    <row r="13818" spans="13:13" x14ac:dyDescent="0.25">
      <c r="M13818" s="34">
        <f t="shared" si="391"/>
        <v>0</v>
      </c>
    </row>
    <row r="13819" spans="13:13" x14ac:dyDescent="0.25">
      <c r="M13819" s="34">
        <f t="shared" si="391"/>
        <v>0</v>
      </c>
    </row>
    <row r="13820" spans="13:13" x14ac:dyDescent="0.25">
      <c r="M13820" s="34">
        <f t="shared" si="391"/>
        <v>0</v>
      </c>
    </row>
    <row r="13821" spans="13:13" x14ac:dyDescent="0.25">
      <c r="M13821" s="34">
        <f t="shared" si="391"/>
        <v>0</v>
      </c>
    </row>
    <row r="13822" spans="13:13" x14ac:dyDescent="0.25">
      <c r="M13822" s="34">
        <f t="shared" si="391"/>
        <v>0</v>
      </c>
    </row>
    <row r="13823" spans="13:13" x14ac:dyDescent="0.25">
      <c r="M13823" s="34">
        <f t="shared" si="391"/>
        <v>0</v>
      </c>
    </row>
    <row r="13824" spans="13:13" x14ac:dyDescent="0.25">
      <c r="M13824" s="34">
        <f t="shared" si="391"/>
        <v>0</v>
      </c>
    </row>
    <row r="13825" spans="13:13" x14ac:dyDescent="0.25">
      <c r="M13825" s="34">
        <f t="shared" si="391"/>
        <v>0</v>
      </c>
    </row>
    <row r="13826" spans="13:13" x14ac:dyDescent="0.25">
      <c r="M13826" s="34">
        <f t="shared" si="391"/>
        <v>0</v>
      </c>
    </row>
    <row r="13827" spans="13:13" x14ac:dyDescent="0.25">
      <c r="M13827" s="34">
        <f t="shared" ref="M13827:M13890" si="392">IF(AND(E13827="Chèque",G13827="RECETTE"),F13827,0)</f>
        <v>0</v>
      </c>
    </row>
    <row r="13828" spans="13:13" x14ac:dyDescent="0.25">
      <c r="M13828" s="34">
        <f t="shared" si="392"/>
        <v>0</v>
      </c>
    </row>
    <row r="13829" spans="13:13" x14ac:dyDescent="0.25">
      <c r="M13829" s="34">
        <f t="shared" si="392"/>
        <v>0</v>
      </c>
    </row>
    <row r="13830" spans="13:13" x14ac:dyDescent="0.25">
      <c r="M13830" s="34">
        <f t="shared" si="392"/>
        <v>0</v>
      </c>
    </row>
    <row r="13831" spans="13:13" x14ac:dyDescent="0.25">
      <c r="M13831" s="34">
        <f t="shared" si="392"/>
        <v>0</v>
      </c>
    </row>
    <row r="13832" spans="13:13" x14ac:dyDescent="0.25">
      <c r="M13832" s="34">
        <f t="shared" si="392"/>
        <v>0</v>
      </c>
    </row>
    <row r="13833" spans="13:13" x14ac:dyDescent="0.25">
      <c r="M13833" s="34">
        <f t="shared" si="392"/>
        <v>0</v>
      </c>
    </row>
    <row r="13834" spans="13:13" x14ac:dyDescent="0.25">
      <c r="M13834" s="34">
        <f t="shared" si="392"/>
        <v>0</v>
      </c>
    </row>
    <row r="13835" spans="13:13" x14ac:dyDescent="0.25">
      <c r="M13835" s="34">
        <f t="shared" si="392"/>
        <v>0</v>
      </c>
    </row>
    <row r="13836" spans="13:13" x14ac:dyDescent="0.25">
      <c r="M13836" s="34">
        <f t="shared" si="392"/>
        <v>0</v>
      </c>
    </row>
    <row r="13837" spans="13:13" x14ac:dyDescent="0.25">
      <c r="M13837" s="34">
        <f t="shared" si="392"/>
        <v>0</v>
      </c>
    </row>
    <row r="13838" spans="13:13" x14ac:dyDescent="0.25">
      <c r="M13838" s="34">
        <f t="shared" si="392"/>
        <v>0</v>
      </c>
    </row>
    <row r="13839" spans="13:13" x14ac:dyDescent="0.25">
      <c r="M13839" s="34">
        <f t="shared" si="392"/>
        <v>0</v>
      </c>
    </row>
    <row r="13840" spans="13:13" x14ac:dyDescent="0.25">
      <c r="M13840" s="34">
        <f t="shared" si="392"/>
        <v>0</v>
      </c>
    </row>
    <row r="13841" spans="13:13" x14ac:dyDescent="0.25">
      <c r="M13841" s="34">
        <f t="shared" si="392"/>
        <v>0</v>
      </c>
    </row>
    <row r="13842" spans="13:13" x14ac:dyDescent="0.25">
      <c r="M13842" s="34">
        <f t="shared" si="392"/>
        <v>0</v>
      </c>
    </row>
    <row r="13843" spans="13:13" x14ac:dyDescent="0.25">
      <c r="M13843" s="34">
        <f t="shared" si="392"/>
        <v>0</v>
      </c>
    </row>
    <row r="13844" spans="13:13" x14ac:dyDescent="0.25">
      <c r="M13844" s="34">
        <f t="shared" si="392"/>
        <v>0</v>
      </c>
    </row>
    <row r="13845" spans="13:13" x14ac:dyDescent="0.25">
      <c r="M13845" s="34">
        <f t="shared" si="392"/>
        <v>0</v>
      </c>
    </row>
    <row r="13846" spans="13:13" x14ac:dyDescent="0.25">
      <c r="M13846" s="34">
        <f t="shared" si="392"/>
        <v>0</v>
      </c>
    </row>
    <row r="13847" spans="13:13" x14ac:dyDescent="0.25">
      <c r="M13847" s="34">
        <f t="shared" si="392"/>
        <v>0</v>
      </c>
    </row>
    <row r="13848" spans="13:13" x14ac:dyDescent="0.25">
      <c r="M13848" s="34">
        <f t="shared" si="392"/>
        <v>0</v>
      </c>
    </row>
    <row r="13849" spans="13:13" x14ac:dyDescent="0.25">
      <c r="M13849" s="34">
        <f t="shared" si="392"/>
        <v>0</v>
      </c>
    </row>
    <row r="13850" spans="13:13" x14ac:dyDescent="0.25">
      <c r="M13850" s="34">
        <f t="shared" si="392"/>
        <v>0</v>
      </c>
    </row>
    <row r="13851" spans="13:13" x14ac:dyDescent="0.25">
      <c r="M13851" s="34">
        <f t="shared" si="392"/>
        <v>0</v>
      </c>
    </row>
    <row r="13852" spans="13:13" x14ac:dyDescent="0.25">
      <c r="M13852" s="34">
        <f t="shared" si="392"/>
        <v>0</v>
      </c>
    </row>
    <row r="13853" spans="13:13" x14ac:dyDescent="0.25">
      <c r="M13853" s="34">
        <f t="shared" si="392"/>
        <v>0</v>
      </c>
    </row>
    <row r="13854" spans="13:13" x14ac:dyDescent="0.25">
      <c r="M13854" s="34">
        <f t="shared" si="392"/>
        <v>0</v>
      </c>
    </row>
    <row r="13855" spans="13:13" x14ac:dyDescent="0.25">
      <c r="M13855" s="34">
        <f t="shared" si="392"/>
        <v>0</v>
      </c>
    </row>
    <row r="13856" spans="13:13" x14ac:dyDescent="0.25">
      <c r="M13856" s="34">
        <f t="shared" si="392"/>
        <v>0</v>
      </c>
    </row>
    <row r="13857" spans="13:13" x14ac:dyDescent="0.25">
      <c r="M13857" s="34">
        <f t="shared" si="392"/>
        <v>0</v>
      </c>
    </row>
    <row r="13858" spans="13:13" x14ac:dyDescent="0.25">
      <c r="M13858" s="34">
        <f t="shared" si="392"/>
        <v>0</v>
      </c>
    </row>
    <row r="13859" spans="13:13" x14ac:dyDescent="0.25">
      <c r="M13859" s="34">
        <f t="shared" si="392"/>
        <v>0</v>
      </c>
    </row>
    <row r="13860" spans="13:13" x14ac:dyDescent="0.25">
      <c r="M13860" s="34">
        <f t="shared" si="392"/>
        <v>0</v>
      </c>
    </row>
    <row r="13861" spans="13:13" x14ac:dyDescent="0.25">
      <c r="M13861" s="34">
        <f t="shared" si="392"/>
        <v>0</v>
      </c>
    </row>
    <row r="13862" spans="13:13" x14ac:dyDescent="0.25">
      <c r="M13862" s="34">
        <f t="shared" si="392"/>
        <v>0</v>
      </c>
    </row>
    <row r="13863" spans="13:13" x14ac:dyDescent="0.25">
      <c r="M13863" s="34">
        <f t="shared" si="392"/>
        <v>0</v>
      </c>
    </row>
    <row r="13864" spans="13:13" x14ac:dyDescent="0.25">
      <c r="M13864" s="34">
        <f t="shared" si="392"/>
        <v>0</v>
      </c>
    </row>
    <row r="13865" spans="13:13" x14ac:dyDescent="0.25">
      <c r="M13865" s="34">
        <f t="shared" si="392"/>
        <v>0</v>
      </c>
    </row>
    <row r="13866" spans="13:13" x14ac:dyDescent="0.25">
      <c r="M13866" s="34">
        <f t="shared" si="392"/>
        <v>0</v>
      </c>
    </row>
    <row r="13867" spans="13:13" x14ac:dyDescent="0.25">
      <c r="M13867" s="34">
        <f t="shared" si="392"/>
        <v>0</v>
      </c>
    </row>
    <row r="13868" spans="13:13" x14ac:dyDescent="0.25">
      <c r="M13868" s="34">
        <f t="shared" si="392"/>
        <v>0</v>
      </c>
    </row>
    <row r="13869" spans="13:13" x14ac:dyDescent="0.25">
      <c r="M13869" s="34">
        <f t="shared" si="392"/>
        <v>0</v>
      </c>
    </row>
    <row r="13870" spans="13:13" x14ac:dyDescent="0.25">
      <c r="M13870" s="34">
        <f t="shared" si="392"/>
        <v>0</v>
      </c>
    </row>
    <row r="13871" spans="13:13" x14ac:dyDescent="0.25">
      <c r="M13871" s="34">
        <f t="shared" si="392"/>
        <v>0</v>
      </c>
    </row>
    <row r="13872" spans="13:13" x14ac:dyDescent="0.25">
      <c r="M13872" s="34">
        <f t="shared" si="392"/>
        <v>0</v>
      </c>
    </row>
    <row r="13873" spans="13:13" x14ac:dyDescent="0.25">
      <c r="M13873" s="34">
        <f t="shared" si="392"/>
        <v>0</v>
      </c>
    </row>
    <row r="13874" spans="13:13" x14ac:dyDescent="0.25">
      <c r="M13874" s="34">
        <f t="shared" si="392"/>
        <v>0</v>
      </c>
    </row>
    <row r="13875" spans="13:13" x14ac:dyDescent="0.25">
      <c r="M13875" s="34">
        <f t="shared" si="392"/>
        <v>0</v>
      </c>
    </row>
    <row r="13876" spans="13:13" x14ac:dyDescent="0.25">
      <c r="M13876" s="34">
        <f t="shared" si="392"/>
        <v>0</v>
      </c>
    </row>
    <row r="13877" spans="13:13" x14ac:dyDescent="0.25">
      <c r="M13877" s="34">
        <f t="shared" si="392"/>
        <v>0</v>
      </c>
    </row>
    <row r="13878" spans="13:13" x14ac:dyDescent="0.25">
      <c r="M13878" s="34">
        <f t="shared" si="392"/>
        <v>0</v>
      </c>
    </row>
    <row r="13879" spans="13:13" x14ac:dyDescent="0.25">
      <c r="M13879" s="34">
        <f t="shared" si="392"/>
        <v>0</v>
      </c>
    </row>
    <row r="13880" spans="13:13" x14ac:dyDescent="0.25">
      <c r="M13880" s="34">
        <f t="shared" si="392"/>
        <v>0</v>
      </c>
    </row>
    <row r="13881" spans="13:13" x14ac:dyDescent="0.25">
      <c r="M13881" s="34">
        <f t="shared" si="392"/>
        <v>0</v>
      </c>
    </row>
    <row r="13882" spans="13:13" x14ac:dyDescent="0.25">
      <c r="M13882" s="34">
        <f t="shared" si="392"/>
        <v>0</v>
      </c>
    </row>
    <row r="13883" spans="13:13" x14ac:dyDescent="0.25">
      <c r="M13883" s="34">
        <f t="shared" si="392"/>
        <v>0</v>
      </c>
    </row>
    <row r="13884" spans="13:13" x14ac:dyDescent="0.25">
      <c r="M13884" s="34">
        <f t="shared" si="392"/>
        <v>0</v>
      </c>
    </row>
    <row r="13885" spans="13:13" x14ac:dyDescent="0.25">
      <c r="M13885" s="34">
        <f t="shared" si="392"/>
        <v>0</v>
      </c>
    </row>
    <row r="13886" spans="13:13" x14ac:dyDescent="0.25">
      <c r="M13886" s="34">
        <f t="shared" si="392"/>
        <v>0</v>
      </c>
    </row>
    <row r="13887" spans="13:13" x14ac:dyDescent="0.25">
      <c r="M13887" s="34">
        <f t="shared" si="392"/>
        <v>0</v>
      </c>
    </row>
    <row r="13888" spans="13:13" x14ac:dyDescent="0.25">
      <c r="M13888" s="34">
        <f t="shared" si="392"/>
        <v>0</v>
      </c>
    </row>
    <row r="13889" spans="13:13" x14ac:dyDescent="0.25">
      <c r="M13889" s="34">
        <f t="shared" si="392"/>
        <v>0</v>
      </c>
    </row>
    <row r="13890" spans="13:13" x14ac:dyDescent="0.25">
      <c r="M13890" s="34">
        <f t="shared" si="392"/>
        <v>0</v>
      </c>
    </row>
    <row r="13891" spans="13:13" x14ac:dyDescent="0.25">
      <c r="M13891" s="34">
        <f t="shared" ref="M13891:M13954" si="393">IF(AND(E13891="Chèque",G13891="RECETTE"),F13891,0)</f>
        <v>0</v>
      </c>
    </row>
    <row r="13892" spans="13:13" x14ac:dyDescent="0.25">
      <c r="M13892" s="34">
        <f t="shared" si="393"/>
        <v>0</v>
      </c>
    </row>
    <row r="13893" spans="13:13" x14ac:dyDescent="0.25">
      <c r="M13893" s="34">
        <f t="shared" si="393"/>
        <v>0</v>
      </c>
    </row>
    <row r="13894" spans="13:13" x14ac:dyDescent="0.25">
      <c r="M13894" s="34">
        <f t="shared" si="393"/>
        <v>0</v>
      </c>
    </row>
    <row r="13895" spans="13:13" x14ac:dyDescent="0.25">
      <c r="M13895" s="34">
        <f t="shared" si="393"/>
        <v>0</v>
      </c>
    </row>
    <row r="13896" spans="13:13" x14ac:dyDescent="0.25">
      <c r="M13896" s="34">
        <f t="shared" si="393"/>
        <v>0</v>
      </c>
    </row>
    <row r="13897" spans="13:13" x14ac:dyDescent="0.25">
      <c r="M13897" s="34">
        <f t="shared" si="393"/>
        <v>0</v>
      </c>
    </row>
    <row r="13898" spans="13:13" x14ac:dyDescent="0.25">
      <c r="M13898" s="34">
        <f t="shared" si="393"/>
        <v>0</v>
      </c>
    </row>
    <row r="13899" spans="13:13" x14ac:dyDescent="0.25">
      <c r="M13899" s="34">
        <f t="shared" si="393"/>
        <v>0</v>
      </c>
    </row>
    <row r="13900" spans="13:13" x14ac:dyDescent="0.25">
      <c r="M13900" s="34">
        <f t="shared" si="393"/>
        <v>0</v>
      </c>
    </row>
    <row r="13901" spans="13:13" x14ac:dyDescent="0.25">
      <c r="M13901" s="34">
        <f t="shared" si="393"/>
        <v>0</v>
      </c>
    </row>
    <row r="13902" spans="13:13" x14ac:dyDescent="0.25">
      <c r="M13902" s="34">
        <f t="shared" si="393"/>
        <v>0</v>
      </c>
    </row>
    <row r="13903" spans="13:13" x14ac:dyDescent="0.25">
      <c r="M13903" s="34">
        <f t="shared" si="393"/>
        <v>0</v>
      </c>
    </row>
    <row r="13904" spans="13:13" x14ac:dyDescent="0.25">
      <c r="M13904" s="34">
        <f t="shared" si="393"/>
        <v>0</v>
      </c>
    </row>
    <row r="13905" spans="13:13" x14ac:dyDescent="0.25">
      <c r="M13905" s="34">
        <f t="shared" si="393"/>
        <v>0</v>
      </c>
    </row>
    <row r="13906" spans="13:13" x14ac:dyDescent="0.25">
      <c r="M13906" s="34">
        <f t="shared" si="393"/>
        <v>0</v>
      </c>
    </row>
    <row r="13907" spans="13:13" x14ac:dyDescent="0.25">
      <c r="M13907" s="34">
        <f t="shared" si="393"/>
        <v>0</v>
      </c>
    </row>
    <row r="13908" spans="13:13" x14ac:dyDescent="0.25">
      <c r="M13908" s="34">
        <f t="shared" si="393"/>
        <v>0</v>
      </c>
    </row>
    <row r="13909" spans="13:13" x14ac:dyDescent="0.25">
      <c r="M13909" s="34">
        <f t="shared" si="393"/>
        <v>0</v>
      </c>
    </row>
    <row r="13910" spans="13:13" x14ac:dyDescent="0.25">
      <c r="M13910" s="34">
        <f t="shared" si="393"/>
        <v>0</v>
      </c>
    </row>
    <row r="13911" spans="13:13" x14ac:dyDescent="0.25">
      <c r="M13911" s="34">
        <f t="shared" si="393"/>
        <v>0</v>
      </c>
    </row>
    <row r="13912" spans="13:13" x14ac:dyDescent="0.25">
      <c r="M13912" s="34">
        <f t="shared" si="393"/>
        <v>0</v>
      </c>
    </row>
    <row r="13913" spans="13:13" x14ac:dyDescent="0.25">
      <c r="M13913" s="34">
        <f t="shared" si="393"/>
        <v>0</v>
      </c>
    </row>
    <row r="13914" spans="13:13" x14ac:dyDescent="0.25">
      <c r="M13914" s="34">
        <f t="shared" si="393"/>
        <v>0</v>
      </c>
    </row>
    <row r="13915" spans="13:13" x14ac:dyDescent="0.25">
      <c r="M13915" s="34">
        <f t="shared" si="393"/>
        <v>0</v>
      </c>
    </row>
    <row r="13916" spans="13:13" x14ac:dyDescent="0.25">
      <c r="M13916" s="34">
        <f t="shared" si="393"/>
        <v>0</v>
      </c>
    </row>
    <row r="13917" spans="13:13" x14ac:dyDescent="0.25">
      <c r="M13917" s="34">
        <f t="shared" si="393"/>
        <v>0</v>
      </c>
    </row>
    <row r="13918" spans="13:13" x14ac:dyDescent="0.25">
      <c r="M13918" s="34">
        <f t="shared" si="393"/>
        <v>0</v>
      </c>
    </row>
    <row r="13919" spans="13:13" x14ac:dyDescent="0.25">
      <c r="M13919" s="34">
        <f t="shared" si="393"/>
        <v>0</v>
      </c>
    </row>
    <row r="13920" spans="13:13" x14ac:dyDescent="0.25">
      <c r="M13920" s="34">
        <f t="shared" si="393"/>
        <v>0</v>
      </c>
    </row>
    <row r="13921" spans="13:13" x14ac:dyDescent="0.25">
      <c r="M13921" s="34">
        <f t="shared" si="393"/>
        <v>0</v>
      </c>
    </row>
    <row r="13922" spans="13:13" x14ac:dyDescent="0.25">
      <c r="M13922" s="34">
        <f t="shared" si="393"/>
        <v>0</v>
      </c>
    </row>
    <row r="13923" spans="13:13" x14ac:dyDescent="0.25">
      <c r="M13923" s="34">
        <f t="shared" si="393"/>
        <v>0</v>
      </c>
    </row>
    <row r="13924" spans="13:13" x14ac:dyDescent="0.25">
      <c r="M13924" s="34">
        <f t="shared" si="393"/>
        <v>0</v>
      </c>
    </row>
    <row r="13925" spans="13:13" x14ac:dyDescent="0.25">
      <c r="M13925" s="34">
        <f t="shared" si="393"/>
        <v>0</v>
      </c>
    </row>
    <row r="13926" spans="13:13" x14ac:dyDescent="0.25">
      <c r="M13926" s="34">
        <f t="shared" si="393"/>
        <v>0</v>
      </c>
    </row>
    <row r="13927" spans="13:13" x14ac:dyDescent="0.25">
      <c r="M13927" s="34">
        <f t="shared" si="393"/>
        <v>0</v>
      </c>
    </row>
    <row r="13928" spans="13:13" x14ac:dyDescent="0.25">
      <c r="M13928" s="34">
        <f t="shared" si="393"/>
        <v>0</v>
      </c>
    </row>
    <row r="13929" spans="13:13" x14ac:dyDescent="0.25">
      <c r="M13929" s="34">
        <f t="shared" si="393"/>
        <v>0</v>
      </c>
    </row>
    <row r="13930" spans="13:13" x14ac:dyDescent="0.25">
      <c r="M13930" s="34">
        <f t="shared" si="393"/>
        <v>0</v>
      </c>
    </row>
    <row r="13931" spans="13:13" x14ac:dyDescent="0.25">
      <c r="M13931" s="34">
        <f t="shared" si="393"/>
        <v>0</v>
      </c>
    </row>
    <row r="13932" spans="13:13" x14ac:dyDescent="0.25">
      <c r="M13932" s="34">
        <f t="shared" si="393"/>
        <v>0</v>
      </c>
    </row>
    <row r="13933" spans="13:13" x14ac:dyDescent="0.25">
      <c r="M13933" s="34">
        <f t="shared" si="393"/>
        <v>0</v>
      </c>
    </row>
    <row r="13934" spans="13:13" x14ac:dyDescent="0.25">
      <c r="M13934" s="34">
        <f t="shared" si="393"/>
        <v>0</v>
      </c>
    </row>
    <row r="13935" spans="13:13" x14ac:dyDescent="0.25">
      <c r="M13935" s="34">
        <f t="shared" si="393"/>
        <v>0</v>
      </c>
    </row>
    <row r="13936" spans="13:13" x14ac:dyDescent="0.25">
      <c r="M13936" s="34">
        <f t="shared" si="393"/>
        <v>0</v>
      </c>
    </row>
    <row r="13937" spans="13:13" x14ac:dyDescent="0.25">
      <c r="M13937" s="34">
        <f t="shared" si="393"/>
        <v>0</v>
      </c>
    </row>
    <row r="13938" spans="13:13" x14ac:dyDescent="0.25">
      <c r="M13938" s="34">
        <f t="shared" si="393"/>
        <v>0</v>
      </c>
    </row>
    <row r="13939" spans="13:13" x14ac:dyDescent="0.25">
      <c r="M13939" s="34">
        <f t="shared" si="393"/>
        <v>0</v>
      </c>
    </row>
    <row r="13940" spans="13:13" x14ac:dyDescent="0.25">
      <c r="M13940" s="34">
        <f t="shared" si="393"/>
        <v>0</v>
      </c>
    </row>
    <row r="13941" spans="13:13" x14ac:dyDescent="0.25">
      <c r="M13941" s="34">
        <f t="shared" si="393"/>
        <v>0</v>
      </c>
    </row>
    <row r="13942" spans="13:13" x14ac:dyDescent="0.25">
      <c r="M13942" s="34">
        <f t="shared" si="393"/>
        <v>0</v>
      </c>
    </row>
    <row r="13943" spans="13:13" x14ac:dyDescent="0.25">
      <c r="M13943" s="34">
        <f t="shared" si="393"/>
        <v>0</v>
      </c>
    </row>
    <row r="13944" spans="13:13" x14ac:dyDescent="0.25">
      <c r="M13944" s="34">
        <f t="shared" si="393"/>
        <v>0</v>
      </c>
    </row>
    <row r="13945" spans="13:13" x14ac:dyDescent="0.25">
      <c r="M13945" s="34">
        <f t="shared" si="393"/>
        <v>0</v>
      </c>
    </row>
    <row r="13946" spans="13:13" x14ac:dyDescent="0.25">
      <c r="M13946" s="34">
        <f t="shared" si="393"/>
        <v>0</v>
      </c>
    </row>
    <row r="13947" spans="13:13" x14ac:dyDescent="0.25">
      <c r="M13947" s="34">
        <f t="shared" si="393"/>
        <v>0</v>
      </c>
    </row>
    <row r="13948" spans="13:13" x14ac:dyDescent="0.25">
      <c r="M13948" s="34">
        <f t="shared" si="393"/>
        <v>0</v>
      </c>
    </row>
    <row r="13949" spans="13:13" x14ac:dyDescent="0.25">
      <c r="M13949" s="34">
        <f t="shared" si="393"/>
        <v>0</v>
      </c>
    </row>
    <row r="13950" spans="13:13" x14ac:dyDescent="0.25">
      <c r="M13950" s="34">
        <f t="shared" si="393"/>
        <v>0</v>
      </c>
    </row>
    <row r="13951" spans="13:13" x14ac:dyDescent="0.25">
      <c r="M13951" s="34">
        <f t="shared" si="393"/>
        <v>0</v>
      </c>
    </row>
    <row r="13952" spans="13:13" x14ac:dyDescent="0.25">
      <c r="M13952" s="34">
        <f t="shared" si="393"/>
        <v>0</v>
      </c>
    </row>
    <row r="13953" spans="13:13" x14ac:dyDescent="0.25">
      <c r="M13953" s="34">
        <f t="shared" si="393"/>
        <v>0</v>
      </c>
    </row>
    <row r="13954" spans="13:13" x14ac:dyDescent="0.25">
      <c r="M13954" s="34">
        <f t="shared" si="393"/>
        <v>0</v>
      </c>
    </row>
    <row r="13955" spans="13:13" x14ac:dyDescent="0.25">
      <c r="M13955" s="34">
        <f t="shared" ref="M13955:M14018" si="394">IF(AND(E13955="Chèque",G13955="RECETTE"),F13955,0)</f>
        <v>0</v>
      </c>
    </row>
    <row r="13956" spans="13:13" x14ac:dyDescent="0.25">
      <c r="M13956" s="34">
        <f t="shared" si="394"/>
        <v>0</v>
      </c>
    </row>
    <row r="13957" spans="13:13" x14ac:dyDescent="0.25">
      <c r="M13957" s="34">
        <f t="shared" si="394"/>
        <v>0</v>
      </c>
    </row>
    <row r="13958" spans="13:13" x14ac:dyDescent="0.25">
      <c r="M13958" s="34">
        <f t="shared" si="394"/>
        <v>0</v>
      </c>
    </row>
    <row r="13959" spans="13:13" x14ac:dyDescent="0.25">
      <c r="M13959" s="34">
        <f t="shared" si="394"/>
        <v>0</v>
      </c>
    </row>
    <row r="13960" spans="13:13" x14ac:dyDescent="0.25">
      <c r="M13960" s="34">
        <f t="shared" si="394"/>
        <v>0</v>
      </c>
    </row>
    <row r="13961" spans="13:13" x14ac:dyDescent="0.25">
      <c r="M13961" s="34">
        <f t="shared" si="394"/>
        <v>0</v>
      </c>
    </row>
    <row r="13962" spans="13:13" x14ac:dyDescent="0.25">
      <c r="M13962" s="34">
        <f t="shared" si="394"/>
        <v>0</v>
      </c>
    </row>
    <row r="13963" spans="13:13" x14ac:dyDescent="0.25">
      <c r="M13963" s="34">
        <f t="shared" si="394"/>
        <v>0</v>
      </c>
    </row>
    <row r="13964" spans="13:13" x14ac:dyDescent="0.25">
      <c r="M13964" s="34">
        <f t="shared" si="394"/>
        <v>0</v>
      </c>
    </row>
    <row r="13965" spans="13:13" x14ac:dyDescent="0.25">
      <c r="M13965" s="34">
        <f t="shared" si="394"/>
        <v>0</v>
      </c>
    </row>
    <row r="13966" spans="13:13" x14ac:dyDescent="0.25">
      <c r="M13966" s="34">
        <f t="shared" si="394"/>
        <v>0</v>
      </c>
    </row>
    <row r="13967" spans="13:13" x14ac:dyDescent="0.25">
      <c r="M13967" s="34">
        <f t="shared" si="394"/>
        <v>0</v>
      </c>
    </row>
    <row r="13968" spans="13:13" x14ac:dyDescent="0.25">
      <c r="M13968" s="34">
        <f t="shared" si="394"/>
        <v>0</v>
      </c>
    </row>
    <row r="13969" spans="13:13" x14ac:dyDescent="0.25">
      <c r="M13969" s="34">
        <f t="shared" si="394"/>
        <v>0</v>
      </c>
    </row>
    <row r="13970" spans="13:13" x14ac:dyDescent="0.25">
      <c r="M13970" s="34">
        <f t="shared" si="394"/>
        <v>0</v>
      </c>
    </row>
    <row r="13971" spans="13:13" x14ac:dyDescent="0.25">
      <c r="M13971" s="34">
        <f t="shared" si="394"/>
        <v>0</v>
      </c>
    </row>
    <row r="13972" spans="13:13" x14ac:dyDescent="0.25">
      <c r="M13972" s="34">
        <f t="shared" si="394"/>
        <v>0</v>
      </c>
    </row>
    <row r="13973" spans="13:13" x14ac:dyDescent="0.25">
      <c r="M13973" s="34">
        <f t="shared" si="394"/>
        <v>0</v>
      </c>
    </row>
    <row r="13974" spans="13:13" x14ac:dyDescent="0.25">
      <c r="M13974" s="34">
        <f t="shared" si="394"/>
        <v>0</v>
      </c>
    </row>
    <row r="13975" spans="13:13" x14ac:dyDescent="0.25">
      <c r="M13975" s="34">
        <f t="shared" si="394"/>
        <v>0</v>
      </c>
    </row>
    <row r="13976" spans="13:13" x14ac:dyDescent="0.25">
      <c r="M13976" s="34">
        <f t="shared" si="394"/>
        <v>0</v>
      </c>
    </row>
    <row r="13977" spans="13:13" x14ac:dyDescent="0.25">
      <c r="M13977" s="34">
        <f t="shared" si="394"/>
        <v>0</v>
      </c>
    </row>
    <row r="13978" spans="13:13" x14ac:dyDescent="0.25">
      <c r="M13978" s="34">
        <f t="shared" si="394"/>
        <v>0</v>
      </c>
    </row>
    <row r="13979" spans="13:13" x14ac:dyDescent="0.25">
      <c r="M13979" s="34">
        <f t="shared" si="394"/>
        <v>0</v>
      </c>
    </row>
    <row r="13980" spans="13:13" x14ac:dyDescent="0.25">
      <c r="M13980" s="34">
        <f t="shared" si="394"/>
        <v>0</v>
      </c>
    </row>
    <row r="13981" spans="13:13" x14ac:dyDescent="0.25">
      <c r="M13981" s="34">
        <f t="shared" si="394"/>
        <v>0</v>
      </c>
    </row>
    <row r="13982" spans="13:13" x14ac:dyDescent="0.25">
      <c r="M13982" s="34">
        <f t="shared" si="394"/>
        <v>0</v>
      </c>
    </row>
    <row r="13983" spans="13:13" x14ac:dyDescent="0.25">
      <c r="M13983" s="34">
        <f t="shared" si="394"/>
        <v>0</v>
      </c>
    </row>
    <row r="13984" spans="13:13" x14ac:dyDescent="0.25">
      <c r="M13984" s="34">
        <f t="shared" si="394"/>
        <v>0</v>
      </c>
    </row>
    <row r="13985" spans="13:13" x14ac:dyDescent="0.25">
      <c r="M13985" s="34">
        <f t="shared" si="394"/>
        <v>0</v>
      </c>
    </row>
    <row r="13986" spans="13:13" x14ac:dyDescent="0.25">
      <c r="M13986" s="34">
        <f t="shared" si="394"/>
        <v>0</v>
      </c>
    </row>
    <row r="13987" spans="13:13" x14ac:dyDescent="0.25">
      <c r="M13987" s="34">
        <f t="shared" si="394"/>
        <v>0</v>
      </c>
    </row>
    <row r="13988" spans="13:13" x14ac:dyDescent="0.25">
      <c r="M13988" s="34">
        <f t="shared" si="394"/>
        <v>0</v>
      </c>
    </row>
    <row r="13989" spans="13:13" x14ac:dyDescent="0.25">
      <c r="M13989" s="34">
        <f t="shared" si="394"/>
        <v>0</v>
      </c>
    </row>
    <row r="13990" spans="13:13" x14ac:dyDescent="0.25">
      <c r="M13990" s="34">
        <f t="shared" si="394"/>
        <v>0</v>
      </c>
    </row>
    <row r="13991" spans="13:13" x14ac:dyDescent="0.25">
      <c r="M13991" s="34">
        <f t="shared" si="394"/>
        <v>0</v>
      </c>
    </row>
    <row r="13992" spans="13:13" x14ac:dyDescent="0.25">
      <c r="M13992" s="34">
        <f t="shared" si="394"/>
        <v>0</v>
      </c>
    </row>
    <row r="13993" spans="13:13" x14ac:dyDescent="0.25">
      <c r="M13993" s="34">
        <f t="shared" si="394"/>
        <v>0</v>
      </c>
    </row>
    <row r="13994" spans="13:13" x14ac:dyDescent="0.25">
      <c r="M13994" s="34">
        <f t="shared" si="394"/>
        <v>0</v>
      </c>
    </row>
    <row r="13995" spans="13:13" x14ac:dyDescent="0.25">
      <c r="M13995" s="34">
        <f t="shared" si="394"/>
        <v>0</v>
      </c>
    </row>
    <row r="13996" spans="13:13" x14ac:dyDescent="0.25">
      <c r="M13996" s="34">
        <f t="shared" si="394"/>
        <v>0</v>
      </c>
    </row>
    <row r="13997" spans="13:13" x14ac:dyDescent="0.25">
      <c r="M13997" s="34">
        <f t="shared" si="394"/>
        <v>0</v>
      </c>
    </row>
    <row r="13998" spans="13:13" x14ac:dyDescent="0.25">
      <c r="M13998" s="34">
        <f t="shared" si="394"/>
        <v>0</v>
      </c>
    </row>
    <row r="13999" spans="13:13" x14ac:dyDescent="0.25">
      <c r="M13999" s="34">
        <f t="shared" si="394"/>
        <v>0</v>
      </c>
    </row>
    <row r="14000" spans="13:13" x14ac:dyDescent="0.25">
      <c r="M14000" s="34">
        <f t="shared" si="394"/>
        <v>0</v>
      </c>
    </row>
    <row r="14001" spans="13:13" x14ac:dyDescent="0.25">
      <c r="M14001" s="34">
        <f t="shared" si="394"/>
        <v>0</v>
      </c>
    </row>
    <row r="14002" spans="13:13" x14ac:dyDescent="0.25">
      <c r="M14002" s="34">
        <f t="shared" si="394"/>
        <v>0</v>
      </c>
    </row>
    <row r="14003" spans="13:13" x14ac:dyDescent="0.25">
      <c r="M14003" s="34">
        <f t="shared" si="394"/>
        <v>0</v>
      </c>
    </row>
    <row r="14004" spans="13:13" x14ac:dyDescent="0.25">
      <c r="M14004" s="34">
        <f t="shared" si="394"/>
        <v>0</v>
      </c>
    </row>
    <row r="14005" spans="13:13" x14ac:dyDescent="0.25">
      <c r="M14005" s="34">
        <f t="shared" si="394"/>
        <v>0</v>
      </c>
    </row>
    <row r="14006" spans="13:13" x14ac:dyDescent="0.25">
      <c r="M14006" s="34">
        <f t="shared" si="394"/>
        <v>0</v>
      </c>
    </row>
    <row r="14007" spans="13:13" x14ac:dyDescent="0.25">
      <c r="M14007" s="34">
        <f t="shared" si="394"/>
        <v>0</v>
      </c>
    </row>
    <row r="14008" spans="13:13" x14ac:dyDescent="0.25">
      <c r="M14008" s="34">
        <f t="shared" si="394"/>
        <v>0</v>
      </c>
    </row>
    <row r="14009" spans="13:13" x14ac:dyDescent="0.25">
      <c r="M14009" s="34">
        <f t="shared" si="394"/>
        <v>0</v>
      </c>
    </row>
    <row r="14010" spans="13:13" x14ac:dyDescent="0.25">
      <c r="M14010" s="34">
        <f t="shared" si="394"/>
        <v>0</v>
      </c>
    </row>
    <row r="14011" spans="13:13" x14ac:dyDescent="0.25">
      <c r="M14011" s="34">
        <f t="shared" si="394"/>
        <v>0</v>
      </c>
    </row>
    <row r="14012" spans="13:13" x14ac:dyDescent="0.25">
      <c r="M14012" s="34">
        <f t="shared" si="394"/>
        <v>0</v>
      </c>
    </row>
    <row r="14013" spans="13:13" x14ac:dyDescent="0.25">
      <c r="M14013" s="34">
        <f t="shared" si="394"/>
        <v>0</v>
      </c>
    </row>
    <row r="14014" spans="13:13" x14ac:dyDescent="0.25">
      <c r="M14014" s="34">
        <f t="shared" si="394"/>
        <v>0</v>
      </c>
    </row>
    <row r="14015" spans="13:13" x14ac:dyDescent="0.25">
      <c r="M14015" s="34">
        <f t="shared" si="394"/>
        <v>0</v>
      </c>
    </row>
    <row r="14016" spans="13:13" x14ac:dyDescent="0.25">
      <c r="M14016" s="34">
        <f t="shared" si="394"/>
        <v>0</v>
      </c>
    </row>
    <row r="14017" spans="13:13" x14ac:dyDescent="0.25">
      <c r="M14017" s="34">
        <f t="shared" si="394"/>
        <v>0</v>
      </c>
    </row>
    <row r="14018" spans="13:13" x14ac:dyDescent="0.25">
      <c r="M14018" s="34">
        <f t="shared" si="394"/>
        <v>0</v>
      </c>
    </row>
    <row r="14019" spans="13:13" x14ac:dyDescent="0.25">
      <c r="M14019" s="34">
        <f t="shared" ref="M14019:M14082" si="395">IF(AND(E14019="Chèque",G14019="RECETTE"),F14019,0)</f>
        <v>0</v>
      </c>
    </row>
    <row r="14020" spans="13:13" x14ac:dyDescent="0.25">
      <c r="M14020" s="34">
        <f t="shared" si="395"/>
        <v>0</v>
      </c>
    </row>
    <row r="14021" spans="13:13" x14ac:dyDescent="0.25">
      <c r="M14021" s="34">
        <f t="shared" si="395"/>
        <v>0</v>
      </c>
    </row>
    <row r="14022" spans="13:13" x14ac:dyDescent="0.25">
      <c r="M14022" s="34">
        <f t="shared" si="395"/>
        <v>0</v>
      </c>
    </row>
    <row r="14023" spans="13:13" x14ac:dyDescent="0.25">
      <c r="M14023" s="34">
        <f t="shared" si="395"/>
        <v>0</v>
      </c>
    </row>
    <row r="14024" spans="13:13" x14ac:dyDescent="0.25">
      <c r="M14024" s="34">
        <f t="shared" si="395"/>
        <v>0</v>
      </c>
    </row>
    <row r="14025" spans="13:13" x14ac:dyDescent="0.25">
      <c r="M14025" s="34">
        <f t="shared" si="395"/>
        <v>0</v>
      </c>
    </row>
    <row r="14026" spans="13:13" x14ac:dyDescent="0.25">
      <c r="M14026" s="34">
        <f t="shared" si="395"/>
        <v>0</v>
      </c>
    </row>
    <row r="14027" spans="13:13" x14ac:dyDescent="0.25">
      <c r="M14027" s="34">
        <f t="shared" si="395"/>
        <v>0</v>
      </c>
    </row>
    <row r="14028" spans="13:13" x14ac:dyDescent="0.25">
      <c r="M14028" s="34">
        <f t="shared" si="395"/>
        <v>0</v>
      </c>
    </row>
    <row r="14029" spans="13:13" x14ac:dyDescent="0.25">
      <c r="M14029" s="34">
        <f t="shared" si="395"/>
        <v>0</v>
      </c>
    </row>
    <row r="14030" spans="13:13" x14ac:dyDescent="0.25">
      <c r="M14030" s="34">
        <f t="shared" si="395"/>
        <v>0</v>
      </c>
    </row>
    <row r="14031" spans="13:13" x14ac:dyDescent="0.25">
      <c r="M14031" s="34">
        <f t="shared" si="395"/>
        <v>0</v>
      </c>
    </row>
    <row r="14032" spans="13:13" x14ac:dyDescent="0.25">
      <c r="M14032" s="34">
        <f t="shared" si="395"/>
        <v>0</v>
      </c>
    </row>
    <row r="14033" spans="13:13" x14ac:dyDescent="0.25">
      <c r="M14033" s="34">
        <f t="shared" si="395"/>
        <v>0</v>
      </c>
    </row>
    <row r="14034" spans="13:13" x14ac:dyDescent="0.25">
      <c r="M14034" s="34">
        <f t="shared" si="395"/>
        <v>0</v>
      </c>
    </row>
    <row r="14035" spans="13:13" x14ac:dyDescent="0.25">
      <c r="M14035" s="34">
        <f t="shared" si="395"/>
        <v>0</v>
      </c>
    </row>
    <row r="14036" spans="13:13" x14ac:dyDescent="0.25">
      <c r="M14036" s="34">
        <f t="shared" si="395"/>
        <v>0</v>
      </c>
    </row>
    <row r="14037" spans="13:13" x14ac:dyDescent="0.25">
      <c r="M14037" s="34">
        <f t="shared" si="395"/>
        <v>0</v>
      </c>
    </row>
    <row r="14038" spans="13:13" x14ac:dyDescent="0.25">
      <c r="M14038" s="34">
        <f t="shared" si="395"/>
        <v>0</v>
      </c>
    </row>
    <row r="14039" spans="13:13" x14ac:dyDescent="0.25">
      <c r="M14039" s="34">
        <f t="shared" si="395"/>
        <v>0</v>
      </c>
    </row>
    <row r="14040" spans="13:13" x14ac:dyDescent="0.25">
      <c r="M14040" s="34">
        <f t="shared" si="395"/>
        <v>0</v>
      </c>
    </row>
    <row r="14041" spans="13:13" x14ac:dyDescent="0.25">
      <c r="M14041" s="34">
        <f t="shared" si="395"/>
        <v>0</v>
      </c>
    </row>
    <row r="14042" spans="13:13" x14ac:dyDescent="0.25">
      <c r="M14042" s="34">
        <f t="shared" si="395"/>
        <v>0</v>
      </c>
    </row>
    <row r="14043" spans="13:13" x14ac:dyDescent="0.25">
      <c r="M14043" s="34">
        <f t="shared" si="395"/>
        <v>0</v>
      </c>
    </row>
    <row r="14044" spans="13:13" x14ac:dyDescent="0.25">
      <c r="M14044" s="34">
        <f t="shared" si="395"/>
        <v>0</v>
      </c>
    </row>
    <row r="14045" spans="13:13" x14ac:dyDescent="0.25">
      <c r="M14045" s="34">
        <f t="shared" si="395"/>
        <v>0</v>
      </c>
    </row>
    <row r="14046" spans="13:13" x14ac:dyDescent="0.25">
      <c r="M14046" s="34">
        <f t="shared" si="395"/>
        <v>0</v>
      </c>
    </row>
    <row r="14047" spans="13:13" x14ac:dyDescent="0.25">
      <c r="M14047" s="34">
        <f t="shared" si="395"/>
        <v>0</v>
      </c>
    </row>
    <row r="14048" spans="13:13" x14ac:dyDescent="0.25">
      <c r="M14048" s="34">
        <f t="shared" si="395"/>
        <v>0</v>
      </c>
    </row>
    <row r="14049" spans="13:13" x14ac:dyDescent="0.25">
      <c r="M14049" s="34">
        <f t="shared" si="395"/>
        <v>0</v>
      </c>
    </row>
    <row r="14050" spans="13:13" x14ac:dyDescent="0.25">
      <c r="M14050" s="34">
        <f t="shared" si="395"/>
        <v>0</v>
      </c>
    </row>
    <row r="14051" spans="13:13" x14ac:dyDescent="0.25">
      <c r="M14051" s="34">
        <f t="shared" si="395"/>
        <v>0</v>
      </c>
    </row>
    <row r="14052" spans="13:13" x14ac:dyDescent="0.25">
      <c r="M14052" s="34">
        <f t="shared" si="395"/>
        <v>0</v>
      </c>
    </row>
    <row r="14053" spans="13:13" x14ac:dyDescent="0.25">
      <c r="M14053" s="34">
        <f t="shared" si="395"/>
        <v>0</v>
      </c>
    </row>
    <row r="14054" spans="13:13" x14ac:dyDescent="0.25">
      <c r="M14054" s="34">
        <f t="shared" si="395"/>
        <v>0</v>
      </c>
    </row>
    <row r="14055" spans="13:13" x14ac:dyDescent="0.25">
      <c r="M14055" s="34">
        <f t="shared" si="395"/>
        <v>0</v>
      </c>
    </row>
    <row r="14056" spans="13:13" x14ac:dyDescent="0.25">
      <c r="M14056" s="34">
        <f t="shared" si="395"/>
        <v>0</v>
      </c>
    </row>
    <row r="14057" spans="13:13" x14ac:dyDescent="0.25">
      <c r="M14057" s="34">
        <f t="shared" si="395"/>
        <v>0</v>
      </c>
    </row>
    <row r="14058" spans="13:13" x14ac:dyDescent="0.25">
      <c r="M14058" s="34">
        <f t="shared" si="395"/>
        <v>0</v>
      </c>
    </row>
    <row r="14059" spans="13:13" x14ac:dyDescent="0.25">
      <c r="M14059" s="34">
        <f t="shared" si="395"/>
        <v>0</v>
      </c>
    </row>
    <row r="14060" spans="13:13" x14ac:dyDescent="0.25">
      <c r="M14060" s="34">
        <f t="shared" si="395"/>
        <v>0</v>
      </c>
    </row>
    <row r="14061" spans="13:13" x14ac:dyDescent="0.25">
      <c r="M14061" s="34">
        <f t="shared" si="395"/>
        <v>0</v>
      </c>
    </row>
    <row r="14062" spans="13:13" x14ac:dyDescent="0.25">
      <c r="M14062" s="34">
        <f t="shared" si="395"/>
        <v>0</v>
      </c>
    </row>
    <row r="14063" spans="13:13" x14ac:dyDescent="0.25">
      <c r="M14063" s="34">
        <f t="shared" si="395"/>
        <v>0</v>
      </c>
    </row>
    <row r="14064" spans="13:13" x14ac:dyDescent="0.25">
      <c r="M14064" s="34">
        <f t="shared" si="395"/>
        <v>0</v>
      </c>
    </row>
    <row r="14065" spans="13:13" x14ac:dyDescent="0.25">
      <c r="M14065" s="34">
        <f t="shared" si="395"/>
        <v>0</v>
      </c>
    </row>
    <row r="14066" spans="13:13" x14ac:dyDescent="0.25">
      <c r="M14066" s="34">
        <f t="shared" si="395"/>
        <v>0</v>
      </c>
    </row>
    <row r="14067" spans="13:13" x14ac:dyDescent="0.25">
      <c r="M14067" s="34">
        <f t="shared" si="395"/>
        <v>0</v>
      </c>
    </row>
    <row r="14068" spans="13:13" x14ac:dyDescent="0.25">
      <c r="M14068" s="34">
        <f t="shared" si="395"/>
        <v>0</v>
      </c>
    </row>
    <row r="14069" spans="13:13" x14ac:dyDescent="0.25">
      <c r="M14069" s="34">
        <f t="shared" si="395"/>
        <v>0</v>
      </c>
    </row>
    <row r="14070" spans="13:13" x14ac:dyDescent="0.25">
      <c r="M14070" s="34">
        <f t="shared" si="395"/>
        <v>0</v>
      </c>
    </row>
    <row r="14071" spans="13:13" x14ac:dyDescent="0.25">
      <c r="M14071" s="34">
        <f t="shared" si="395"/>
        <v>0</v>
      </c>
    </row>
    <row r="14072" spans="13:13" x14ac:dyDescent="0.25">
      <c r="M14072" s="34">
        <f t="shared" si="395"/>
        <v>0</v>
      </c>
    </row>
    <row r="14073" spans="13:13" x14ac:dyDescent="0.25">
      <c r="M14073" s="34">
        <f t="shared" si="395"/>
        <v>0</v>
      </c>
    </row>
    <row r="14074" spans="13:13" x14ac:dyDescent="0.25">
      <c r="M14074" s="34">
        <f t="shared" si="395"/>
        <v>0</v>
      </c>
    </row>
    <row r="14075" spans="13:13" x14ac:dyDescent="0.25">
      <c r="M14075" s="34">
        <f t="shared" si="395"/>
        <v>0</v>
      </c>
    </row>
    <row r="14076" spans="13:13" x14ac:dyDescent="0.25">
      <c r="M14076" s="34">
        <f t="shared" si="395"/>
        <v>0</v>
      </c>
    </row>
    <row r="14077" spans="13:13" x14ac:dyDescent="0.25">
      <c r="M14077" s="34">
        <f t="shared" si="395"/>
        <v>0</v>
      </c>
    </row>
    <row r="14078" spans="13:13" x14ac:dyDescent="0.25">
      <c r="M14078" s="34">
        <f t="shared" si="395"/>
        <v>0</v>
      </c>
    </row>
    <row r="14079" spans="13:13" x14ac:dyDescent="0.25">
      <c r="M14079" s="34">
        <f t="shared" si="395"/>
        <v>0</v>
      </c>
    </row>
    <row r="14080" spans="13:13" x14ac:dyDescent="0.25">
      <c r="M14080" s="34">
        <f t="shared" si="395"/>
        <v>0</v>
      </c>
    </row>
    <row r="14081" spans="13:13" x14ac:dyDescent="0.25">
      <c r="M14081" s="34">
        <f t="shared" si="395"/>
        <v>0</v>
      </c>
    </row>
    <row r="14082" spans="13:13" x14ac:dyDescent="0.25">
      <c r="M14082" s="34">
        <f t="shared" si="395"/>
        <v>0</v>
      </c>
    </row>
    <row r="14083" spans="13:13" x14ac:dyDescent="0.25">
      <c r="M14083" s="34">
        <f t="shared" ref="M14083:M14146" si="396">IF(AND(E14083="Chèque",G14083="RECETTE"),F14083,0)</f>
        <v>0</v>
      </c>
    </row>
    <row r="14084" spans="13:13" x14ac:dyDescent="0.25">
      <c r="M14084" s="34">
        <f t="shared" si="396"/>
        <v>0</v>
      </c>
    </row>
    <row r="14085" spans="13:13" x14ac:dyDescent="0.25">
      <c r="M14085" s="34">
        <f t="shared" si="396"/>
        <v>0</v>
      </c>
    </row>
    <row r="14086" spans="13:13" x14ac:dyDescent="0.25">
      <c r="M14086" s="34">
        <f t="shared" si="396"/>
        <v>0</v>
      </c>
    </row>
    <row r="14087" spans="13:13" x14ac:dyDescent="0.25">
      <c r="M14087" s="34">
        <f t="shared" si="396"/>
        <v>0</v>
      </c>
    </row>
    <row r="14088" spans="13:13" x14ac:dyDescent="0.25">
      <c r="M14088" s="34">
        <f t="shared" si="396"/>
        <v>0</v>
      </c>
    </row>
    <row r="14089" spans="13:13" x14ac:dyDescent="0.25">
      <c r="M14089" s="34">
        <f t="shared" si="396"/>
        <v>0</v>
      </c>
    </row>
    <row r="14090" spans="13:13" x14ac:dyDescent="0.25">
      <c r="M14090" s="34">
        <f t="shared" si="396"/>
        <v>0</v>
      </c>
    </row>
    <row r="14091" spans="13:13" x14ac:dyDescent="0.25">
      <c r="M14091" s="34">
        <f t="shared" si="396"/>
        <v>0</v>
      </c>
    </row>
    <row r="14092" spans="13:13" x14ac:dyDescent="0.25">
      <c r="M14092" s="34">
        <f t="shared" si="396"/>
        <v>0</v>
      </c>
    </row>
    <row r="14093" spans="13:13" x14ac:dyDescent="0.25">
      <c r="M14093" s="34">
        <f t="shared" si="396"/>
        <v>0</v>
      </c>
    </row>
    <row r="14094" spans="13:13" x14ac:dyDescent="0.25">
      <c r="M14094" s="34">
        <f t="shared" si="396"/>
        <v>0</v>
      </c>
    </row>
    <row r="14095" spans="13:13" x14ac:dyDescent="0.25">
      <c r="M14095" s="34">
        <f t="shared" si="396"/>
        <v>0</v>
      </c>
    </row>
    <row r="14096" spans="13:13" x14ac:dyDescent="0.25">
      <c r="M14096" s="34">
        <f t="shared" si="396"/>
        <v>0</v>
      </c>
    </row>
    <row r="14097" spans="13:13" x14ac:dyDescent="0.25">
      <c r="M14097" s="34">
        <f t="shared" si="396"/>
        <v>0</v>
      </c>
    </row>
    <row r="14098" spans="13:13" x14ac:dyDescent="0.25">
      <c r="M14098" s="34">
        <f t="shared" si="396"/>
        <v>0</v>
      </c>
    </row>
    <row r="14099" spans="13:13" x14ac:dyDescent="0.25">
      <c r="M14099" s="34">
        <f t="shared" si="396"/>
        <v>0</v>
      </c>
    </row>
    <row r="14100" spans="13:13" x14ac:dyDescent="0.25">
      <c r="M14100" s="34">
        <f t="shared" si="396"/>
        <v>0</v>
      </c>
    </row>
    <row r="14101" spans="13:13" x14ac:dyDescent="0.25">
      <c r="M14101" s="34">
        <f t="shared" si="396"/>
        <v>0</v>
      </c>
    </row>
    <row r="14102" spans="13:13" x14ac:dyDescent="0.25">
      <c r="M14102" s="34">
        <f t="shared" si="396"/>
        <v>0</v>
      </c>
    </row>
    <row r="14103" spans="13:13" x14ac:dyDescent="0.25">
      <c r="M14103" s="34">
        <f t="shared" si="396"/>
        <v>0</v>
      </c>
    </row>
    <row r="14104" spans="13:13" x14ac:dyDescent="0.25">
      <c r="M14104" s="34">
        <f t="shared" si="396"/>
        <v>0</v>
      </c>
    </row>
    <row r="14105" spans="13:13" x14ac:dyDescent="0.25">
      <c r="M14105" s="34">
        <f t="shared" si="396"/>
        <v>0</v>
      </c>
    </row>
    <row r="14106" spans="13:13" x14ac:dyDescent="0.25">
      <c r="M14106" s="34">
        <f t="shared" si="396"/>
        <v>0</v>
      </c>
    </row>
    <row r="14107" spans="13:13" x14ac:dyDescent="0.25">
      <c r="M14107" s="34">
        <f t="shared" si="396"/>
        <v>0</v>
      </c>
    </row>
    <row r="14108" spans="13:13" x14ac:dyDescent="0.25">
      <c r="M14108" s="34">
        <f t="shared" si="396"/>
        <v>0</v>
      </c>
    </row>
    <row r="14109" spans="13:13" x14ac:dyDescent="0.25">
      <c r="M14109" s="34">
        <f t="shared" si="396"/>
        <v>0</v>
      </c>
    </row>
    <row r="14110" spans="13:13" x14ac:dyDescent="0.25">
      <c r="M14110" s="34">
        <f t="shared" si="396"/>
        <v>0</v>
      </c>
    </row>
    <row r="14111" spans="13:13" x14ac:dyDescent="0.25">
      <c r="M14111" s="34">
        <f t="shared" si="396"/>
        <v>0</v>
      </c>
    </row>
    <row r="14112" spans="13:13" x14ac:dyDescent="0.25">
      <c r="M14112" s="34">
        <f t="shared" si="396"/>
        <v>0</v>
      </c>
    </row>
    <row r="14113" spans="13:13" x14ac:dyDescent="0.25">
      <c r="M14113" s="34">
        <f t="shared" si="396"/>
        <v>0</v>
      </c>
    </row>
    <row r="14114" spans="13:13" x14ac:dyDescent="0.25">
      <c r="M14114" s="34">
        <f t="shared" si="396"/>
        <v>0</v>
      </c>
    </row>
    <row r="14115" spans="13:13" x14ac:dyDescent="0.25">
      <c r="M14115" s="34">
        <f t="shared" si="396"/>
        <v>0</v>
      </c>
    </row>
    <row r="14116" spans="13:13" x14ac:dyDescent="0.25">
      <c r="M14116" s="34">
        <f t="shared" si="396"/>
        <v>0</v>
      </c>
    </row>
    <row r="14117" spans="13:13" x14ac:dyDescent="0.25">
      <c r="M14117" s="34">
        <f t="shared" si="396"/>
        <v>0</v>
      </c>
    </row>
    <row r="14118" spans="13:13" x14ac:dyDescent="0.25">
      <c r="M14118" s="34">
        <f t="shared" si="396"/>
        <v>0</v>
      </c>
    </row>
    <row r="14119" spans="13:13" x14ac:dyDescent="0.25">
      <c r="M14119" s="34">
        <f t="shared" si="396"/>
        <v>0</v>
      </c>
    </row>
    <row r="14120" spans="13:13" x14ac:dyDescent="0.25">
      <c r="M14120" s="34">
        <f t="shared" si="396"/>
        <v>0</v>
      </c>
    </row>
    <row r="14121" spans="13:13" x14ac:dyDescent="0.25">
      <c r="M14121" s="34">
        <f t="shared" si="396"/>
        <v>0</v>
      </c>
    </row>
    <row r="14122" spans="13:13" x14ac:dyDescent="0.25">
      <c r="M14122" s="34">
        <f t="shared" si="396"/>
        <v>0</v>
      </c>
    </row>
    <row r="14123" spans="13:13" x14ac:dyDescent="0.25">
      <c r="M14123" s="34">
        <f t="shared" si="396"/>
        <v>0</v>
      </c>
    </row>
    <row r="14124" spans="13:13" x14ac:dyDescent="0.25">
      <c r="M14124" s="34">
        <f t="shared" si="396"/>
        <v>0</v>
      </c>
    </row>
    <row r="14125" spans="13:13" x14ac:dyDescent="0.25">
      <c r="M14125" s="34">
        <f t="shared" si="396"/>
        <v>0</v>
      </c>
    </row>
    <row r="14126" spans="13:13" x14ac:dyDescent="0.25">
      <c r="M14126" s="34">
        <f t="shared" si="396"/>
        <v>0</v>
      </c>
    </row>
    <row r="14127" spans="13:13" x14ac:dyDescent="0.25">
      <c r="M14127" s="34">
        <f t="shared" si="396"/>
        <v>0</v>
      </c>
    </row>
    <row r="14128" spans="13:13" x14ac:dyDescent="0.25">
      <c r="M14128" s="34">
        <f t="shared" si="396"/>
        <v>0</v>
      </c>
    </row>
    <row r="14129" spans="13:13" x14ac:dyDescent="0.25">
      <c r="M14129" s="34">
        <f t="shared" si="396"/>
        <v>0</v>
      </c>
    </row>
    <row r="14130" spans="13:13" x14ac:dyDescent="0.25">
      <c r="M14130" s="34">
        <f t="shared" si="396"/>
        <v>0</v>
      </c>
    </row>
    <row r="14131" spans="13:13" x14ac:dyDescent="0.25">
      <c r="M14131" s="34">
        <f t="shared" si="396"/>
        <v>0</v>
      </c>
    </row>
    <row r="14132" spans="13:13" x14ac:dyDescent="0.25">
      <c r="M14132" s="34">
        <f t="shared" si="396"/>
        <v>0</v>
      </c>
    </row>
    <row r="14133" spans="13:13" x14ac:dyDescent="0.25">
      <c r="M14133" s="34">
        <f t="shared" si="396"/>
        <v>0</v>
      </c>
    </row>
    <row r="14134" spans="13:13" x14ac:dyDescent="0.25">
      <c r="M14134" s="34">
        <f t="shared" si="396"/>
        <v>0</v>
      </c>
    </row>
    <row r="14135" spans="13:13" x14ac:dyDescent="0.25">
      <c r="M14135" s="34">
        <f t="shared" si="396"/>
        <v>0</v>
      </c>
    </row>
    <row r="14136" spans="13:13" x14ac:dyDescent="0.25">
      <c r="M14136" s="34">
        <f t="shared" si="396"/>
        <v>0</v>
      </c>
    </row>
    <row r="14137" spans="13:13" x14ac:dyDescent="0.25">
      <c r="M14137" s="34">
        <f t="shared" si="396"/>
        <v>0</v>
      </c>
    </row>
    <row r="14138" spans="13:13" x14ac:dyDescent="0.25">
      <c r="M14138" s="34">
        <f t="shared" si="396"/>
        <v>0</v>
      </c>
    </row>
    <row r="14139" spans="13:13" x14ac:dyDescent="0.25">
      <c r="M14139" s="34">
        <f t="shared" si="396"/>
        <v>0</v>
      </c>
    </row>
    <row r="14140" spans="13:13" x14ac:dyDescent="0.25">
      <c r="M14140" s="34">
        <f t="shared" si="396"/>
        <v>0</v>
      </c>
    </row>
    <row r="14141" spans="13:13" x14ac:dyDescent="0.25">
      <c r="M14141" s="34">
        <f t="shared" si="396"/>
        <v>0</v>
      </c>
    </row>
    <row r="14142" spans="13:13" x14ac:dyDescent="0.25">
      <c r="M14142" s="34">
        <f t="shared" si="396"/>
        <v>0</v>
      </c>
    </row>
    <row r="14143" spans="13:13" x14ac:dyDescent="0.25">
      <c r="M14143" s="34">
        <f t="shared" si="396"/>
        <v>0</v>
      </c>
    </row>
    <row r="14144" spans="13:13" x14ac:dyDescent="0.25">
      <c r="M14144" s="34">
        <f t="shared" si="396"/>
        <v>0</v>
      </c>
    </row>
    <row r="14145" spans="13:13" x14ac:dyDescent="0.25">
      <c r="M14145" s="34">
        <f t="shared" si="396"/>
        <v>0</v>
      </c>
    </row>
    <row r="14146" spans="13:13" x14ac:dyDescent="0.25">
      <c r="M14146" s="34">
        <f t="shared" si="396"/>
        <v>0</v>
      </c>
    </row>
    <row r="14147" spans="13:13" x14ac:dyDescent="0.25">
      <c r="M14147" s="34">
        <f t="shared" ref="M14147:M14210" si="397">IF(AND(E14147="Chèque",G14147="RECETTE"),F14147,0)</f>
        <v>0</v>
      </c>
    </row>
    <row r="14148" spans="13:13" x14ac:dyDescent="0.25">
      <c r="M14148" s="34">
        <f t="shared" si="397"/>
        <v>0</v>
      </c>
    </row>
    <row r="14149" spans="13:13" x14ac:dyDescent="0.25">
      <c r="M14149" s="34">
        <f t="shared" si="397"/>
        <v>0</v>
      </c>
    </row>
    <row r="14150" spans="13:13" x14ac:dyDescent="0.25">
      <c r="M14150" s="34">
        <f t="shared" si="397"/>
        <v>0</v>
      </c>
    </row>
    <row r="14151" spans="13:13" x14ac:dyDescent="0.25">
      <c r="M14151" s="34">
        <f t="shared" si="397"/>
        <v>0</v>
      </c>
    </row>
    <row r="14152" spans="13:13" x14ac:dyDescent="0.25">
      <c r="M14152" s="34">
        <f t="shared" si="397"/>
        <v>0</v>
      </c>
    </row>
    <row r="14153" spans="13:13" x14ac:dyDescent="0.25">
      <c r="M14153" s="34">
        <f t="shared" si="397"/>
        <v>0</v>
      </c>
    </row>
    <row r="14154" spans="13:13" x14ac:dyDescent="0.25">
      <c r="M14154" s="34">
        <f t="shared" si="397"/>
        <v>0</v>
      </c>
    </row>
    <row r="14155" spans="13:13" x14ac:dyDescent="0.25">
      <c r="M14155" s="34">
        <f t="shared" si="397"/>
        <v>0</v>
      </c>
    </row>
    <row r="14156" spans="13:13" x14ac:dyDescent="0.25">
      <c r="M14156" s="34">
        <f t="shared" si="397"/>
        <v>0</v>
      </c>
    </row>
    <row r="14157" spans="13:13" x14ac:dyDescent="0.25">
      <c r="M14157" s="34">
        <f t="shared" si="397"/>
        <v>0</v>
      </c>
    </row>
    <row r="14158" spans="13:13" x14ac:dyDescent="0.25">
      <c r="M14158" s="34">
        <f t="shared" si="397"/>
        <v>0</v>
      </c>
    </row>
    <row r="14159" spans="13:13" x14ac:dyDescent="0.25">
      <c r="M14159" s="34">
        <f t="shared" si="397"/>
        <v>0</v>
      </c>
    </row>
    <row r="14160" spans="13:13" x14ac:dyDescent="0.25">
      <c r="M14160" s="34">
        <f t="shared" si="397"/>
        <v>0</v>
      </c>
    </row>
    <row r="14161" spans="13:13" x14ac:dyDescent="0.25">
      <c r="M14161" s="34">
        <f t="shared" si="397"/>
        <v>0</v>
      </c>
    </row>
    <row r="14162" spans="13:13" x14ac:dyDescent="0.25">
      <c r="M14162" s="34">
        <f t="shared" si="397"/>
        <v>0</v>
      </c>
    </row>
    <row r="14163" spans="13:13" x14ac:dyDescent="0.25">
      <c r="M14163" s="34">
        <f t="shared" si="397"/>
        <v>0</v>
      </c>
    </row>
    <row r="14164" spans="13:13" x14ac:dyDescent="0.25">
      <c r="M14164" s="34">
        <f t="shared" si="397"/>
        <v>0</v>
      </c>
    </row>
    <row r="14165" spans="13:13" x14ac:dyDescent="0.25">
      <c r="M14165" s="34">
        <f t="shared" si="397"/>
        <v>0</v>
      </c>
    </row>
    <row r="14166" spans="13:13" x14ac:dyDescent="0.25">
      <c r="M14166" s="34">
        <f t="shared" si="397"/>
        <v>0</v>
      </c>
    </row>
    <row r="14167" spans="13:13" x14ac:dyDescent="0.25">
      <c r="M14167" s="34">
        <f t="shared" si="397"/>
        <v>0</v>
      </c>
    </row>
    <row r="14168" spans="13:13" x14ac:dyDescent="0.25">
      <c r="M14168" s="34">
        <f t="shared" si="397"/>
        <v>0</v>
      </c>
    </row>
    <row r="14169" spans="13:13" x14ac:dyDescent="0.25">
      <c r="M14169" s="34">
        <f t="shared" si="397"/>
        <v>0</v>
      </c>
    </row>
    <row r="14170" spans="13:13" x14ac:dyDescent="0.25">
      <c r="M14170" s="34">
        <f t="shared" si="397"/>
        <v>0</v>
      </c>
    </row>
    <row r="14171" spans="13:13" x14ac:dyDescent="0.25">
      <c r="M14171" s="34">
        <f t="shared" si="397"/>
        <v>0</v>
      </c>
    </row>
    <row r="14172" spans="13:13" x14ac:dyDescent="0.25">
      <c r="M14172" s="34">
        <f t="shared" si="397"/>
        <v>0</v>
      </c>
    </row>
    <row r="14173" spans="13:13" x14ac:dyDescent="0.25">
      <c r="M14173" s="34">
        <f t="shared" si="397"/>
        <v>0</v>
      </c>
    </row>
    <row r="14174" spans="13:13" x14ac:dyDescent="0.25">
      <c r="M14174" s="34">
        <f t="shared" si="397"/>
        <v>0</v>
      </c>
    </row>
    <row r="14175" spans="13:13" x14ac:dyDescent="0.25">
      <c r="M14175" s="34">
        <f t="shared" si="397"/>
        <v>0</v>
      </c>
    </row>
    <row r="14176" spans="13:13" x14ac:dyDescent="0.25">
      <c r="M14176" s="34">
        <f t="shared" si="397"/>
        <v>0</v>
      </c>
    </row>
    <row r="14177" spans="13:13" x14ac:dyDescent="0.25">
      <c r="M14177" s="34">
        <f t="shared" si="397"/>
        <v>0</v>
      </c>
    </row>
    <row r="14178" spans="13:13" x14ac:dyDescent="0.25">
      <c r="M14178" s="34">
        <f t="shared" si="397"/>
        <v>0</v>
      </c>
    </row>
    <row r="14179" spans="13:13" x14ac:dyDescent="0.25">
      <c r="M14179" s="34">
        <f t="shared" si="397"/>
        <v>0</v>
      </c>
    </row>
    <row r="14180" spans="13:13" x14ac:dyDescent="0.25">
      <c r="M14180" s="34">
        <f t="shared" si="397"/>
        <v>0</v>
      </c>
    </row>
    <row r="14181" spans="13:13" x14ac:dyDescent="0.25">
      <c r="M14181" s="34">
        <f t="shared" si="397"/>
        <v>0</v>
      </c>
    </row>
    <row r="14182" spans="13:13" x14ac:dyDescent="0.25">
      <c r="M14182" s="34">
        <f t="shared" si="397"/>
        <v>0</v>
      </c>
    </row>
    <row r="14183" spans="13:13" x14ac:dyDescent="0.25">
      <c r="M14183" s="34">
        <f t="shared" si="397"/>
        <v>0</v>
      </c>
    </row>
    <row r="14184" spans="13:13" x14ac:dyDescent="0.25">
      <c r="M14184" s="34">
        <f t="shared" si="397"/>
        <v>0</v>
      </c>
    </row>
    <row r="14185" spans="13:13" x14ac:dyDescent="0.25">
      <c r="M14185" s="34">
        <f t="shared" si="397"/>
        <v>0</v>
      </c>
    </row>
    <row r="14186" spans="13:13" x14ac:dyDescent="0.25">
      <c r="M14186" s="34">
        <f t="shared" si="397"/>
        <v>0</v>
      </c>
    </row>
    <row r="14187" spans="13:13" x14ac:dyDescent="0.25">
      <c r="M14187" s="34">
        <f t="shared" si="397"/>
        <v>0</v>
      </c>
    </row>
    <row r="14188" spans="13:13" x14ac:dyDescent="0.25">
      <c r="M14188" s="34">
        <f t="shared" si="397"/>
        <v>0</v>
      </c>
    </row>
    <row r="14189" spans="13:13" x14ac:dyDescent="0.25">
      <c r="M14189" s="34">
        <f t="shared" si="397"/>
        <v>0</v>
      </c>
    </row>
    <row r="14190" spans="13:13" x14ac:dyDescent="0.25">
      <c r="M14190" s="34">
        <f t="shared" si="397"/>
        <v>0</v>
      </c>
    </row>
    <row r="14191" spans="13:13" x14ac:dyDescent="0.25">
      <c r="M14191" s="34">
        <f t="shared" si="397"/>
        <v>0</v>
      </c>
    </row>
    <row r="14192" spans="13:13" x14ac:dyDescent="0.25">
      <c r="M14192" s="34">
        <f t="shared" si="397"/>
        <v>0</v>
      </c>
    </row>
    <row r="14193" spans="13:13" x14ac:dyDescent="0.25">
      <c r="M14193" s="34">
        <f t="shared" si="397"/>
        <v>0</v>
      </c>
    </row>
    <row r="14194" spans="13:13" x14ac:dyDescent="0.25">
      <c r="M14194" s="34">
        <f t="shared" si="397"/>
        <v>0</v>
      </c>
    </row>
    <row r="14195" spans="13:13" x14ac:dyDescent="0.25">
      <c r="M14195" s="34">
        <f t="shared" si="397"/>
        <v>0</v>
      </c>
    </row>
    <row r="14196" spans="13:13" x14ac:dyDescent="0.25">
      <c r="M14196" s="34">
        <f t="shared" si="397"/>
        <v>0</v>
      </c>
    </row>
    <row r="14197" spans="13:13" x14ac:dyDescent="0.25">
      <c r="M14197" s="34">
        <f t="shared" si="397"/>
        <v>0</v>
      </c>
    </row>
    <row r="14198" spans="13:13" x14ac:dyDescent="0.25">
      <c r="M14198" s="34">
        <f t="shared" si="397"/>
        <v>0</v>
      </c>
    </row>
    <row r="14199" spans="13:13" x14ac:dyDescent="0.25">
      <c r="M14199" s="34">
        <f t="shared" si="397"/>
        <v>0</v>
      </c>
    </row>
    <row r="14200" spans="13:13" x14ac:dyDescent="0.25">
      <c r="M14200" s="34">
        <f t="shared" si="397"/>
        <v>0</v>
      </c>
    </row>
    <row r="14201" spans="13:13" x14ac:dyDescent="0.25">
      <c r="M14201" s="34">
        <f t="shared" si="397"/>
        <v>0</v>
      </c>
    </row>
    <row r="14202" spans="13:13" x14ac:dyDescent="0.25">
      <c r="M14202" s="34">
        <f t="shared" si="397"/>
        <v>0</v>
      </c>
    </row>
    <row r="14203" spans="13:13" x14ac:dyDescent="0.25">
      <c r="M14203" s="34">
        <f t="shared" si="397"/>
        <v>0</v>
      </c>
    </row>
    <row r="14204" spans="13:13" x14ac:dyDescent="0.25">
      <c r="M14204" s="34">
        <f t="shared" si="397"/>
        <v>0</v>
      </c>
    </row>
    <row r="14205" spans="13:13" x14ac:dyDescent="0.25">
      <c r="M14205" s="34">
        <f t="shared" si="397"/>
        <v>0</v>
      </c>
    </row>
    <row r="14206" spans="13:13" x14ac:dyDescent="0.25">
      <c r="M14206" s="34">
        <f t="shared" si="397"/>
        <v>0</v>
      </c>
    </row>
    <row r="14207" spans="13:13" x14ac:dyDescent="0.25">
      <c r="M14207" s="34">
        <f t="shared" si="397"/>
        <v>0</v>
      </c>
    </row>
    <row r="14208" spans="13:13" x14ac:dyDescent="0.25">
      <c r="M14208" s="34">
        <f t="shared" si="397"/>
        <v>0</v>
      </c>
    </row>
    <row r="14209" spans="13:13" x14ac:dyDescent="0.25">
      <c r="M14209" s="34">
        <f t="shared" si="397"/>
        <v>0</v>
      </c>
    </row>
    <row r="14210" spans="13:13" x14ac:dyDescent="0.25">
      <c r="M14210" s="34">
        <f t="shared" si="397"/>
        <v>0</v>
      </c>
    </row>
    <row r="14211" spans="13:13" x14ac:dyDescent="0.25">
      <c r="M14211" s="34">
        <f t="shared" ref="M14211:M14274" si="398">IF(AND(E14211="Chèque",G14211="RECETTE"),F14211,0)</f>
        <v>0</v>
      </c>
    </row>
    <row r="14212" spans="13:13" x14ac:dyDescent="0.25">
      <c r="M14212" s="34">
        <f t="shared" si="398"/>
        <v>0</v>
      </c>
    </row>
    <row r="14213" spans="13:13" x14ac:dyDescent="0.25">
      <c r="M14213" s="34">
        <f t="shared" si="398"/>
        <v>0</v>
      </c>
    </row>
    <row r="14214" spans="13:13" x14ac:dyDescent="0.25">
      <c r="M14214" s="34">
        <f t="shared" si="398"/>
        <v>0</v>
      </c>
    </row>
    <row r="14215" spans="13:13" x14ac:dyDescent="0.25">
      <c r="M14215" s="34">
        <f t="shared" si="398"/>
        <v>0</v>
      </c>
    </row>
    <row r="14216" spans="13:13" x14ac:dyDescent="0.25">
      <c r="M14216" s="34">
        <f t="shared" si="398"/>
        <v>0</v>
      </c>
    </row>
    <row r="14217" spans="13:13" x14ac:dyDescent="0.25">
      <c r="M14217" s="34">
        <f t="shared" si="398"/>
        <v>0</v>
      </c>
    </row>
    <row r="14218" spans="13:13" x14ac:dyDescent="0.25">
      <c r="M14218" s="34">
        <f t="shared" si="398"/>
        <v>0</v>
      </c>
    </row>
    <row r="14219" spans="13:13" x14ac:dyDescent="0.25">
      <c r="M14219" s="34">
        <f t="shared" si="398"/>
        <v>0</v>
      </c>
    </row>
    <row r="14220" spans="13:13" x14ac:dyDescent="0.25">
      <c r="M14220" s="34">
        <f t="shared" si="398"/>
        <v>0</v>
      </c>
    </row>
    <row r="14221" spans="13:13" x14ac:dyDescent="0.25">
      <c r="M14221" s="34">
        <f t="shared" si="398"/>
        <v>0</v>
      </c>
    </row>
    <row r="14222" spans="13:13" x14ac:dyDescent="0.25">
      <c r="M14222" s="34">
        <f t="shared" si="398"/>
        <v>0</v>
      </c>
    </row>
    <row r="14223" spans="13:13" x14ac:dyDescent="0.25">
      <c r="M14223" s="34">
        <f t="shared" si="398"/>
        <v>0</v>
      </c>
    </row>
    <row r="14224" spans="13:13" x14ac:dyDescent="0.25">
      <c r="M14224" s="34">
        <f t="shared" si="398"/>
        <v>0</v>
      </c>
    </row>
    <row r="14225" spans="13:13" x14ac:dyDescent="0.25">
      <c r="M14225" s="34">
        <f t="shared" si="398"/>
        <v>0</v>
      </c>
    </row>
    <row r="14226" spans="13:13" x14ac:dyDescent="0.25">
      <c r="M14226" s="34">
        <f t="shared" si="398"/>
        <v>0</v>
      </c>
    </row>
    <row r="14227" spans="13:13" x14ac:dyDescent="0.25">
      <c r="M14227" s="34">
        <f t="shared" si="398"/>
        <v>0</v>
      </c>
    </row>
    <row r="14228" spans="13:13" x14ac:dyDescent="0.25">
      <c r="M14228" s="34">
        <f t="shared" si="398"/>
        <v>0</v>
      </c>
    </row>
    <row r="14229" spans="13:13" x14ac:dyDescent="0.25">
      <c r="M14229" s="34">
        <f t="shared" si="398"/>
        <v>0</v>
      </c>
    </row>
    <row r="14230" spans="13:13" x14ac:dyDescent="0.25">
      <c r="M14230" s="34">
        <f t="shared" si="398"/>
        <v>0</v>
      </c>
    </row>
    <row r="14231" spans="13:13" x14ac:dyDescent="0.25">
      <c r="M14231" s="34">
        <f t="shared" si="398"/>
        <v>0</v>
      </c>
    </row>
    <row r="14232" spans="13:13" x14ac:dyDescent="0.25">
      <c r="M14232" s="34">
        <f t="shared" si="398"/>
        <v>0</v>
      </c>
    </row>
    <row r="14233" spans="13:13" x14ac:dyDescent="0.25">
      <c r="M14233" s="34">
        <f t="shared" si="398"/>
        <v>0</v>
      </c>
    </row>
    <row r="14234" spans="13:13" x14ac:dyDescent="0.25">
      <c r="M14234" s="34">
        <f t="shared" si="398"/>
        <v>0</v>
      </c>
    </row>
    <row r="14235" spans="13:13" x14ac:dyDescent="0.25">
      <c r="M14235" s="34">
        <f t="shared" si="398"/>
        <v>0</v>
      </c>
    </row>
    <row r="14236" spans="13:13" x14ac:dyDescent="0.25">
      <c r="M14236" s="34">
        <f t="shared" si="398"/>
        <v>0</v>
      </c>
    </row>
    <row r="14237" spans="13:13" x14ac:dyDescent="0.25">
      <c r="M14237" s="34">
        <f t="shared" si="398"/>
        <v>0</v>
      </c>
    </row>
    <row r="14238" spans="13:13" x14ac:dyDescent="0.25">
      <c r="M14238" s="34">
        <f t="shared" si="398"/>
        <v>0</v>
      </c>
    </row>
    <row r="14239" spans="13:13" x14ac:dyDescent="0.25">
      <c r="M14239" s="34">
        <f t="shared" si="398"/>
        <v>0</v>
      </c>
    </row>
    <row r="14240" spans="13:13" x14ac:dyDescent="0.25">
      <c r="M14240" s="34">
        <f t="shared" si="398"/>
        <v>0</v>
      </c>
    </row>
    <row r="14241" spans="13:13" x14ac:dyDescent="0.25">
      <c r="M14241" s="34">
        <f t="shared" si="398"/>
        <v>0</v>
      </c>
    </row>
    <row r="14242" spans="13:13" x14ac:dyDescent="0.25">
      <c r="M14242" s="34">
        <f t="shared" si="398"/>
        <v>0</v>
      </c>
    </row>
    <row r="14243" spans="13:13" x14ac:dyDescent="0.25">
      <c r="M14243" s="34">
        <f t="shared" si="398"/>
        <v>0</v>
      </c>
    </row>
    <row r="14244" spans="13:13" x14ac:dyDescent="0.25">
      <c r="M14244" s="34">
        <f t="shared" si="398"/>
        <v>0</v>
      </c>
    </row>
    <row r="14245" spans="13:13" x14ac:dyDescent="0.25">
      <c r="M14245" s="34">
        <f t="shared" si="398"/>
        <v>0</v>
      </c>
    </row>
    <row r="14246" spans="13:13" x14ac:dyDescent="0.25">
      <c r="M14246" s="34">
        <f t="shared" si="398"/>
        <v>0</v>
      </c>
    </row>
    <row r="14247" spans="13:13" x14ac:dyDescent="0.25">
      <c r="M14247" s="34">
        <f t="shared" si="398"/>
        <v>0</v>
      </c>
    </row>
    <row r="14248" spans="13:13" x14ac:dyDescent="0.25">
      <c r="M14248" s="34">
        <f t="shared" si="398"/>
        <v>0</v>
      </c>
    </row>
    <row r="14249" spans="13:13" x14ac:dyDescent="0.25">
      <c r="M14249" s="34">
        <f t="shared" si="398"/>
        <v>0</v>
      </c>
    </row>
    <row r="14250" spans="13:13" x14ac:dyDescent="0.25">
      <c r="M14250" s="34">
        <f t="shared" si="398"/>
        <v>0</v>
      </c>
    </row>
    <row r="14251" spans="13:13" x14ac:dyDescent="0.25">
      <c r="M14251" s="34">
        <f t="shared" si="398"/>
        <v>0</v>
      </c>
    </row>
    <row r="14252" spans="13:13" x14ac:dyDescent="0.25">
      <c r="M14252" s="34">
        <f t="shared" si="398"/>
        <v>0</v>
      </c>
    </row>
    <row r="14253" spans="13:13" x14ac:dyDescent="0.25">
      <c r="M14253" s="34">
        <f t="shared" si="398"/>
        <v>0</v>
      </c>
    </row>
    <row r="14254" spans="13:13" x14ac:dyDescent="0.25">
      <c r="M14254" s="34">
        <f t="shared" si="398"/>
        <v>0</v>
      </c>
    </row>
    <row r="14255" spans="13:13" x14ac:dyDescent="0.25">
      <c r="M14255" s="34">
        <f t="shared" si="398"/>
        <v>0</v>
      </c>
    </row>
    <row r="14256" spans="13:13" x14ac:dyDescent="0.25">
      <c r="M14256" s="34">
        <f t="shared" si="398"/>
        <v>0</v>
      </c>
    </row>
    <row r="14257" spans="13:13" x14ac:dyDescent="0.25">
      <c r="M14257" s="34">
        <f t="shared" si="398"/>
        <v>0</v>
      </c>
    </row>
    <row r="14258" spans="13:13" x14ac:dyDescent="0.25">
      <c r="M14258" s="34">
        <f t="shared" si="398"/>
        <v>0</v>
      </c>
    </row>
    <row r="14259" spans="13:13" x14ac:dyDescent="0.25">
      <c r="M14259" s="34">
        <f t="shared" si="398"/>
        <v>0</v>
      </c>
    </row>
    <row r="14260" spans="13:13" x14ac:dyDescent="0.25">
      <c r="M14260" s="34">
        <f t="shared" si="398"/>
        <v>0</v>
      </c>
    </row>
    <row r="14261" spans="13:13" x14ac:dyDescent="0.25">
      <c r="M14261" s="34">
        <f t="shared" si="398"/>
        <v>0</v>
      </c>
    </row>
    <row r="14262" spans="13:13" x14ac:dyDescent="0.25">
      <c r="M14262" s="34">
        <f t="shared" si="398"/>
        <v>0</v>
      </c>
    </row>
    <row r="14263" spans="13:13" x14ac:dyDescent="0.25">
      <c r="M14263" s="34">
        <f t="shared" si="398"/>
        <v>0</v>
      </c>
    </row>
    <row r="14264" spans="13:13" x14ac:dyDescent="0.25">
      <c r="M14264" s="34">
        <f t="shared" si="398"/>
        <v>0</v>
      </c>
    </row>
    <row r="14265" spans="13:13" x14ac:dyDescent="0.25">
      <c r="M14265" s="34">
        <f t="shared" si="398"/>
        <v>0</v>
      </c>
    </row>
    <row r="14266" spans="13:13" x14ac:dyDescent="0.25">
      <c r="M14266" s="34">
        <f t="shared" si="398"/>
        <v>0</v>
      </c>
    </row>
    <row r="14267" spans="13:13" x14ac:dyDescent="0.25">
      <c r="M14267" s="34">
        <f t="shared" si="398"/>
        <v>0</v>
      </c>
    </row>
    <row r="14268" spans="13:13" x14ac:dyDescent="0.25">
      <c r="M14268" s="34">
        <f t="shared" si="398"/>
        <v>0</v>
      </c>
    </row>
    <row r="14269" spans="13:13" x14ac:dyDescent="0.25">
      <c r="M14269" s="34">
        <f t="shared" si="398"/>
        <v>0</v>
      </c>
    </row>
    <row r="14270" spans="13:13" x14ac:dyDescent="0.25">
      <c r="M14270" s="34">
        <f t="shared" si="398"/>
        <v>0</v>
      </c>
    </row>
    <row r="14271" spans="13:13" x14ac:dyDescent="0.25">
      <c r="M14271" s="34">
        <f t="shared" si="398"/>
        <v>0</v>
      </c>
    </row>
    <row r="14272" spans="13:13" x14ac:dyDescent="0.25">
      <c r="M14272" s="34">
        <f t="shared" si="398"/>
        <v>0</v>
      </c>
    </row>
    <row r="14273" spans="13:13" x14ac:dyDescent="0.25">
      <c r="M14273" s="34">
        <f t="shared" si="398"/>
        <v>0</v>
      </c>
    </row>
    <row r="14274" spans="13:13" x14ac:dyDescent="0.25">
      <c r="M14274" s="34">
        <f t="shared" si="398"/>
        <v>0</v>
      </c>
    </row>
    <row r="14275" spans="13:13" x14ac:dyDescent="0.25">
      <c r="M14275" s="34">
        <f t="shared" ref="M14275:M14338" si="399">IF(AND(E14275="Chèque",G14275="RECETTE"),F14275,0)</f>
        <v>0</v>
      </c>
    </row>
    <row r="14276" spans="13:13" x14ac:dyDescent="0.25">
      <c r="M14276" s="34">
        <f t="shared" si="399"/>
        <v>0</v>
      </c>
    </row>
    <row r="14277" spans="13:13" x14ac:dyDescent="0.25">
      <c r="M14277" s="34">
        <f t="shared" si="399"/>
        <v>0</v>
      </c>
    </row>
    <row r="14278" spans="13:13" x14ac:dyDescent="0.25">
      <c r="M14278" s="34">
        <f t="shared" si="399"/>
        <v>0</v>
      </c>
    </row>
    <row r="14279" spans="13:13" x14ac:dyDescent="0.25">
      <c r="M14279" s="34">
        <f t="shared" si="399"/>
        <v>0</v>
      </c>
    </row>
    <row r="14280" spans="13:13" x14ac:dyDescent="0.25">
      <c r="M14280" s="34">
        <f t="shared" si="399"/>
        <v>0</v>
      </c>
    </row>
    <row r="14281" spans="13:13" x14ac:dyDescent="0.25">
      <c r="M14281" s="34">
        <f t="shared" si="399"/>
        <v>0</v>
      </c>
    </row>
    <row r="14282" spans="13:13" x14ac:dyDescent="0.25">
      <c r="M14282" s="34">
        <f t="shared" si="399"/>
        <v>0</v>
      </c>
    </row>
    <row r="14283" spans="13:13" x14ac:dyDescent="0.25">
      <c r="M14283" s="34">
        <f t="shared" si="399"/>
        <v>0</v>
      </c>
    </row>
    <row r="14284" spans="13:13" x14ac:dyDescent="0.25">
      <c r="M14284" s="34">
        <f t="shared" si="399"/>
        <v>0</v>
      </c>
    </row>
    <row r="14285" spans="13:13" x14ac:dyDescent="0.25">
      <c r="M14285" s="34">
        <f t="shared" si="399"/>
        <v>0</v>
      </c>
    </row>
    <row r="14286" spans="13:13" x14ac:dyDescent="0.25">
      <c r="M14286" s="34">
        <f t="shared" si="399"/>
        <v>0</v>
      </c>
    </row>
    <row r="14287" spans="13:13" x14ac:dyDescent="0.25">
      <c r="M14287" s="34">
        <f t="shared" si="399"/>
        <v>0</v>
      </c>
    </row>
    <row r="14288" spans="13:13" x14ac:dyDescent="0.25">
      <c r="M14288" s="34">
        <f t="shared" si="399"/>
        <v>0</v>
      </c>
    </row>
    <row r="14289" spans="13:13" x14ac:dyDescent="0.25">
      <c r="M14289" s="34">
        <f t="shared" si="399"/>
        <v>0</v>
      </c>
    </row>
    <row r="14290" spans="13:13" x14ac:dyDescent="0.25">
      <c r="M14290" s="34">
        <f t="shared" si="399"/>
        <v>0</v>
      </c>
    </row>
    <row r="14291" spans="13:13" x14ac:dyDescent="0.25">
      <c r="M14291" s="34">
        <f t="shared" si="399"/>
        <v>0</v>
      </c>
    </row>
    <row r="14292" spans="13:13" x14ac:dyDescent="0.25">
      <c r="M14292" s="34">
        <f t="shared" si="399"/>
        <v>0</v>
      </c>
    </row>
    <row r="14293" spans="13:13" x14ac:dyDescent="0.25">
      <c r="M14293" s="34">
        <f t="shared" si="399"/>
        <v>0</v>
      </c>
    </row>
    <row r="14294" spans="13:13" x14ac:dyDescent="0.25">
      <c r="M14294" s="34">
        <f t="shared" si="399"/>
        <v>0</v>
      </c>
    </row>
    <row r="14295" spans="13:13" x14ac:dyDescent="0.25">
      <c r="M14295" s="34">
        <f t="shared" si="399"/>
        <v>0</v>
      </c>
    </row>
    <row r="14296" spans="13:13" x14ac:dyDescent="0.25">
      <c r="M14296" s="34">
        <f t="shared" si="399"/>
        <v>0</v>
      </c>
    </row>
    <row r="14297" spans="13:13" x14ac:dyDescent="0.25">
      <c r="M14297" s="34">
        <f t="shared" si="399"/>
        <v>0</v>
      </c>
    </row>
    <row r="14298" spans="13:13" x14ac:dyDescent="0.25">
      <c r="M14298" s="34">
        <f t="shared" si="399"/>
        <v>0</v>
      </c>
    </row>
    <row r="14299" spans="13:13" x14ac:dyDescent="0.25">
      <c r="M14299" s="34">
        <f t="shared" si="399"/>
        <v>0</v>
      </c>
    </row>
    <row r="14300" spans="13:13" x14ac:dyDescent="0.25">
      <c r="M14300" s="34">
        <f t="shared" si="399"/>
        <v>0</v>
      </c>
    </row>
    <row r="14301" spans="13:13" x14ac:dyDescent="0.25">
      <c r="M14301" s="34">
        <f t="shared" si="399"/>
        <v>0</v>
      </c>
    </row>
    <row r="14302" spans="13:13" x14ac:dyDescent="0.25">
      <c r="M14302" s="34">
        <f t="shared" si="399"/>
        <v>0</v>
      </c>
    </row>
    <row r="14303" spans="13:13" x14ac:dyDescent="0.25">
      <c r="M14303" s="34">
        <f t="shared" si="399"/>
        <v>0</v>
      </c>
    </row>
    <row r="14304" spans="13:13" x14ac:dyDescent="0.25">
      <c r="M14304" s="34">
        <f t="shared" si="399"/>
        <v>0</v>
      </c>
    </row>
    <row r="14305" spans="13:13" x14ac:dyDescent="0.25">
      <c r="M14305" s="34">
        <f t="shared" si="399"/>
        <v>0</v>
      </c>
    </row>
    <row r="14306" spans="13:13" x14ac:dyDescent="0.25">
      <c r="M14306" s="34">
        <f t="shared" si="399"/>
        <v>0</v>
      </c>
    </row>
    <row r="14307" spans="13:13" x14ac:dyDescent="0.25">
      <c r="M14307" s="34">
        <f t="shared" si="399"/>
        <v>0</v>
      </c>
    </row>
    <row r="14308" spans="13:13" x14ac:dyDescent="0.25">
      <c r="M14308" s="34">
        <f t="shared" si="399"/>
        <v>0</v>
      </c>
    </row>
    <row r="14309" spans="13:13" x14ac:dyDescent="0.25">
      <c r="M14309" s="34">
        <f t="shared" si="399"/>
        <v>0</v>
      </c>
    </row>
    <row r="14310" spans="13:13" x14ac:dyDescent="0.25">
      <c r="M14310" s="34">
        <f t="shared" si="399"/>
        <v>0</v>
      </c>
    </row>
    <row r="14311" spans="13:13" x14ac:dyDescent="0.25">
      <c r="M14311" s="34">
        <f t="shared" si="399"/>
        <v>0</v>
      </c>
    </row>
    <row r="14312" spans="13:13" x14ac:dyDescent="0.25">
      <c r="M14312" s="34">
        <f t="shared" si="399"/>
        <v>0</v>
      </c>
    </row>
    <row r="14313" spans="13:13" x14ac:dyDescent="0.25">
      <c r="M14313" s="34">
        <f t="shared" si="399"/>
        <v>0</v>
      </c>
    </row>
    <row r="14314" spans="13:13" x14ac:dyDescent="0.25">
      <c r="M14314" s="34">
        <f t="shared" si="399"/>
        <v>0</v>
      </c>
    </row>
    <row r="14315" spans="13:13" x14ac:dyDescent="0.25">
      <c r="M14315" s="34">
        <f t="shared" si="399"/>
        <v>0</v>
      </c>
    </row>
    <row r="14316" spans="13:13" x14ac:dyDescent="0.25">
      <c r="M14316" s="34">
        <f t="shared" si="399"/>
        <v>0</v>
      </c>
    </row>
    <row r="14317" spans="13:13" x14ac:dyDescent="0.25">
      <c r="M14317" s="34">
        <f t="shared" si="399"/>
        <v>0</v>
      </c>
    </row>
    <row r="14318" spans="13:13" x14ac:dyDescent="0.25">
      <c r="M14318" s="34">
        <f t="shared" si="399"/>
        <v>0</v>
      </c>
    </row>
    <row r="14319" spans="13:13" x14ac:dyDescent="0.25">
      <c r="M14319" s="34">
        <f t="shared" si="399"/>
        <v>0</v>
      </c>
    </row>
    <row r="14320" spans="13:13" x14ac:dyDescent="0.25">
      <c r="M14320" s="34">
        <f t="shared" si="399"/>
        <v>0</v>
      </c>
    </row>
    <row r="14321" spans="13:13" x14ac:dyDescent="0.25">
      <c r="M14321" s="34">
        <f t="shared" si="399"/>
        <v>0</v>
      </c>
    </row>
    <row r="14322" spans="13:13" x14ac:dyDescent="0.25">
      <c r="M14322" s="34">
        <f t="shared" si="399"/>
        <v>0</v>
      </c>
    </row>
    <row r="14323" spans="13:13" x14ac:dyDescent="0.25">
      <c r="M14323" s="34">
        <f t="shared" si="399"/>
        <v>0</v>
      </c>
    </row>
    <row r="14324" spans="13:13" x14ac:dyDescent="0.25">
      <c r="M14324" s="34">
        <f t="shared" si="399"/>
        <v>0</v>
      </c>
    </row>
    <row r="14325" spans="13:13" x14ac:dyDescent="0.25">
      <c r="M14325" s="34">
        <f t="shared" si="399"/>
        <v>0</v>
      </c>
    </row>
    <row r="14326" spans="13:13" x14ac:dyDescent="0.25">
      <c r="M14326" s="34">
        <f t="shared" si="399"/>
        <v>0</v>
      </c>
    </row>
    <row r="14327" spans="13:13" x14ac:dyDescent="0.25">
      <c r="M14327" s="34">
        <f t="shared" si="399"/>
        <v>0</v>
      </c>
    </row>
    <row r="14328" spans="13:13" x14ac:dyDescent="0.25">
      <c r="M14328" s="34">
        <f t="shared" si="399"/>
        <v>0</v>
      </c>
    </row>
    <row r="14329" spans="13:13" x14ac:dyDescent="0.25">
      <c r="M14329" s="34">
        <f t="shared" si="399"/>
        <v>0</v>
      </c>
    </row>
    <row r="14330" spans="13:13" x14ac:dyDescent="0.25">
      <c r="M14330" s="34">
        <f t="shared" si="399"/>
        <v>0</v>
      </c>
    </row>
    <row r="14331" spans="13:13" x14ac:dyDescent="0.25">
      <c r="M14331" s="34">
        <f t="shared" si="399"/>
        <v>0</v>
      </c>
    </row>
    <row r="14332" spans="13:13" x14ac:dyDescent="0.25">
      <c r="M14332" s="34">
        <f t="shared" si="399"/>
        <v>0</v>
      </c>
    </row>
    <row r="14333" spans="13:13" x14ac:dyDescent="0.25">
      <c r="M14333" s="34">
        <f t="shared" si="399"/>
        <v>0</v>
      </c>
    </row>
    <row r="14334" spans="13:13" x14ac:dyDescent="0.25">
      <c r="M14334" s="34">
        <f t="shared" si="399"/>
        <v>0</v>
      </c>
    </row>
    <row r="14335" spans="13:13" x14ac:dyDescent="0.25">
      <c r="M14335" s="34">
        <f t="shared" si="399"/>
        <v>0</v>
      </c>
    </row>
    <row r="14336" spans="13:13" x14ac:dyDescent="0.25">
      <c r="M14336" s="34">
        <f t="shared" si="399"/>
        <v>0</v>
      </c>
    </row>
    <row r="14337" spans="13:13" x14ac:dyDescent="0.25">
      <c r="M14337" s="34">
        <f t="shared" si="399"/>
        <v>0</v>
      </c>
    </row>
    <row r="14338" spans="13:13" x14ac:dyDescent="0.25">
      <c r="M14338" s="34">
        <f t="shared" si="399"/>
        <v>0</v>
      </c>
    </row>
    <row r="14339" spans="13:13" x14ac:dyDescent="0.25">
      <c r="M14339" s="34">
        <f t="shared" ref="M14339:M14402" si="400">IF(AND(E14339="Chèque",G14339="RECETTE"),F14339,0)</f>
        <v>0</v>
      </c>
    </row>
    <row r="14340" spans="13:13" x14ac:dyDescent="0.25">
      <c r="M14340" s="34">
        <f t="shared" si="400"/>
        <v>0</v>
      </c>
    </row>
    <row r="14341" spans="13:13" x14ac:dyDescent="0.25">
      <c r="M14341" s="34">
        <f t="shared" si="400"/>
        <v>0</v>
      </c>
    </row>
    <row r="14342" spans="13:13" x14ac:dyDescent="0.25">
      <c r="M14342" s="34">
        <f t="shared" si="400"/>
        <v>0</v>
      </c>
    </row>
    <row r="14343" spans="13:13" x14ac:dyDescent="0.25">
      <c r="M14343" s="34">
        <f t="shared" si="400"/>
        <v>0</v>
      </c>
    </row>
    <row r="14344" spans="13:13" x14ac:dyDescent="0.25">
      <c r="M14344" s="34">
        <f t="shared" si="400"/>
        <v>0</v>
      </c>
    </row>
    <row r="14345" spans="13:13" x14ac:dyDescent="0.25">
      <c r="M14345" s="34">
        <f t="shared" si="400"/>
        <v>0</v>
      </c>
    </row>
    <row r="14346" spans="13:13" x14ac:dyDescent="0.25">
      <c r="M14346" s="34">
        <f t="shared" si="400"/>
        <v>0</v>
      </c>
    </row>
    <row r="14347" spans="13:13" x14ac:dyDescent="0.25">
      <c r="M14347" s="34">
        <f t="shared" si="400"/>
        <v>0</v>
      </c>
    </row>
    <row r="14348" spans="13:13" x14ac:dyDescent="0.25">
      <c r="M14348" s="34">
        <f t="shared" si="400"/>
        <v>0</v>
      </c>
    </row>
    <row r="14349" spans="13:13" x14ac:dyDescent="0.25">
      <c r="M14349" s="34">
        <f t="shared" si="400"/>
        <v>0</v>
      </c>
    </row>
    <row r="14350" spans="13:13" x14ac:dyDescent="0.25">
      <c r="M14350" s="34">
        <f t="shared" si="400"/>
        <v>0</v>
      </c>
    </row>
    <row r="14351" spans="13:13" x14ac:dyDescent="0.25">
      <c r="M14351" s="34">
        <f t="shared" si="400"/>
        <v>0</v>
      </c>
    </row>
    <row r="14352" spans="13:13" x14ac:dyDescent="0.25">
      <c r="M14352" s="34">
        <f t="shared" si="400"/>
        <v>0</v>
      </c>
    </row>
    <row r="14353" spans="13:13" x14ac:dyDescent="0.25">
      <c r="M14353" s="34">
        <f t="shared" si="400"/>
        <v>0</v>
      </c>
    </row>
    <row r="14354" spans="13:13" x14ac:dyDescent="0.25">
      <c r="M14354" s="34">
        <f t="shared" si="400"/>
        <v>0</v>
      </c>
    </row>
    <row r="14355" spans="13:13" x14ac:dyDescent="0.25">
      <c r="M14355" s="34">
        <f t="shared" si="400"/>
        <v>0</v>
      </c>
    </row>
    <row r="14356" spans="13:13" x14ac:dyDescent="0.25">
      <c r="M14356" s="34">
        <f t="shared" si="400"/>
        <v>0</v>
      </c>
    </row>
    <row r="14357" spans="13:13" x14ac:dyDescent="0.25">
      <c r="M14357" s="34">
        <f t="shared" si="400"/>
        <v>0</v>
      </c>
    </row>
    <row r="14358" spans="13:13" x14ac:dyDescent="0.25">
      <c r="M14358" s="34">
        <f t="shared" si="400"/>
        <v>0</v>
      </c>
    </row>
    <row r="14359" spans="13:13" x14ac:dyDescent="0.25">
      <c r="M14359" s="34">
        <f t="shared" si="400"/>
        <v>0</v>
      </c>
    </row>
    <row r="14360" spans="13:13" x14ac:dyDescent="0.25">
      <c r="M14360" s="34">
        <f t="shared" si="400"/>
        <v>0</v>
      </c>
    </row>
    <row r="14361" spans="13:13" x14ac:dyDescent="0.25">
      <c r="M14361" s="34">
        <f t="shared" si="400"/>
        <v>0</v>
      </c>
    </row>
    <row r="14362" spans="13:13" x14ac:dyDescent="0.25">
      <c r="M14362" s="34">
        <f t="shared" si="400"/>
        <v>0</v>
      </c>
    </row>
    <row r="14363" spans="13:13" x14ac:dyDescent="0.25">
      <c r="M14363" s="34">
        <f t="shared" si="400"/>
        <v>0</v>
      </c>
    </row>
    <row r="14364" spans="13:13" x14ac:dyDescent="0.25">
      <c r="M14364" s="34">
        <f t="shared" si="400"/>
        <v>0</v>
      </c>
    </row>
    <row r="14365" spans="13:13" x14ac:dyDescent="0.25">
      <c r="M14365" s="34">
        <f t="shared" si="400"/>
        <v>0</v>
      </c>
    </row>
    <row r="14366" spans="13:13" x14ac:dyDescent="0.25">
      <c r="M14366" s="34">
        <f t="shared" si="400"/>
        <v>0</v>
      </c>
    </row>
    <row r="14367" spans="13:13" x14ac:dyDescent="0.25">
      <c r="M14367" s="34">
        <f t="shared" si="400"/>
        <v>0</v>
      </c>
    </row>
    <row r="14368" spans="13:13" x14ac:dyDescent="0.25">
      <c r="M14368" s="34">
        <f t="shared" si="400"/>
        <v>0</v>
      </c>
    </row>
    <row r="14369" spans="13:13" x14ac:dyDescent="0.25">
      <c r="M14369" s="34">
        <f t="shared" si="400"/>
        <v>0</v>
      </c>
    </row>
    <row r="14370" spans="13:13" x14ac:dyDescent="0.25">
      <c r="M14370" s="34">
        <f t="shared" si="400"/>
        <v>0</v>
      </c>
    </row>
    <row r="14371" spans="13:13" x14ac:dyDescent="0.25">
      <c r="M14371" s="34">
        <f t="shared" si="400"/>
        <v>0</v>
      </c>
    </row>
    <row r="14372" spans="13:13" x14ac:dyDescent="0.25">
      <c r="M14372" s="34">
        <f t="shared" si="400"/>
        <v>0</v>
      </c>
    </row>
    <row r="14373" spans="13:13" x14ac:dyDescent="0.25">
      <c r="M14373" s="34">
        <f t="shared" si="400"/>
        <v>0</v>
      </c>
    </row>
    <row r="14374" spans="13:13" x14ac:dyDescent="0.25">
      <c r="M14374" s="34">
        <f t="shared" si="400"/>
        <v>0</v>
      </c>
    </row>
    <row r="14375" spans="13:13" x14ac:dyDescent="0.25">
      <c r="M14375" s="34">
        <f t="shared" si="400"/>
        <v>0</v>
      </c>
    </row>
    <row r="14376" spans="13:13" x14ac:dyDescent="0.25">
      <c r="M14376" s="34">
        <f t="shared" si="400"/>
        <v>0</v>
      </c>
    </row>
    <row r="14377" spans="13:13" x14ac:dyDescent="0.25">
      <c r="M14377" s="34">
        <f t="shared" si="400"/>
        <v>0</v>
      </c>
    </row>
    <row r="14378" spans="13:13" x14ac:dyDescent="0.25">
      <c r="M14378" s="34">
        <f t="shared" si="400"/>
        <v>0</v>
      </c>
    </row>
    <row r="14379" spans="13:13" x14ac:dyDescent="0.25">
      <c r="M14379" s="34">
        <f t="shared" si="400"/>
        <v>0</v>
      </c>
    </row>
    <row r="14380" spans="13:13" x14ac:dyDescent="0.25">
      <c r="M14380" s="34">
        <f t="shared" si="400"/>
        <v>0</v>
      </c>
    </row>
    <row r="14381" spans="13:13" x14ac:dyDescent="0.25">
      <c r="M14381" s="34">
        <f t="shared" si="400"/>
        <v>0</v>
      </c>
    </row>
    <row r="14382" spans="13:13" x14ac:dyDescent="0.25">
      <c r="M14382" s="34">
        <f t="shared" si="400"/>
        <v>0</v>
      </c>
    </row>
    <row r="14383" spans="13:13" x14ac:dyDescent="0.25">
      <c r="M14383" s="34">
        <f t="shared" si="400"/>
        <v>0</v>
      </c>
    </row>
    <row r="14384" spans="13:13" x14ac:dyDescent="0.25">
      <c r="M14384" s="34">
        <f t="shared" si="400"/>
        <v>0</v>
      </c>
    </row>
    <row r="14385" spans="13:13" x14ac:dyDescent="0.25">
      <c r="M14385" s="34">
        <f t="shared" si="400"/>
        <v>0</v>
      </c>
    </row>
    <row r="14386" spans="13:13" x14ac:dyDescent="0.25">
      <c r="M14386" s="34">
        <f t="shared" si="400"/>
        <v>0</v>
      </c>
    </row>
    <row r="14387" spans="13:13" x14ac:dyDescent="0.25">
      <c r="M14387" s="34">
        <f t="shared" si="400"/>
        <v>0</v>
      </c>
    </row>
    <row r="14388" spans="13:13" x14ac:dyDescent="0.25">
      <c r="M14388" s="34">
        <f t="shared" si="400"/>
        <v>0</v>
      </c>
    </row>
    <row r="14389" spans="13:13" x14ac:dyDescent="0.25">
      <c r="M14389" s="34">
        <f t="shared" si="400"/>
        <v>0</v>
      </c>
    </row>
    <row r="14390" spans="13:13" x14ac:dyDescent="0.25">
      <c r="M14390" s="34">
        <f t="shared" si="400"/>
        <v>0</v>
      </c>
    </row>
    <row r="14391" spans="13:13" x14ac:dyDescent="0.25">
      <c r="M14391" s="34">
        <f t="shared" si="400"/>
        <v>0</v>
      </c>
    </row>
    <row r="14392" spans="13:13" x14ac:dyDescent="0.25">
      <c r="M14392" s="34">
        <f t="shared" si="400"/>
        <v>0</v>
      </c>
    </row>
    <row r="14393" spans="13:13" x14ac:dyDescent="0.25">
      <c r="M14393" s="34">
        <f t="shared" si="400"/>
        <v>0</v>
      </c>
    </row>
    <row r="14394" spans="13:13" x14ac:dyDescent="0.25">
      <c r="M14394" s="34">
        <f t="shared" si="400"/>
        <v>0</v>
      </c>
    </row>
    <row r="14395" spans="13:13" x14ac:dyDescent="0.25">
      <c r="M14395" s="34">
        <f t="shared" si="400"/>
        <v>0</v>
      </c>
    </row>
    <row r="14396" spans="13:13" x14ac:dyDescent="0.25">
      <c r="M14396" s="34">
        <f t="shared" si="400"/>
        <v>0</v>
      </c>
    </row>
    <row r="14397" spans="13:13" x14ac:dyDescent="0.25">
      <c r="M14397" s="34">
        <f t="shared" si="400"/>
        <v>0</v>
      </c>
    </row>
    <row r="14398" spans="13:13" x14ac:dyDescent="0.25">
      <c r="M14398" s="34">
        <f t="shared" si="400"/>
        <v>0</v>
      </c>
    </row>
    <row r="14399" spans="13:13" x14ac:dyDescent="0.25">
      <c r="M14399" s="34">
        <f t="shared" si="400"/>
        <v>0</v>
      </c>
    </row>
    <row r="14400" spans="13:13" x14ac:dyDescent="0.25">
      <c r="M14400" s="34">
        <f t="shared" si="400"/>
        <v>0</v>
      </c>
    </row>
    <row r="14401" spans="13:13" x14ac:dyDescent="0.25">
      <c r="M14401" s="34">
        <f t="shared" si="400"/>
        <v>0</v>
      </c>
    </row>
    <row r="14402" spans="13:13" x14ac:dyDescent="0.25">
      <c r="M14402" s="34">
        <f t="shared" si="400"/>
        <v>0</v>
      </c>
    </row>
    <row r="14403" spans="13:13" x14ac:dyDescent="0.25">
      <c r="M14403" s="34">
        <f t="shared" ref="M14403:M14466" si="401">IF(AND(E14403="Chèque",G14403="RECETTE"),F14403,0)</f>
        <v>0</v>
      </c>
    </row>
    <row r="14404" spans="13:13" x14ac:dyDescent="0.25">
      <c r="M14404" s="34">
        <f t="shared" si="401"/>
        <v>0</v>
      </c>
    </row>
    <row r="14405" spans="13:13" x14ac:dyDescent="0.25">
      <c r="M14405" s="34">
        <f t="shared" si="401"/>
        <v>0</v>
      </c>
    </row>
    <row r="14406" spans="13:13" x14ac:dyDescent="0.25">
      <c r="M14406" s="34">
        <f t="shared" si="401"/>
        <v>0</v>
      </c>
    </row>
    <row r="14407" spans="13:13" x14ac:dyDescent="0.25">
      <c r="M14407" s="34">
        <f t="shared" si="401"/>
        <v>0</v>
      </c>
    </row>
    <row r="14408" spans="13:13" x14ac:dyDescent="0.25">
      <c r="M14408" s="34">
        <f t="shared" si="401"/>
        <v>0</v>
      </c>
    </row>
    <row r="14409" spans="13:13" x14ac:dyDescent="0.25">
      <c r="M14409" s="34">
        <f t="shared" si="401"/>
        <v>0</v>
      </c>
    </row>
    <row r="14410" spans="13:13" x14ac:dyDescent="0.25">
      <c r="M14410" s="34">
        <f t="shared" si="401"/>
        <v>0</v>
      </c>
    </row>
    <row r="14411" spans="13:13" x14ac:dyDescent="0.25">
      <c r="M14411" s="34">
        <f t="shared" si="401"/>
        <v>0</v>
      </c>
    </row>
    <row r="14412" spans="13:13" x14ac:dyDescent="0.25">
      <c r="M14412" s="34">
        <f t="shared" si="401"/>
        <v>0</v>
      </c>
    </row>
    <row r="14413" spans="13:13" x14ac:dyDescent="0.25">
      <c r="M14413" s="34">
        <f t="shared" si="401"/>
        <v>0</v>
      </c>
    </row>
    <row r="14414" spans="13:13" x14ac:dyDescent="0.25">
      <c r="M14414" s="34">
        <f t="shared" si="401"/>
        <v>0</v>
      </c>
    </row>
    <row r="14415" spans="13:13" x14ac:dyDescent="0.25">
      <c r="M14415" s="34">
        <f t="shared" si="401"/>
        <v>0</v>
      </c>
    </row>
    <row r="14416" spans="13:13" x14ac:dyDescent="0.25">
      <c r="M14416" s="34">
        <f t="shared" si="401"/>
        <v>0</v>
      </c>
    </row>
    <row r="14417" spans="13:13" x14ac:dyDescent="0.25">
      <c r="M14417" s="34">
        <f t="shared" si="401"/>
        <v>0</v>
      </c>
    </row>
    <row r="14418" spans="13:13" x14ac:dyDescent="0.25">
      <c r="M14418" s="34">
        <f t="shared" si="401"/>
        <v>0</v>
      </c>
    </row>
    <row r="14419" spans="13:13" x14ac:dyDescent="0.25">
      <c r="M14419" s="34">
        <f t="shared" si="401"/>
        <v>0</v>
      </c>
    </row>
    <row r="14420" spans="13:13" x14ac:dyDescent="0.25">
      <c r="M14420" s="34">
        <f t="shared" si="401"/>
        <v>0</v>
      </c>
    </row>
    <row r="14421" spans="13:13" x14ac:dyDescent="0.25">
      <c r="M14421" s="34">
        <f t="shared" si="401"/>
        <v>0</v>
      </c>
    </row>
    <row r="14422" spans="13:13" x14ac:dyDescent="0.25">
      <c r="M14422" s="34">
        <f t="shared" si="401"/>
        <v>0</v>
      </c>
    </row>
    <row r="14423" spans="13:13" x14ac:dyDescent="0.25">
      <c r="M14423" s="34">
        <f t="shared" si="401"/>
        <v>0</v>
      </c>
    </row>
    <row r="14424" spans="13:13" x14ac:dyDescent="0.25">
      <c r="M14424" s="34">
        <f t="shared" si="401"/>
        <v>0</v>
      </c>
    </row>
    <row r="14425" spans="13:13" x14ac:dyDescent="0.25">
      <c r="M14425" s="34">
        <f t="shared" si="401"/>
        <v>0</v>
      </c>
    </row>
    <row r="14426" spans="13:13" x14ac:dyDescent="0.25">
      <c r="M14426" s="34">
        <f t="shared" si="401"/>
        <v>0</v>
      </c>
    </row>
    <row r="14427" spans="13:13" x14ac:dyDescent="0.25">
      <c r="M14427" s="34">
        <f t="shared" si="401"/>
        <v>0</v>
      </c>
    </row>
    <row r="14428" spans="13:13" x14ac:dyDescent="0.25">
      <c r="M14428" s="34">
        <f t="shared" si="401"/>
        <v>0</v>
      </c>
    </row>
    <row r="14429" spans="13:13" x14ac:dyDescent="0.25">
      <c r="M14429" s="34">
        <f t="shared" si="401"/>
        <v>0</v>
      </c>
    </row>
    <row r="14430" spans="13:13" x14ac:dyDescent="0.25">
      <c r="M14430" s="34">
        <f t="shared" si="401"/>
        <v>0</v>
      </c>
    </row>
    <row r="14431" spans="13:13" x14ac:dyDescent="0.25">
      <c r="M14431" s="34">
        <f t="shared" si="401"/>
        <v>0</v>
      </c>
    </row>
    <row r="14432" spans="13:13" x14ac:dyDescent="0.25">
      <c r="M14432" s="34">
        <f t="shared" si="401"/>
        <v>0</v>
      </c>
    </row>
    <row r="14433" spans="13:13" x14ac:dyDescent="0.25">
      <c r="M14433" s="34">
        <f t="shared" si="401"/>
        <v>0</v>
      </c>
    </row>
    <row r="14434" spans="13:13" x14ac:dyDescent="0.25">
      <c r="M14434" s="34">
        <f t="shared" si="401"/>
        <v>0</v>
      </c>
    </row>
    <row r="14435" spans="13:13" x14ac:dyDescent="0.25">
      <c r="M14435" s="34">
        <f t="shared" si="401"/>
        <v>0</v>
      </c>
    </row>
    <row r="14436" spans="13:13" x14ac:dyDescent="0.25">
      <c r="M14436" s="34">
        <f t="shared" si="401"/>
        <v>0</v>
      </c>
    </row>
    <row r="14437" spans="13:13" x14ac:dyDescent="0.25">
      <c r="M14437" s="34">
        <f t="shared" si="401"/>
        <v>0</v>
      </c>
    </row>
    <row r="14438" spans="13:13" x14ac:dyDescent="0.25">
      <c r="M14438" s="34">
        <f t="shared" si="401"/>
        <v>0</v>
      </c>
    </row>
    <row r="14439" spans="13:13" x14ac:dyDescent="0.25">
      <c r="M14439" s="34">
        <f t="shared" si="401"/>
        <v>0</v>
      </c>
    </row>
    <row r="14440" spans="13:13" x14ac:dyDescent="0.25">
      <c r="M14440" s="34">
        <f t="shared" si="401"/>
        <v>0</v>
      </c>
    </row>
    <row r="14441" spans="13:13" x14ac:dyDescent="0.25">
      <c r="M14441" s="34">
        <f t="shared" si="401"/>
        <v>0</v>
      </c>
    </row>
    <row r="14442" spans="13:13" x14ac:dyDescent="0.25">
      <c r="M14442" s="34">
        <f t="shared" si="401"/>
        <v>0</v>
      </c>
    </row>
    <row r="14443" spans="13:13" x14ac:dyDescent="0.25">
      <c r="M14443" s="34">
        <f t="shared" si="401"/>
        <v>0</v>
      </c>
    </row>
    <row r="14444" spans="13:13" x14ac:dyDescent="0.25">
      <c r="M14444" s="34">
        <f t="shared" si="401"/>
        <v>0</v>
      </c>
    </row>
    <row r="14445" spans="13:13" x14ac:dyDescent="0.25">
      <c r="M14445" s="34">
        <f t="shared" si="401"/>
        <v>0</v>
      </c>
    </row>
    <row r="14446" spans="13:13" x14ac:dyDescent="0.25">
      <c r="M14446" s="34">
        <f t="shared" si="401"/>
        <v>0</v>
      </c>
    </row>
    <row r="14447" spans="13:13" x14ac:dyDescent="0.25">
      <c r="M14447" s="34">
        <f t="shared" si="401"/>
        <v>0</v>
      </c>
    </row>
    <row r="14448" spans="13:13" x14ac:dyDescent="0.25">
      <c r="M14448" s="34">
        <f t="shared" si="401"/>
        <v>0</v>
      </c>
    </row>
    <row r="14449" spans="13:13" x14ac:dyDescent="0.25">
      <c r="M14449" s="34">
        <f t="shared" si="401"/>
        <v>0</v>
      </c>
    </row>
    <row r="14450" spans="13:13" x14ac:dyDescent="0.25">
      <c r="M14450" s="34">
        <f t="shared" si="401"/>
        <v>0</v>
      </c>
    </row>
    <row r="14451" spans="13:13" x14ac:dyDescent="0.25">
      <c r="M14451" s="34">
        <f t="shared" si="401"/>
        <v>0</v>
      </c>
    </row>
    <row r="14452" spans="13:13" x14ac:dyDescent="0.25">
      <c r="M14452" s="34">
        <f t="shared" si="401"/>
        <v>0</v>
      </c>
    </row>
    <row r="14453" spans="13:13" x14ac:dyDescent="0.25">
      <c r="M14453" s="34">
        <f t="shared" si="401"/>
        <v>0</v>
      </c>
    </row>
    <row r="14454" spans="13:13" x14ac:dyDescent="0.25">
      <c r="M14454" s="34">
        <f t="shared" si="401"/>
        <v>0</v>
      </c>
    </row>
    <row r="14455" spans="13:13" x14ac:dyDescent="0.25">
      <c r="M14455" s="34">
        <f t="shared" si="401"/>
        <v>0</v>
      </c>
    </row>
    <row r="14456" spans="13:13" x14ac:dyDescent="0.25">
      <c r="M14456" s="34">
        <f t="shared" si="401"/>
        <v>0</v>
      </c>
    </row>
    <row r="14457" spans="13:13" x14ac:dyDescent="0.25">
      <c r="M14457" s="34">
        <f t="shared" si="401"/>
        <v>0</v>
      </c>
    </row>
    <row r="14458" spans="13:13" x14ac:dyDescent="0.25">
      <c r="M14458" s="34">
        <f t="shared" si="401"/>
        <v>0</v>
      </c>
    </row>
    <row r="14459" spans="13:13" x14ac:dyDescent="0.25">
      <c r="M14459" s="34">
        <f t="shared" si="401"/>
        <v>0</v>
      </c>
    </row>
    <row r="14460" spans="13:13" x14ac:dyDescent="0.25">
      <c r="M14460" s="34">
        <f t="shared" si="401"/>
        <v>0</v>
      </c>
    </row>
    <row r="14461" spans="13:13" x14ac:dyDescent="0.25">
      <c r="M14461" s="34">
        <f t="shared" si="401"/>
        <v>0</v>
      </c>
    </row>
    <row r="14462" spans="13:13" x14ac:dyDescent="0.25">
      <c r="M14462" s="34">
        <f t="shared" si="401"/>
        <v>0</v>
      </c>
    </row>
    <row r="14463" spans="13:13" x14ac:dyDescent="0.25">
      <c r="M14463" s="34">
        <f t="shared" si="401"/>
        <v>0</v>
      </c>
    </row>
    <row r="14464" spans="13:13" x14ac:dyDescent="0.25">
      <c r="M14464" s="34">
        <f t="shared" si="401"/>
        <v>0</v>
      </c>
    </row>
    <row r="14465" spans="13:13" x14ac:dyDescent="0.25">
      <c r="M14465" s="34">
        <f t="shared" si="401"/>
        <v>0</v>
      </c>
    </row>
    <row r="14466" spans="13:13" x14ac:dyDescent="0.25">
      <c r="M14466" s="34">
        <f t="shared" si="401"/>
        <v>0</v>
      </c>
    </row>
    <row r="14467" spans="13:13" x14ac:dyDescent="0.25">
      <c r="M14467" s="34">
        <f t="shared" ref="M14467:M14530" si="402">IF(AND(E14467="Chèque",G14467="RECETTE"),F14467,0)</f>
        <v>0</v>
      </c>
    </row>
    <row r="14468" spans="13:13" x14ac:dyDescent="0.25">
      <c r="M14468" s="34">
        <f t="shared" si="402"/>
        <v>0</v>
      </c>
    </row>
    <row r="14469" spans="13:13" x14ac:dyDescent="0.25">
      <c r="M14469" s="34">
        <f t="shared" si="402"/>
        <v>0</v>
      </c>
    </row>
    <row r="14470" spans="13:13" x14ac:dyDescent="0.25">
      <c r="M14470" s="34">
        <f t="shared" si="402"/>
        <v>0</v>
      </c>
    </row>
    <row r="14471" spans="13:13" x14ac:dyDescent="0.25">
      <c r="M14471" s="34">
        <f t="shared" si="402"/>
        <v>0</v>
      </c>
    </row>
    <row r="14472" spans="13:13" x14ac:dyDescent="0.25">
      <c r="M14472" s="34">
        <f t="shared" si="402"/>
        <v>0</v>
      </c>
    </row>
    <row r="14473" spans="13:13" x14ac:dyDescent="0.25">
      <c r="M14473" s="34">
        <f t="shared" si="402"/>
        <v>0</v>
      </c>
    </row>
    <row r="14474" spans="13:13" x14ac:dyDescent="0.25">
      <c r="M14474" s="34">
        <f t="shared" si="402"/>
        <v>0</v>
      </c>
    </row>
    <row r="14475" spans="13:13" x14ac:dyDescent="0.25">
      <c r="M14475" s="34">
        <f t="shared" si="402"/>
        <v>0</v>
      </c>
    </row>
    <row r="14476" spans="13:13" x14ac:dyDescent="0.25">
      <c r="M14476" s="34">
        <f t="shared" si="402"/>
        <v>0</v>
      </c>
    </row>
    <row r="14477" spans="13:13" x14ac:dyDescent="0.25">
      <c r="M14477" s="34">
        <f t="shared" si="402"/>
        <v>0</v>
      </c>
    </row>
    <row r="14478" spans="13:13" x14ac:dyDescent="0.25">
      <c r="M14478" s="34">
        <f t="shared" si="402"/>
        <v>0</v>
      </c>
    </row>
    <row r="14479" spans="13:13" x14ac:dyDescent="0.25">
      <c r="M14479" s="34">
        <f t="shared" si="402"/>
        <v>0</v>
      </c>
    </row>
    <row r="14480" spans="13:13" x14ac:dyDescent="0.25">
      <c r="M14480" s="34">
        <f t="shared" si="402"/>
        <v>0</v>
      </c>
    </row>
    <row r="14481" spans="13:13" x14ac:dyDescent="0.25">
      <c r="M14481" s="34">
        <f t="shared" si="402"/>
        <v>0</v>
      </c>
    </row>
    <row r="14482" spans="13:13" x14ac:dyDescent="0.25">
      <c r="M14482" s="34">
        <f t="shared" si="402"/>
        <v>0</v>
      </c>
    </row>
    <row r="14483" spans="13:13" x14ac:dyDescent="0.25">
      <c r="M14483" s="34">
        <f t="shared" si="402"/>
        <v>0</v>
      </c>
    </row>
    <row r="14484" spans="13:13" x14ac:dyDescent="0.25">
      <c r="M14484" s="34">
        <f t="shared" si="402"/>
        <v>0</v>
      </c>
    </row>
    <row r="14485" spans="13:13" x14ac:dyDescent="0.25">
      <c r="M14485" s="34">
        <f t="shared" si="402"/>
        <v>0</v>
      </c>
    </row>
    <row r="14486" spans="13:13" x14ac:dyDescent="0.25">
      <c r="M14486" s="34">
        <f t="shared" si="402"/>
        <v>0</v>
      </c>
    </row>
    <row r="14487" spans="13:13" x14ac:dyDescent="0.25">
      <c r="M14487" s="34">
        <f t="shared" si="402"/>
        <v>0</v>
      </c>
    </row>
    <row r="14488" spans="13:13" x14ac:dyDescent="0.25">
      <c r="M14488" s="34">
        <f t="shared" si="402"/>
        <v>0</v>
      </c>
    </row>
    <row r="14489" spans="13:13" x14ac:dyDescent="0.25">
      <c r="M14489" s="34">
        <f t="shared" si="402"/>
        <v>0</v>
      </c>
    </row>
    <row r="14490" spans="13:13" x14ac:dyDescent="0.25">
      <c r="M14490" s="34">
        <f t="shared" si="402"/>
        <v>0</v>
      </c>
    </row>
    <row r="14491" spans="13:13" x14ac:dyDescent="0.25">
      <c r="M14491" s="34">
        <f t="shared" si="402"/>
        <v>0</v>
      </c>
    </row>
    <row r="14492" spans="13:13" x14ac:dyDescent="0.25">
      <c r="M14492" s="34">
        <f t="shared" si="402"/>
        <v>0</v>
      </c>
    </row>
    <row r="14493" spans="13:13" x14ac:dyDescent="0.25">
      <c r="M14493" s="34">
        <f t="shared" si="402"/>
        <v>0</v>
      </c>
    </row>
    <row r="14494" spans="13:13" x14ac:dyDescent="0.25">
      <c r="M14494" s="34">
        <f t="shared" si="402"/>
        <v>0</v>
      </c>
    </row>
    <row r="14495" spans="13:13" x14ac:dyDescent="0.25">
      <c r="M14495" s="34">
        <f t="shared" si="402"/>
        <v>0</v>
      </c>
    </row>
    <row r="14496" spans="13:13" x14ac:dyDescent="0.25">
      <c r="M14496" s="34">
        <f t="shared" si="402"/>
        <v>0</v>
      </c>
    </row>
    <row r="14497" spans="13:13" x14ac:dyDescent="0.25">
      <c r="M14497" s="34">
        <f t="shared" si="402"/>
        <v>0</v>
      </c>
    </row>
    <row r="14498" spans="13:13" x14ac:dyDescent="0.25">
      <c r="M14498" s="34">
        <f t="shared" si="402"/>
        <v>0</v>
      </c>
    </row>
    <row r="14499" spans="13:13" x14ac:dyDescent="0.25">
      <c r="M14499" s="34">
        <f t="shared" si="402"/>
        <v>0</v>
      </c>
    </row>
    <row r="14500" spans="13:13" x14ac:dyDescent="0.25">
      <c r="M14500" s="34">
        <f t="shared" si="402"/>
        <v>0</v>
      </c>
    </row>
    <row r="14501" spans="13:13" x14ac:dyDescent="0.25">
      <c r="M14501" s="34">
        <f t="shared" si="402"/>
        <v>0</v>
      </c>
    </row>
    <row r="14502" spans="13:13" x14ac:dyDescent="0.25">
      <c r="M14502" s="34">
        <f t="shared" si="402"/>
        <v>0</v>
      </c>
    </row>
    <row r="14503" spans="13:13" x14ac:dyDescent="0.25">
      <c r="M14503" s="34">
        <f t="shared" si="402"/>
        <v>0</v>
      </c>
    </row>
    <row r="14504" spans="13:13" x14ac:dyDescent="0.25">
      <c r="M14504" s="34">
        <f t="shared" si="402"/>
        <v>0</v>
      </c>
    </row>
    <row r="14505" spans="13:13" x14ac:dyDescent="0.25">
      <c r="M14505" s="34">
        <f t="shared" si="402"/>
        <v>0</v>
      </c>
    </row>
    <row r="14506" spans="13:13" x14ac:dyDescent="0.25">
      <c r="M14506" s="34">
        <f t="shared" si="402"/>
        <v>0</v>
      </c>
    </row>
    <row r="14507" spans="13:13" x14ac:dyDescent="0.25">
      <c r="M14507" s="34">
        <f t="shared" si="402"/>
        <v>0</v>
      </c>
    </row>
    <row r="14508" spans="13:13" x14ac:dyDescent="0.25">
      <c r="M14508" s="34">
        <f t="shared" si="402"/>
        <v>0</v>
      </c>
    </row>
    <row r="14509" spans="13:13" x14ac:dyDescent="0.25">
      <c r="M14509" s="34">
        <f t="shared" si="402"/>
        <v>0</v>
      </c>
    </row>
    <row r="14510" spans="13:13" x14ac:dyDescent="0.25">
      <c r="M14510" s="34">
        <f t="shared" si="402"/>
        <v>0</v>
      </c>
    </row>
    <row r="14511" spans="13:13" x14ac:dyDescent="0.25">
      <c r="M14511" s="34">
        <f t="shared" si="402"/>
        <v>0</v>
      </c>
    </row>
    <row r="14512" spans="13:13" x14ac:dyDescent="0.25">
      <c r="M14512" s="34">
        <f t="shared" si="402"/>
        <v>0</v>
      </c>
    </row>
    <row r="14513" spans="13:13" x14ac:dyDescent="0.25">
      <c r="M14513" s="34">
        <f t="shared" si="402"/>
        <v>0</v>
      </c>
    </row>
    <row r="14514" spans="13:13" x14ac:dyDescent="0.25">
      <c r="M14514" s="34">
        <f t="shared" si="402"/>
        <v>0</v>
      </c>
    </row>
    <row r="14515" spans="13:13" x14ac:dyDescent="0.25">
      <c r="M14515" s="34">
        <f t="shared" si="402"/>
        <v>0</v>
      </c>
    </row>
    <row r="14516" spans="13:13" x14ac:dyDescent="0.25">
      <c r="M14516" s="34">
        <f t="shared" si="402"/>
        <v>0</v>
      </c>
    </row>
    <row r="14517" spans="13:13" x14ac:dyDescent="0.25">
      <c r="M14517" s="34">
        <f t="shared" si="402"/>
        <v>0</v>
      </c>
    </row>
    <row r="14518" spans="13:13" x14ac:dyDescent="0.25">
      <c r="M14518" s="34">
        <f t="shared" si="402"/>
        <v>0</v>
      </c>
    </row>
    <row r="14519" spans="13:13" x14ac:dyDescent="0.25">
      <c r="M14519" s="34">
        <f t="shared" si="402"/>
        <v>0</v>
      </c>
    </row>
    <row r="14520" spans="13:13" x14ac:dyDescent="0.25">
      <c r="M14520" s="34">
        <f t="shared" si="402"/>
        <v>0</v>
      </c>
    </row>
    <row r="14521" spans="13:13" x14ac:dyDescent="0.25">
      <c r="M14521" s="34">
        <f t="shared" si="402"/>
        <v>0</v>
      </c>
    </row>
    <row r="14522" spans="13:13" x14ac:dyDescent="0.25">
      <c r="M14522" s="34">
        <f t="shared" si="402"/>
        <v>0</v>
      </c>
    </row>
    <row r="14523" spans="13:13" x14ac:dyDescent="0.25">
      <c r="M14523" s="34">
        <f t="shared" si="402"/>
        <v>0</v>
      </c>
    </row>
    <row r="14524" spans="13:13" x14ac:dyDescent="0.25">
      <c r="M14524" s="34">
        <f t="shared" si="402"/>
        <v>0</v>
      </c>
    </row>
    <row r="14525" spans="13:13" x14ac:dyDescent="0.25">
      <c r="M14525" s="34">
        <f t="shared" si="402"/>
        <v>0</v>
      </c>
    </row>
    <row r="14526" spans="13:13" x14ac:dyDescent="0.25">
      <c r="M14526" s="34">
        <f t="shared" si="402"/>
        <v>0</v>
      </c>
    </row>
    <row r="14527" spans="13:13" x14ac:dyDescent="0.25">
      <c r="M14527" s="34">
        <f t="shared" si="402"/>
        <v>0</v>
      </c>
    </row>
    <row r="14528" spans="13:13" x14ac:dyDescent="0.25">
      <c r="M14528" s="34">
        <f t="shared" si="402"/>
        <v>0</v>
      </c>
    </row>
    <row r="14529" spans="13:13" x14ac:dyDescent="0.25">
      <c r="M14529" s="34">
        <f t="shared" si="402"/>
        <v>0</v>
      </c>
    </row>
    <row r="14530" spans="13:13" x14ac:dyDescent="0.25">
      <c r="M14530" s="34">
        <f t="shared" si="402"/>
        <v>0</v>
      </c>
    </row>
    <row r="14531" spans="13:13" x14ac:dyDescent="0.25">
      <c r="M14531" s="34">
        <f t="shared" ref="M14531:M14594" si="403">IF(AND(E14531="Chèque",G14531="RECETTE"),F14531,0)</f>
        <v>0</v>
      </c>
    </row>
    <row r="14532" spans="13:13" x14ac:dyDescent="0.25">
      <c r="M14532" s="34">
        <f t="shared" si="403"/>
        <v>0</v>
      </c>
    </row>
    <row r="14533" spans="13:13" x14ac:dyDescent="0.25">
      <c r="M14533" s="34">
        <f t="shared" si="403"/>
        <v>0</v>
      </c>
    </row>
    <row r="14534" spans="13:13" x14ac:dyDescent="0.25">
      <c r="M14534" s="34">
        <f t="shared" si="403"/>
        <v>0</v>
      </c>
    </row>
    <row r="14535" spans="13:13" x14ac:dyDescent="0.25">
      <c r="M14535" s="34">
        <f t="shared" si="403"/>
        <v>0</v>
      </c>
    </row>
    <row r="14536" spans="13:13" x14ac:dyDescent="0.25">
      <c r="M14536" s="34">
        <f t="shared" si="403"/>
        <v>0</v>
      </c>
    </row>
    <row r="14537" spans="13:13" x14ac:dyDescent="0.25">
      <c r="M14537" s="34">
        <f t="shared" si="403"/>
        <v>0</v>
      </c>
    </row>
    <row r="14538" spans="13:13" x14ac:dyDescent="0.25">
      <c r="M14538" s="34">
        <f t="shared" si="403"/>
        <v>0</v>
      </c>
    </row>
    <row r="14539" spans="13:13" x14ac:dyDescent="0.25">
      <c r="M14539" s="34">
        <f t="shared" si="403"/>
        <v>0</v>
      </c>
    </row>
    <row r="14540" spans="13:13" x14ac:dyDescent="0.25">
      <c r="M14540" s="34">
        <f t="shared" si="403"/>
        <v>0</v>
      </c>
    </row>
    <row r="14541" spans="13:13" x14ac:dyDescent="0.25">
      <c r="M14541" s="34">
        <f t="shared" si="403"/>
        <v>0</v>
      </c>
    </row>
    <row r="14542" spans="13:13" x14ac:dyDescent="0.25">
      <c r="M14542" s="34">
        <f t="shared" si="403"/>
        <v>0</v>
      </c>
    </row>
    <row r="14543" spans="13:13" x14ac:dyDescent="0.25">
      <c r="M14543" s="34">
        <f t="shared" si="403"/>
        <v>0</v>
      </c>
    </row>
    <row r="14544" spans="13:13" x14ac:dyDescent="0.25">
      <c r="M14544" s="34">
        <f t="shared" si="403"/>
        <v>0</v>
      </c>
    </row>
    <row r="14545" spans="13:13" x14ac:dyDescent="0.25">
      <c r="M14545" s="34">
        <f t="shared" si="403"/>
        <v>0</v>
      </c>
    </row>
    <row r="14546" spans="13:13" x14ac:dyDescent="0.25">
      <c r="M14546" s="34">
        <f t="shared" si="403"/>
        <v>0</v>
      </c>
    </row>
    <row r="14547" spans="13:13" x14ac:dyDescent="0.25">
      <c r="M14547" s="34">
        <f t="shared" si="403"/>
        <v>0</v>
      </c>
    </row>
    <row r="14548" spans="13:13" x14ac:dyDescent="0.25">
      <c r="M14548" s="34">
        <f t="shared" si="403"/>
        <v>0</v>
      </c>
    </row>
    <row r="14549" spans="13:13" x14ac:dyDescent="0.25">
      <c r="M14549" s="34">
        <f t="shared" si="403"/>
        <v>0</v>
      </c>
    </row>
    <row r="14550" spans="13:13" x14ac:dyDescent="0.25">
      <c r="M14550" s="34">
        <f t="shared" si="403"/>
        <v>0</v>
      </c>
    </row>
    <row r="14551" spans="13:13" x14ac:dyDescent="0.25">
      <c r="M14551" s="34">
        <f t="shared" si="403"/>
        <v>0</v>
      </c>
    </row>
    <row r="14552" spans="13:13" x14ac:dyDescent="0.25">
      <c r="M14552" s="34">
        <f t="shared" si="403"/>
        <v>0</v>
      </c>
    </row>
    <row r="14553" spans="13:13" x14ac:dyDescent="0.25">
      <c r="M14553" s="34">
        <f t="shared" si="403"/>
        <v>0</v>
      </c>
    </row>
    <row r="14554" spans="13:13" x14ac:dyDescent="0.25">
      <c r="M14554" s="34">
        <f t="shared" si="403"/>
        <v>0</v>
      </c>
    </row>
    <row r="14555" spans="13:13" x14ac:dyDescent="0.25">
      <c r="M14555" s="34">
        <f t="shared" si="403"/>
        <v>0</v>
      </c>
    </row>
    <row r="14556" spans="13:13" x14ac:dyDescent="0.25">
      <c r="M14556" s="34">
        <f t="shared" si="403"/>
        <v>0</v>
      </c>
    </row>
    <row r="14557" spans="13:13" x14ac:dyDescent="0.25">
      <c r="M14557" s="34">
        <f t="shared" si="403"/>
        <v>0</v>
      </c>
    </row>
    <row r="14558" spans="13:13" x14ac:dyDescent="0.25">
      <c r="M14558" s="34">
        <f t="shared" si="403"/>
        <v>0</v>
      </c>
    </row>
    <row r="14559" spans="13:13" x14ac:dyDescent="0.25">
      <c r="M14559" s="34">
        <f t="shared" si="403"/>
        <v>0</v>
      </c>
    </row>
    <row r="14560" spans="13:13" x14ac:dyDescent="0.25">
      <c r="M14560" s="34">
        <f t="shared" si="403"/>
        <v>0</v>
      </c>
    </row>
    <row r="14561" spans="13:13" x14ac:dyDescent="0.25">
      <c r="M14561" s="34">
        <f t="shared" si="403"/>
        <v>0</v>
      </c>
    </row>
    <row r="14562" spans="13:13" x14ac:dyDescent="0.25">
      <c r="M14562" s="34">
        <f t="shared" si="403"/>
        <v>0</v>
      </c>
    </row>
    <row r="14563" spans="13:13" x14ac:dyDescent="0.25">
      <c r="M14563" s="34">
        <f t="shared" si="403"/>
        <v>0</v>
      </c>
    </row>
    <row r="14564" spans="13:13" x14ac:dyDescent="0.25">
      <c r="M14564" s="34">
        <f t="shared" si="403"/>
        <v>0</v>
      </c>
    </row>
    <row r="14565" spans="13:13" x14ac:dyDescent="0.25">
      <c r="M14565" s="34">
        <f t="shared" si="403"/>
        <v>0</v>
      </c>
    </row>
    <row r="14566" spans="13:13" x14ac:dyDescent="0.25">
      <c r="M14566" s="34">
        <f t="shared" si="403"/>
        <v>0</v>
      </c>
    </row>
    <row r="14567" spans="13:13" x14ac:dyDescent="0.25">
      <c r="M14567" s="34">
        <f t="shared" si="403"/>
        <v>0</v>
      </c>
    </row>
    <row r="14568" spans="13:13" x14ac:dyDescent="0.25">
      <c r="M14568" s="34">
        <f t="shared" si="403"/>
        <v>0</v>
      </c>
    </row>
    <row r="14569" spans="13:13" x14ac:dyDescent="0.25">
      <c r="M14569" s="34">
        <f t="shared" si="403"/>
        <v>0</v>
      </c>
    </row>
    <row r="14570" spans="13:13" x14ac:dyDescent="0.25">
      <c r="M14570" s="34">
        <f t="shared" si="403"/>
        <v>0</v>
      </c>
    </row>
    <row r="14571" spans="13:13" x14ac:dyDescent="0.25">
      <c r="M14571" s="34">
        <f t="shared" si="403"/>
        <v>0</v>
      </c>
    </row>
    <row r="14572" spans="13:13" x14ac:dyDescent="0.25">
      <c r="M14572" s="34">
        <f t="shared" si="403"/>
        <v>0</v>
      </c>
    </row>
    <row r="14573" spans="13:13" x14ac:dyDescent="0.25">
      <c r="M14573" s="34">
        <f t="shared" si="403"/>
        <v>0</v>
      </c>
    </row>
    <row r="14574" spans="13:13" x14ac:dyDescent="0.25">
      <c r="M14574" s="34">
        <f t="shared" si="403"/>
        <v>0</v>
      </c>
    </row>
    <row r="14575" spans="13:13" x14ac:dyDescent="0.25">
      <c r="M14575" s="34">
        <f t="shared" si="403"/>
        <v>0</v>
      </c>
    </row>
    <row r="14576" spans="13:13" x14ac:dyDescent="0.25">
      <c r="M14576" s="34">
        <f t="shared" si="403"/>
        <v>0</v>
      </c>
    </row>
    <row r="14577" spans="13:13" x14ac:dyDescent="0.25">
      <c r="M14577" s="34">
        <f t="shared" si="403"/>
        <v>0</v>
      </c>
    </row>
    <row r="14578" spans="13:13" x14ac:dyDescent="0.25">
      <c r="M14578" s="34">
        <f t="shared" si="403"/>
        <v>0</v>
      </c>
    </row>
    <row r="14579" spans="13:13" x14ac:dyDescent="0.25">
      <c r="M14579" s="34">
        <f t="shared" si="403"/>
        <v>0</v>
      </c>
    </row>
    <row r="14580" spans="13:13" x14ac:dyDescent="0.25">
      <c r="M14580" s="34">
        <f t="shared" si="403"/>
        <v>0</v>
      </c>
    </row>
    <row r="14581" spans="13:13" x14ac:dyDescent="0.25">
      <c r="M14581" s="34">
        <f t="shared" si="403"/>
        <v>0</v>
      </c>
    </row>
    <row r="14582" spans="13:13" x14ac:dyDescent="0.25">
      <c r="M14582" s="34">
        <f t="shared" si="403"/>
        <v>0</v>
      </c>
    </row>
    <row r="14583" spans="13:13" x14ac:dyDescent="0.25">
      <c r="M14583" s="34">
        <f t="shared" si="403"/>
        <v>0</v>
      </c>
    </row>
    <row r="14584" spans="13:13" x14ac:dyDescent="0.25">
      <c r="M14584" s="34">
        <f t="shared" si="403"/>
        <v>0</v>
      </c>
    </row>
    <row r="14585" spans="13:13" x14ac:dyDescent="0.25">
      <c r="M14585" s="34">
        <f t="shared" si="403"/>
        <v>0</v>
      </c>
    </row>
    <row r="14586" spans="13:13" x14ac:dyDescent="0.25">
      <c r="M14586" s="34">
        <f t="shared" si="403"/>
        <v>0</v>
      </c>
    </row>
    <row r="14587" spans="13:13" x14ac:dyDescent="0.25">
      <c r="M14587" s="34">
        <f t="shared" si="403"/>
        <v>0</v>
      </c>
    </row>
    <row r="14588" spans="13:13" x14ac:dyDescent="0.25">
      <c r="M14588" s="34">
        <f t="shared" si="403"/>
        <v>0</v>
      </c>
    </row>
    <row r="14589" spans="13:13" x14ac:dyDescent="0.25">
      <c r="M14589" s="34">
        <f t="shared" si="403"/>
        <v>0</v>
      </c>
    </row>
    <row r="14590" spans="13:13" x14ac:dyDescent="0.25">
      <c r="M14590" s="34">
        <f t="shared" si="403"/>
        <v>0</v>
      </c>
    </row>
    <row r="14591" spans="13:13" x14ac:dyDescent="0.25">
      <c r="M14591" s="34">
        <f t="shared" si="403"/>
        <v>0</v>
      </c>
    </row>
    <row r="14592" spans="13:13" x14ac:dyDescent="0.25">
      <c r="M14592" s="34">
        <f t="shared" si="403"/>
        <v>0</v>
      </c>
    </row>
    <row r="14593" spans="13:13" x14ac:dyDescent="0.25">
      <c r="M14593" s="34">
        <f t="shared" si="403"/>
        <v>0</v>
      </c>
    </row>
    <row r="14594" spans="13:13" x14ac:dyDescent="0.25">
      <c r="M14594" s="34">
        <f t="shared" si="403"/>
        <v>0</v>
      </c>
    </row>
    <row r="14595" spans="13:13" x14ac:dyDescent="0.25">
      <c r="M14595" s="34">
        <f t="shared" ref="M14595:M14658" si="404">IF(AND(E14595="Chèque",G14595="RECETTE"),F14595,0)</f>
        <v>0</v>
      </c>
    </row>
    <row r="14596" spans="13:13" x14ac:dyDescent="0.25">
      <c r="M14596" s="34">
        <f t="shared" si="404"/>
        <v>0</v>
      </c>
    </row>
    <row r="14597" spans="13:13" x14ac:dyDescent="0.25">
      <c r="M14597" s="34">
        <f t="shared" si="404"/>
        <v>0</v>
      </c>
    </row>
    <row r="14598" spans="13:13" x14ac:dyDescent="0.25">
      <c r="M14598" s="34">
        <f t="shared" si="404"/>
        <v>0</v>
      </c>
    </row>
    <row r="14599" spans="13:13" x14ac:dyDescent="0.25">
      <c r="M14599" s="34">
        <f t="shared" si="404"/>
        <v>0</v>
      </c>
    </row>
    <row r="14600" spans="13:13" x14ac:dyDescent="0.25">
      <c r="M14600" s="34">
        <f t="shared" si="404"/>
        <v>0</v>
      </c>
    </row>
    <row r="14601" spans="13:13" x14ac:dyDescent="0.25">
      <c r="M14601" s="34">
        <f t="shared" si="404"/>
        <v>0</v>
      </c>
    </row>
    <row r="14602" spans="13:13" x14ac:dyDescent="0.25">
      <c r="M14602" s="34">
        <f t="shared" si="404"/>
        <v>0</v>
      </c>
    </row>
    <row r="14603" spans="13:13" x14ac:dyDescent="0.25">
      <c r="M14603" s="34">
        <f t="shared" si="404"/>
        <v>0</v>
      </c>
    </row>
    <row r="14604" spans="13:13" x14ac:dyDescent="0.25">
      <c r="M14604" s="34">
        <f t="shared" si="404"/>
        <v>0</v>
      </c>
    </row>
    <row r="14605" spans="13:13" x14ac:dyDescent="0.25">
      <c r="M14605" s="34">
        <f t="shared" si="404"/>
        <v>0</v>
      </c>
    </row>
    <row r="14606" spans="13:13" x14ac:dyDescent="0.25">
      <c r="M14606" s="34">
        <f t="shared" si="404"/>
        <v>0</v>
      </c>
    </row>
    <row r="14607" spans="13:13" x14ac:dyDescent="0.25">
      <c r="M14607" s="34">
        <f t="shared" si="404"/>
        <v>0</v>
      </c>
    </row>
    <row r="14608" spans="13:13" x14ac:dyDescent="0.25">
      <c r="M14608" s="34">
        <f t="shared" si="404"/>
        <v>0</v>
      </c>
    </row>
    <row r="14609" spans="13:13" x14ac:dyDescent="0.25">
      <c r="M14609" s="34">
        <f t="shared" si="404"/>
        <v>0</v>
      </c>
    </row>
    <row r="14610" spans="13:13" x14ac:dyDescent="0.25">
      <c r="M14610" s="34">
        <f t="shared" si="404"/>
        <v>0</v>
      </c>
    </row>
    <row r="14611" spans="13:13" x14ac:dyDescent="0.25">
      <c r="M14611" s="34">
        <f t="shared" si="404"/>
        <v>0</v>
      </c>
    </row>
    <row r="14612" spans="13:13" x14ac:dyDescent="0.25">
      <c r="M14612" s="34">
        <f t="shared" si="404"/>
        <v>0</v>
      </c>
    </row>
    <row r="14613" spans="13:13" x14ac:dyDescent="0.25">
      <c r="M14613" s="34">
        <f t="shared" si="404"/>
        <v>0</v>
      </c>
    </row>
    <row r="14614" spans="13:13" x14ac:dyDescent="0.25">
      <c r="M14614" s="34">
        <f t="shared" si="404"/>
        <v>0</v>
      </c>
    </row>
    <row r="14615" spans="13:13" x14ac:dyDescent="0.25">
      <c r="M14615" s="34">
        <f t="shared" si="404"/>
        <v>0</v>
      </c>
    </row>
    <row r="14616" spans="13:13" x14ac:dyDescent="0.25">
      <c r="M14616" s="34">
        <f t="shared" si="404"/>
        <v>0</v>
      </c>
    </row>
    <row r="14617" spans="13:13" x14ac:dyDescent="0.25">
      <c r="M14617" s="34">
        <f t="shared" si="404"/>
        <v>0</v>
      </c>
    </row>
    <row r="14618" spans="13:13" x14ac:dyDescent="0.25">
      <c r="M14618" s="34">
        <f t="shared" si="404"/>
        <v>0</v>
      </c>
    </row>
    <row r="14619" spans="13:13" x14ac:dyDescent="0.25">
      <c r="M14619" s="34">
        <f t="shared" si="404"/>
        <v>0</v>
      </c>
    </row>
    <row r="14620" spans="13:13" x14ac:dyDescent="0.25">
      <c r="M14620" s="34">
        <f t="shared" si="404"/>
        <v>0</v>
      </c>
    </row>
    <row r="14621" spans="13:13" x14ac:dyDescent="0.25">
      <c r="M14621" s="34">
        <f t="shared" si="404"/>
        <v>0</v>
      </c>
    </row>
    <row r="14622" spans="13:13" x14ac:dyDescent="0.25">
      <c r="M14622" s="34">
        <f t="shared" si="404"/>
        <v>0</v>
      </c>
    </row>
    <row r="14623" spans="13:13" x14ac:dyDescent="0.25">
      <c r="M14623" s="34">
        <f t="shared" si="404"/>
        <v>0</v>
      </c>
    </row>
    <row r="14624" spans="13:13" x14ac:dyDescent="0.25">
      <c r="M14624" s="34">
        <f t="shared" si="404"/>
        <v>0</v>
      </c>
    </row>
    <row r="14625" spans="13:13" x14ac:dyDescent="0.25">
      <c r="M14625" s="34">
        <f t="shared" si="404"/>
        <v>0</v>
      </c>
    </row>
    <row r="14626" spans="13:13" x14ac:dyDescent="0.25">
      <c r="M14626" s="34">
        <f t="shared" si="404"/>
        <v>0</v>
      </c>
    </row>
    <row r="14627" spans="13:13" x14ac:dyDescent="0.25">
      <c r="M14627" s="34">
        <f t="shared" si="404"/>
        <v>0</v>
      </c>
    </row>
    <row r="14628" spans="13:13" x14ac:dyDescent="0.25">
      <c r="M14628" s="34">
        <f t="shared" si="404"/>
        <v>0</v>
      </c>
    </row>
    <row r="14629" spans="13:13" x14ac:dyDescent="0.25">
      <c r="M14629" s="34">
        <f t="shared" si="404"/>
        <v>0</v>
      </c>
    </row>
    <row r="14630" spans="13:13" x14ac:dyDescent="0.25">
      <c r="M14630" s="34">
        <f t="shared" si="404"/>
        <v>0</v>
      </c>
    </row>
    <row r="14631" spans="13:13" x14ac:dyDescent="0.25">
      <c r="M14631" s="34">
        <f t="shared" si="404"/>
        <v>0</v>
      </c>
    </row>
    <row r="14632" spans="13:13" x14ac:dyDescent="0.25">
      <c r="M14632" s="34">
        <f t="shared" si="404"/>
        <v>0</v>
      </c>
    </row>
    <row r="14633" spans="13:13" x14ac:dyDescent="0.25">
      <c r="M14633" s="34">
        <f t="shared" si="404"/>
        <v>0</v>
      </c>
    </row>
    <row r="14634" spans="13:13" x14ac:dyDescent="0.25">
      <c r="M14634" s="34">
        <f t="shared" si="404"/>
        <v>0</v>
      </c>
    </row>
    <row r="14635" spans="13:13" x14ac:dyDescent="0.25">
      <c r="M14635" s="34">
        <f t="shared" si="404"/>
        <v>0</v>
      </c>
    </row>
    <row r="14636" spans="13:13" x14ac:dyDescent="0.25">
      <c r="M14636" s="34">
        <f t="shared" si="404"/>
        <v>0</v>
      </c>
    </row>
    <row r="14637" spans="13:13" x14ac:dyDescent="0.25">
      <c r="M14637" s="34">
        <f t="shared" si="404"/>
        <v>0</v>
      </c>
    </row>
    <row r="14638" spans="13:13" x14ac:dyDescent="0.25">
      <c r="M14638" s="34">
        <f t="shared" si="404"/>
        <v>0</v>
      </c>
    </row>
    <row r="14639" spans="13:13" x14ac:dyDescent="0.25">
      <c r="M14639" s="34">
        <f t="shared" si="404"/>
        <v>0</v>
      </c>
    </row>
    <row r="14640" spans="13:13" x14ac:dyDescent="0.25">
      <c r="M14640" s="34">
        <f t="shared" si="404"/>
        <v>0</v>
      </c>
    </row>
    <row r="14641" spans="13:13" x14ac:dyDescent="0.25">
      <c r="M14641" s="34">
        <f t="shared" si="404"/>
        <v>0</v>
      </c>
    </row>
    <row r="14642" spans="13:13" x14ac:dyDescent="0.25">
      <c r="M14642" s="34">
        <f t="shared" si="404"/>
        <v>0</v>
      </c>
    </row>
    <row r="14643" spans="13:13" x14ac:dyDescent="0.25">
      <c r="M14643" s="34">
        <f t="shared" si="404"/>
        <v>0</v>
      </c>
    </row>
    <row r="14644" spans="13:13" x14ac:dyDescent="0.25">
      <c r="M14644" s="34">
        <f t="shared" si="404"/>
        <v>0</v>
      </c>
    </row>
    <row r="14645" spans="13:13" x14ac:dyDescent="0.25">
      <c r="M14645" s="34">
        <f t="shared" si="404"/>
        <v>0</v>
      </c>
    </row>
    <row r="14646" spans="13:13" x14ac:dyDescent="0.25">
      <c r="M14646" s="34">
        <f t="shared" si="404"/>
        <v>0</v>
      </c>
    </row>
    <row r="14647" spans="13:13" x14ac:dyDescent="0.25">
      <c r="M14647" s="34">
        <f t="shared" si="404"/>
        <v>0</v>
      </c>
    </row>
    <row r="14648" spans="13:13" x14ac:dyDescent="0.25">
      <c r="M14648" s="34">
        <f t="shared" si="404"/>
        <v>0</v>
      </c>
    </row>
    <row r="14649" spans="13:13" x14ac:dyDescent="0.25">
      <c r="M14649" s="34">
        <f t="shared" si="404"/>
        <v>0</v>
      </c>
    </row>
    <row r="14650" spans="13:13" x14ac:dyDescent="0.25">
      <c r="M14650" s="34">
        <f t="shared" si="404"/>
        <v>0</v>
      </c>
    </row>
    <row r="14651" spans="13:13" x14ac:dyDescent="0.25">
      <c r="M14651" s="34">
        <f t="shared" si="404"/>
        <v>0</v>
      </c>
    </row>
    <row r="14652" spans="13:13" x14ac:dyDescent="0.25">
      <c r="M14652" s="34">
        <f t="shared" si="404"/>
        <v>0</v>
      </c>
    </row>
    <row r="14653" spans="13:13" x14ac:dyDescent="0.25">
      <c r="M14653" s="34">
        <f t="shared" si="404"/>
        <v>0</v>
      </c>
    </row>
    <row r="14654" spans="13:13" x14ac:dyDescent="0.25">
      <c r="M14654" s="34">
        <f t="shared" si="404"/>
        <v>0</v>
      </c>
    </row>
    <row r="14655" spans="13:13" x14ac:dyDescent="0.25">
      <c r="M14655" s="34">
        <f t="shared" si="404"/>
        <v>0</v>
      </c>
    </row>
    <row r="14656" spans="13:13" x14ac:dyDescent="0.25">
      <c r="M14656" s="34">
        <f t="shared" si="404"/>
        <v>0</v>
      </c>
    </row>
    <row r="14657" spans="13:13" x14ac:dyDescent="0.25">
      <c r="M14657" s="34">
        <f t="shared" si="404"/>
        <v>0</v>
      </c>
    </row>
    <row r="14658" spans="13:13" x14ac:dyDescent="0.25">
      <c r="M14658" s="34">
        <f t="shared" si="404"/>
        <v>0</v>
      </c>
    </row>
    <row r="14659" spans="13:13" x14ac:dyDescent="0.25">
      <c r="M14659" s="34">
        <f t="shared" ref="M14659:M14722" si="405">IF(AND(E14659="Chèque",G14659="RECETTE"),F14659,0)</f>
        <v>0</v>
      </c>
    </row>
    <row r="14660" spans="13:13" x14ac:dyDescent="0.25">
      <c r="M14660" s="34">
        <f t="shared" si="405"/>
        <v>0</v>
      </c>
    </row>
    <row r="14661" spans="13:13" x14ac:dyDescent="0.25">
      <c r="M14661" s="34">
        <f t="shared" si="405"/>
        <v>0</v>
      </c>
    </row>
    <row r="14662" spans="13:13" x14ac:dyDescent="0.25">
      <c r="M14662" s="34">
        <f t="shared" si="405"/>
        <v>0</v>
      </c>
    </row>
    <row r="14663" spans="13:13" x14ac:dyDescent="0.25">
      <c r="M14663" s="34">
        <f t="shared" si="405"/>
        <v>0</v>
      </c>
    </row>
    <row r="14664" spans="13:13" x14ac:dyDescent="0.25">
      <c r="M14664" s="34">
        <f t="shared" si="405"/>
        <v>0</v>
      </c>
    </row>
    <row r="14665" spans="13:13" x14ac:dyDescent="0.25">
      <c r="M14665" s="34">
        <f t="shared" si="405"/>
        <v>0</v>
      </c>
    </row>
    <row r="14666" spans="13:13" x14ac:dyDescent="0.25">
      <c r="M14666" s="34">
        <f t="shared" si="405"/>
        <v>0</v>
      </c>
    </row>
    <row r="14667" spans="13:13" x14ac:dyDescent="0.25">
      <c r="M14667" s="34">
        <f t="shared" si="405"/>
        <v>0</v>
      </c>
    </row>
    <row r="14668" spans="13:13" x14ac:dyDescent="0.25">
      <c r="M14668" s="34">
        <f t="shared" si="405"/>
        <v>0</v>
      </c>
    </row>
    <row r="14669" spans="13:13" x14ac:dyDescent="0.25">
      <c r="M14669" s="34">
        <f t="shared" si="405"/>
        <v>0</v>
      </c>
    </row>
    <row r="14670" spans="13:13" x14ac:dyDescent="0.25">
      <c r="M14670" s="34">
        <f t="shared" si="405"/>
        <v>0</v>
      </c>
    </row>
    <row r="14671" spans="13:13" x14ac:dyDescent="0.25">
      <c r="M14671" s="34">
        <f t="shared" si="405"/>
        <v>0</v>
      </c>
    </row>
    <row r="14672" spans="13:13" x14ac:dyDescent="0.25">
      <c r="M14672" s="34">
        <f t="shared" si="405"/>
        <v>0</v>
      </c>
    </row>
    <row r="14673" spans="13:13" x14ac:dyDescent="0.25">
      <c r="M14673" s="34">
        <f t="shared" si="405"/>
        <v>0</v>
      </c>
    </row>
    <row r="14674" spans="13:13" x14ac:dyDescent="0.25">
      <c r="M14674" s="34">
        <f t="shared" si="405"/>
        <v>0</v>
      </c>
    </row>
    <row r="14675" spans="13:13" x14ac:dyDescent="0.25">
      <c r="M14675" s="34">
        <f t="shared" si="405"/>
        <v>0</v>
      </c>
    </row>
    <row r="14676" spans="13:13" x14ac:dyDescent="0.25">
      <c r="M14676" s="34">
        <f t="shared" si="405"/>
        <v>0</v>
      </c>
    </row>
    <row r="14677" spans="13:13" x14ac:dyDescent="0.25">
      <c r="M14677" s="34">
        <f t="shared" si="405"/>
        <v>0</v>
      </c>
    </row>
    <row r="14678" spans="13:13" x14ac:dyDescent="0.25">
      <c r="M14678" s="34">
        <f t="shared" si="405"/>
        <v>0</v>
      </c>
    </row>
    <row r="14679" spans="13:13" x14ac:dyDescent="0.25">
      <c r="M14679" s="34">
        <f t="shared" si="405"/>
        <v>0</v>
      </c>
    </row>
    <row r="14680" spans="13:13" x14ac:dyDescent="0.25">
      <c r="M14680" s="34">
        <f t="shared" si="405"/>
        <v>0</v>
      </c>
    </row>
    <row r="14681" spans="13:13" x14ac:dyDescent="0.25">
      <c r="M14681" s="34">
        <f t="shared" si="405"/>
        <v>0</v>
      </c>
    </row>
    <row r="14682" spans="13:13" x14ac:dyDescent="0.25">
      <c r="M14682" s="34">
        <f t="shared" si="405"/>
        <v>0</v>
      </c>
    </row>
    <row r="14683" spans="13:13" x14ac:dyDescent="0.25">
      <c r="M14683" s="34">
        <f t="shared" si="405"/>
        <v>0</v>
      </c>
    </row>
    <row r="14684" spans="13:13" x14ac:dyDescent="0.25">
      <c r="M14684" s="34">
        <f t="shared" si="405"/>
        <v>0</v>
      </c>
    </row>
    <row r="14685" spans="13:13" x14ac:dyDescent="0.25">
      <c r="M14685" s="34">
        <f t="shared" si="405"/>
        <v>0</v>
      </c>
    </row>
    <row r="14686" spans="13:13" x14ac:dyDescent="0.25">
      <c r="M14686" s="34">
        <f t="shared" si="405"/>
        <v>0</v>
      </c>
    </row>
    <row r="14687" spans="13:13" x14ac:dyDescent="0.25">
      <c r="M14687" s="34">
        <f t="shared" si="405"/>
        <v>0</v>
      </c>
    </row>
    <row r="14688" spans="13:13" x14ac:dyDescent="0.25">
      <c r="M14688" s="34">
        <f t="shared" si="405"/>
        <v>0</v>
      </c>
    </row>
    <row r="14689" spans="13:13" x14ac:dyDescent="0.25">
      <c r="M14689" s="34">
        <f t="shared" si="405"/>
        <v>0</v>
      </c>
    </row>
    <row r="14690" spans="13:13" x14ac:dyDescent="0.25">
      <c r="M14690" s="34">
        <f t="shared" si="405"/>
        <v>0</v>
      </c>
    </row>
    <row r="14691" spans="13:13" x14ac:dyDescent="0.25">
      <c r="M14691" s="34">
        <f t="shared" si="405"/>
        <v>0</v>
      </c>
    </row>
    <row r="14692" spans="13:13" x14ac:dyDescent="0.25">
      <c r="M14692" s="34">
        <f t="shared" si="405"/>
        <v>0</v>
      </c>
    </row>
    <row r="14693" spans="13:13" x14ac:dyDescent="0.25">
      <c r="M14693" s="34">
        <f t="shared" si="405"/>
        <v>0</v>
      </c>
    </row>
    <row r="14694" spans="13:13" x14ac:dyDescent="0.25">
      <c r="M14694" s="34">
        <f t="shared" si="405"/>
        <v>0</v>
      </c>
    </row>
    <row r="14695" spans="13:13" x14ac:dyDescent="0.25">
      <c r="M14695" s="34">
        <f t="shared" si="405"/>
        <v>0</v>
      </c>
    </row>
    <row r="14696" spans="13:13" x14ac:dyDescent="0.25">
      <c r="M14696" s="34">
        <f t="shared" si="405"/>
        <v>0</v>
      </c>
    </row>
    <row r="14697" spans="13:13" x14ac:dyDescent="0.25">
      <c r="M14697" s="34">
        <f t="shared" si="405"/>
        <v>0</v>
      </c>
    </row>
    <row r="14698" spans="13:13" x14ac:dyDescent="0.25">
      <c r="M14698" s="34">
        <f t="shared" si="405"/>
        <v>0</v>
      </c>
    </row>
    <row r="14699" spans="13:13" x14ac:dyDescent="0.25">
      <c r="M14699" s="34">
        <f t="shared" si="405"/>
        <v>0</v>
      </c>
    </row>
    <row r="14700" spans="13:13" x14ac:dyDescent="0.25">
      <c r="M14700" s="34">
        <f t="shared" si="405"/>
        <v>0</v>
      </c>
    </row>
    <row r="14701" spans="13:13" x14ac:dyDescent="0.25">
      <c r="M14701" s="34">
        <f t="shared" si="405"/>
        <v>0</v>
      </c>
    </row>
    <row r="14702" spans="13:13" x14ac:dyDescent="0.25">
      <c r="M14702" s="34">
        <f t="shared" si="405"/>
        <v>0</v>
      </c>
    </row>
    <row r="14703" spans="13:13" x14ac:dyDescent="0.25">
      <c r="M14703" s="34">
        <f t="shared" si="405"/>
        <v>0</v>
      </c>
    </row>
    <row r="14704" spans="13:13" x14ac:dyDescent="0.25">
      <c r="M14704" s="34">
        <f t="shared" si="405"/>
        <v>0</v>
      </c>
    </row>
    <row r="14705" spans="13:13" x14ac:dyDescent="0.25">
      <c r="M14705" s="34">
        <f t="shared" si="405"/>
        <v>0</v>
      </c>
    </row>
    <row r="14706" spans="13:13" x14ac:dyDescent="0.25">
      <c r="M14706" s="34">
        <f t="shared" si="405"/>
        <v>0</v>
      </c>
    </row>
    <row r="14707" spans="13:13" x14ac:dyDescent="0.25">
      <c r="M14707" s="34">
        <f t="shared" si="405"/>
        <v>0</v>
      </c>
    </row>
    <row r="14708" spans="13:13" x14ac:dyDescent="0.25">
      <c r="M14708" s="34">
        <f t="shared" si="405"/>
        <v>0</v>
      </c>
    </row>
    <row r="14709" spans="13:13" x14ac:dyDescent="0.25">
      <c r="M14709" s="34">
        <f t="shared" si="405"/>
        <v>0</v>
      </c>
    </row>
    <row r="14710" spans="13:13" x14ac:dyDescent="0.25">
      <c r="M14710" s="34">
        <f t="shared" si="405"/>
        <v>0</v>
      </c>
    </row>
    <row r="14711" spans="13:13" x14ac:dyDescent="0.25">
      <c r="M14711" s="34">
        <f t="shared" si="405"/>
        <v>0</v>
      </c>
    </row>
    <row r="14712" spans="13:13" x14ac:dyDescent="0.25">
      <c r="M14712" s="34">
        <f t="shared" si="405"/>
        <v>0</v>
      </c>
    </row>
    <row r="14713" spans="13:13" x14ac:dyDescent="0.25">
      <c r="M14713" s="34">
        <f t="shared" si="405"/>
        <v>0</v>
      </c>
    </row>
    <row r="14714" spans="13:13" x14ac:dyDescent="0.25">
      <c r="M14714" s="34">
        <f t="shared" si="405"/>
        <v>0</v>
      </c>
    </row>
    <row r="14715" spans="13:13" x14ac:dyDescent="0.25">
      <c r="M14715" s="34">
        <f t="shared" si="405"/>
        <v>0</v>
      </c>
    </row>
    <row r="14716" spans="13:13" x14ac:dyDescent="0.25">
      <c r="M14716" s="34">
        <f t="shared" si="405"/>
        <v>0</v>
      </c>
    </row>
    <row r="14717" spans="13:13" x14ac:dyDescent="0.25">
      <c r="M14717" s="34">
        <f t="shared" si="405"/>
        <v>0</v>
      </c>
    </row>
    <row r="14718" spans="13:13" x14ac:dyDescent="0.25">
      <c r="M14718" s="34">
        <f t="shared" si="405"/>
        <v>0</v>
      </c>
    </row>
    <row r="14719" spans="13:13" x14ac:dyDescent="0.25">
      <c r="M14719" s="34">
        <f t="shared" si="405"/>
        <v>0</v>
      </c>
    </row>
    <row r="14720" spans="13:13" x14ac:dyDescent="0.25">
      <c r="M14720" s="34">
        <f t="shared" si="405"/>
        <v>0</v>
      </c>
    </row>
    <row r="14721" spans="13:13" x14ac:dyDescent="0.25">
      <c r="M14721" s="34">
        <f t="shared" si="405"/>
        <v>0</v>
      </c>
    </row>
    <row r="14722" spans="13:13" x14ac:dyDescent="0.25">
      <c r="M14722" s="34">
        <f t="shared" si="405"/>
        <v>0</v>
      </c>
    </row>
    <row r="14723" spans="13:13" x14ac:dyDescent="0.25">
      <c r="M14723" s="34">
        <f t="shared" ref="M14723:M14786" si="406">IF(AND(E14723="Chèque",G14723="RECETTE"),F14723,0)</f>
        <v>0</v>
      </c>
    </row>
    <row r="14724" spans="13:13" x14ac:dyDescent="0.25">
      <c r="M14724" s="34">
        <f t="shared" si="406"/>
        <v>0</v>
      </c>
    </row>
    <row r="14725" spans="13:13" x14ac:dyDescent="0.25">
      <c r="M14725" s="34">
        <f t="shared" si="406"/>
        <v>0</v>
      </c>
    </row>
    <row r="14726" spans="13:13" x14ac:dyDescent="0.25">
      <c r="M14726" s="34">
        <f t="shared" si="406"/>
        <v>0</v>
      </c>
    </row>
    <row r="14727" spans="13:13" x14ac:dyDescent="0.25">
      <c r="M14727" s="34">
        <f t="shared" si="406"/>
        <v>0</v>
      </c>
    </row>
    <row r="14728" spans="13:13" x14ac:dyDescent="0.25">
      <c r="M14728" s="34">
        <f t="shared" si="406"/>
        <v>0</v>
      </c>
    </row>
    <row r="14729" spans="13:13" x14ac:dyDescent="0.25">
      <c r="M14729" s="34">
        <f t="shared" si="406"/>
        <v>0</v>
      </c>
    </row>
    <row r="14730" spans="13:13" x14ac:dyDescent="0.25">
      <c r="M14730" s="34">
        <f t="shared" si="406"/>
        <v>0</v>
      </c>
    </row>
    <row r="14731" spans="13:13" x14ac:dyDescent="0.25">
      <c r="M14731" s="34">
        <f t="shared" si="406"/>
        <v>0</v>
      </c>
    </row>
    <row r="14732" spans="13:13" x14ac:dyDescent="0.25">
      <c r="M14732" s="34">
        <f t="shared" si="406"/>
        <v>0</v>
      </c>
    </row>
    <row r="14733" spans="13:13" x14ac:dyDescent="0.25">
      <c r="M14733" s="34">
        <f t="shared" si="406"/>
        <v>0</v>
      </c>
    </row>
    <row r="14734" spans="13:13" x14ac:dyDescent="0.25">
      <c r="M14734" s="34">
        <f t="shared" si="406"/>
        <v>0</v>
      </c>
    </row>
    <row r="14735" spans="13:13" x14ac:dyDescent="0.25">
      <c r="M14735" s="34">
        <f t="shared" si="406"/>
        <v>0</v>
      </c>
    </row>
    <row r="14736" spans="13:13" x14ac:dyDescent="0.25">
      <c r="M14736" s="34">
        <f t="shared" si="406"/>
        <v>0</v>
      </c>
    </row>
    <row r="14737" spans="13:13" x14ac:dyDescent="0.25">
      <c r="M14737" s="34">
        <f t="shared" si="406"/>
        <v>0</v>
      </c>
    </row>
    <row r="14738" spans="13:13" x14ac:dyDescent="0.25">
      <c r="M14738" s="34">
        <f t="shared" si="406"/>
        <v>0</v>
      </c>
    </row>
    <row r="14739" spans="13:13" x14ac:dyDescent="0.25">
      <c r="M14739" s="34">
        <f t="shared" si="406"/>
        <v>0</v>
      </c>
    </row>
    <row r="14740" spans="13:13" x14ac:dyDescent="0.25">
      <c r="M14740" s="34">
        <f t="shared" si="406"/>
        <v>0</v>
      </c>
    </row>
    <row r="14741" spans="13:13" x14ac:dyDescent="0.25">
      <c r="M14741" s="34">
        <f t="shared" si="406"/>
        <v>0</v>
      </c>
    </row>
    <row r="14742" spans="13:13" x14ac:dyDescent="0.25">
      <c r="M14742" s="34">
        <f t="shared" si="406"/>
        <v>0</v>
      </c>
    </row>
    <row r="14743" spans="13:13" x14ac:dyDescent="0.25">
      <c r="M14743" s="34">
        <f t="shared" si="406"/>
        <v>0</v>
      </c>
    </row>
    <row r="14744" spans="13:13" x14ac:dyDescent="0.25">
      <c r="M14744" s="34">
        <f t="shared" si="406"/>
        <v>0</v>
      </c>
    </row>
    <row r="14745" spans="13:13" x14ac:dyDescent="0.25">
      <c r="M14745" s="34">
        <f t="shared" si="406"/>
        <v>0</v>
      </c>
    </row>
    <row r="14746" spans="13:13" x14ac:dyDescent="0.25">
      <c r="M14746" s="34">
        <f t="shared" si="406"/>
        <v>0</v>
      </c>
    </row>
    <row r="14747" spans="13:13" x14ac:dyDescent="0.25">
      <c r="M14747" s="34">
        <f t="shared" si="406"/>
        <v>0</v>
      </c>
    </row>
    <row r="14748" spans="13:13" x14ac:dyDescent="0.25">
      <c r="M14748" s="34">
        <f t="shared" si="406"/>
        <v>0</v>
      </c>
    </row>
    <row r="14749" spans="13:13" x14ac:dyDescent="0.25">
      <c r="M14749" s="34">
        <f t="shared" si="406"/>
        <v>0</v>
      </c>
    </row>
    <row r="14750" spans="13:13" x14ac:dyDescent="0.25">
      <c r="M14750" s="34">
        <f t="shared" si="406"/>
        <v>0</v>
      </c>
    </row>
    <row r="14751" spans="13:13" x14ac:dyDescent="0.25">
      <c r="M14751" s="34">
        <f t="shared" si="406"/>
        <v>0</v>
      </c>
    </row>
    <row r="14752" spans="13:13" x14ac:dyDescent="0.25">
      <c r="M14752" s="34">
        <f t="shared" si="406"/>
        <v>0</v>
      </c>
    </row>
    <row r="14753" spans="13:13" x14ac:dyDescent="0.25">
      <c r="M14753" s="34">
        <f t="shared" si="406"/>
        <v>0</v>
      </c>
    </row>
    <row r="14754" spans="13:13" x14ac:dyDescent="0.25">
      <c r="M14754" s="34">
        <f t="shared" si="406"/>
        <v>0</v>
      </c>
    </row>
    <row r="14755" spans="13:13" x14ac:dyDescent="0.25">
      <c r="M14755" s="34">
        <f t="shared" si="406"/>
        <v>0</v>
      </c>
    </row>
    <row r="14756" spans="13:13" x14ac:dyDescent="0.25">
      <c r="M14756" s="34">
        <f t="shared" si="406"/>
        <v>0</v>
      </c>
    </row>
    <row r="14757" spans="13:13" x14ac:dyDescent="0.25">
      <c r="M14757" s="34">
        <f t="shared" si="406"/>
        <v>0</v>
      </c>
    </row>
    <row r="14758" spans="13:13" x14ac:dyDescent="0.25">
      <c r="M14758" s="34">
        <f t="shared" si="406"/>
        <v>0</v>
      </c>
    </row>
    <row r="14759" spans="13:13" x14ac:dyDescent="0.25">
      <c r="M14759" s="34">
        <f t="shared" si="406"/>
        <v>0</v>
      </c>
    </row>
    <row r="14760" spans="13:13" x14ac:dyDescent="0.25">
      <c r="M14760" s="34">
        <f t="shared" si="406"/>
        <v>0</v>
      </c>
    </row>
    <row r="14761" spans="13:13" x14ac:dyDescent="0.25">
      <c r="M14761" s="34">
        <f t="shared" si="406"/>
        <v>0</v>
      </c>
    </row>
    <row r="14762" spans="13:13" x14ac:dyDescent="0.25">
      <c r="M14762" s="34">
        <f t="shared" si="406"/>
        <v>0</v>
      </c>
    </row>
    <row r="14763" spans="13:13" x14ac:dyDescent="0.25">
      <c r="M14763" s="34">
        <f t="shared" si="406"/>
        <v>0</v>
      </c>
    </row>
    <row r="14764" spans="13:13" x14ac:dyDescent="0.25">
      <c r="M14764" s="34">
        <f t="shared" si="406"/>
        <v>0</v>
      </c>
    </row>
    <row r="14765" spans="13:13" x14ac:dyDescent="0.25">
      <c r="M14765" s="34">
        <f t="shared" si="406"/>
        <v>0</v>
      </c>
    </row>
    <row r="14766" spans="13:13" x14ac:dyDescent="0.25">
      <c r="M14766" s="34">
        <f t="shared" si="406"/>
        <v>0</v>
      </c>
    </row>
    <row r="14767" spans="13:13" x14ac:dyDescent="0.25">
      <c r="M14767" s="34">
        <f t="shared" si="406"/>
        <v>0</v>
      </c>
    </row>
    <row r="14768" spans="13:13" x14ac:dyDescent="0.25">
      <c r="M14768" s="34">
        <f t="shared" si="406"/>
        <v>0</v>
      </c>
    </row>
    <row r="14769" spans="13:13" x14ac:dyDescent="0.25">
      <c r="M14769" s="34">
        <f t="shared" si="406"/>
        <v>0</v>
      </c>
    </row>
    <row r="14770" spans="13:13" x14ac:dyDescent="0.25">
      <c r="M14770" s="34">
        <f t="shared" si="406"/>
        <v>0</v>
      </c>
    </row>
    <row r="14771" spans="13:13" x14ac:dyDescent="0.25">
      <c r="M14771" s="34">
        <f t="shared" si="406"/>
        <v>0</v>
      </c>
    </row>
    <row r="14772" spans="13:13" x14ac:dyDescent="0.25">
      <c r="M14772" s="34">
        <f t="shared" si="406"/>
        <v>0</v>
      </c>
    </row>
    <row r="14773" spans="13:13" x14ac:dyDescent="0.25">
      <c r="M14773" s="34">
        <f t="shared" si="406"/>
        <v>0</v>
      </c>
    </row>
    <row r="14774" spans="13:13" x14ac:dyDescent="0.25">
      <c r="M14774" s="34">
        <f t="shared" si="406"/>
        <v>0</v>
      </c>
    </row>
    <row r="14775" spans="13:13" x14ac:dyDescent="0.25">
      <c r="M14775" s="34">
        <f t="shared" si="406"/>
        <v>0</v>
      </c>
    </row>
    <row r="14776" spans="13:13" x14ac:dyDescent="0.25">
      <c r="M14776" s="34">
        <f t="shared" si="406"/>
        <v>0</v>
      </c>
    </row>
    <row r="14777" spans="13:13" x14ac:dyDescent="0.25">
      <c r="M14777" s="34">
        <f t="shared" si="406"/>
        <v>0</v>
      </c>
    </row>
    <row r="14778" spans="13:13" x14ac:dyDescent="0.25">
      <c r="M14778" s="34">
        <f t="shared" si="406"/>
        <v>0</v>
      </c>
    </row>
    <row r="14779" spans="13:13" x14ac:dyDescent="0.25">
      <c r="M14779" s="34">
        <f t="shared" si="406"/>
        <v>0</v>
      </c>
    </row>
    <row r="14780" spans="13:13" x14ac:dyDescent="0.25">
      <c r="M14780" s="34">
        <f t="shared" si="406"/>
        <v>0</v>
      </c>
    </row>
    <row r="14781" spans="13:13" x14ac:dyDescent="0.25">
      <c r="M14781" s="34">
        <f t="shared" si="406"/>
        <v>0</v>
      </c>
    </row>
    <row r="14782" spans="13:13" x14ac:dyDescent="0.25">
      <c r="M14782" s="34">
        <f t="shared" si="406"/>
        <v>0</v>
      </c>
    </row>
    <row r="14783" spans="13:13" x14ac:dyDescent="0.25">
      <c r="M14783" s="34">
        <f t="shared" si="406"/>
        <v>0</v>
      </c>
    </row>
    <row r="14784" spans="13:13" x14ac:dyDescent="0.25">
      <c r="M14784" s="34">
        <f t="shared" si="406"/>
        <v>0</v>
      </c>
    </row>
    <row r="14785" spans="13:13" x14ac:dyDescent="0.25">
      <c r="M14785" s="34">
        <f t="shared" si="406"/>
        <v>0</v>
      </c>
    </row>
    <row r="14786" spans="13:13" x14ac:dyDescent="0.25">
      <c r="M14786" s="34">
        <f t="shared" si="406"/>
        <v>0</v>
      </c>
    </row>
    <row r="14787" spans="13:13" x14ac:dyDescent="0.25">
      <c r="M14787" s="34">
        <f t="shared" ref="M14787:M14850" si="407">IF(AND(E14787="Chèque",G14787="RECETTE"),F14787,0)</f>
        <v>0</v>
      </c>
    </row>
    <row r="14788" spans="13:13" x14ac:dyDescent="0.25">
      <c r="M14788" s="34">
        <f t="shared" si="407"/>
        <v>0</v>
      </c>
    </row>
    <row r="14789" spans="13:13" x14ac:dyDescent="0.25">
      <c r="M14789" s="34">
        <f t="shared" si="407"/>
        <v>0</v>
      </c>
    </row>
    <row r="14790" spans="13:13" x14ac:dyDescent="0.25">
      <c r="M14790" s="34">
        <f t="shared" si="407"/>
        <v>0</v>
      </c>
    </row>
    <row r="14791" spans="13:13" x14ac:dyDescent="0.25">
      <c r="M14791" s="34">
        <f t="shared" si="407"/>
        <v>0</v>
      </c>
    </row>
    <row r="14792" spans="13:13" x14ac:dyDescent="0.25">
      <c r="M14792" s="34">
        <f t="shared" si="407"/>
        <v>0</v>
      </c>
    </row>
    <row r="14793" spans="13:13" x14ac:dyDescent="0.25">
      <c r="M14793" s="34">
        <f t="shared" si="407"/>
        <v>0</v>
      </c>
    </row>
    <row r="14794" spans="13:13" x14ac:dyDescent="0.25">
      <c r="M14794" s="34">
        <f t="shared" si="407"/>
        <v>0</v>
      </c>
    </row>
    <row r="14795" spans="13:13" x14ac:dyDescent="0.25">
      <c r="M14795" s="34">
        <f t="shared" si="407"/>
        <v>0</v>
      </c>
    </row>
    <row r="14796" spans="13:13" x14ac:dyDescent="0.25">
      <c r="M14796" s="34">
        <f t="shared" si="407"/>
        <v>0</v>
      </c>
    </row>
    <row r="14797" spans="13:13" x14ac:dyDescent="0.25">
      <c r="M14797" s="34">
        <f t="shared" si="407"/>
        <v>0</v>
      </c>
    </row>
    <row r="14798" spans="13:13" x14ac:dyDescent="0.25">
      <c r="M14798" s="34">
        <f t="shared" si="407"/>
        <v>0</v>
      </c>
    </row>
    <row r="14799" spans="13:13" x14ac:dyDescent="0.25">
      <c r="M14799" s="34">
        <f t="shared" si="407"/>
        <v>0</v>
      </c>
    </row>
    <row r="14800" spans="13:13" x14ac:dyDescent="0.25">
      <c r="M14800" s="34">
        <f t="shared" si="407"/>
        <v>0</v>
      </c>
    </row>
    <row r="14801" spans="13:13" x14ac:dyDescent="0.25">
      <c r="M14801" s="34">
        <f t="shared" si="407"/>
        <v>0</v>
      </c>
    </row>
    <row r="14802" spans="13:13" x14ac:dyDescent="0.25">
      <c r="M14802" s="34">
        <f t="shared" si="407"/>
        <v>0</v>
      </c>
    </row>
    <row r="14803" spans="13:13" x14ac:dyDescent="0.25">
      <c r="M14803" s="34">
        <f t="shared" si="407"/>
        <v>0</v>
      </c>
    </row>
    <row r="14804" spans="13:13" x14ac:dyDescent="0.25">
      <c r="M14804" s="34">
        <f t="shared" si="407"/>
        <v>0</v>
      </c>
    </row>
    <row r="14805" spans="13:13" x14ac:dyDescent="0.25">
      <c r="M14805" s="34">
        <f t="shared" si="407"/>
        <v>0</v>
      </c>
    </row>
    <row r="14806" spans="13:13" x14ac:dyDescent="0.25">
      <c r="M14806" s="34">
        <f t="shared" si="407"/>
        <v>0</v>
      </c>
    </row>
    <row r="14807" spans="13:13" x14ac:dyDescent="0.25">
      <c r="M14807" s="34">
        <f t="shared" si="407"/>
        <v>0</v>
      </c>
    </row>
    <row r="14808" spans="13:13" x14ac:dyDescent="0.25">
      <c r="M14808" s="34">
        <f t="shared" si="407"/>
        <v>0</v>
      </c>
    </row>
    <row r="14809" spans="13:13" x14ac:dyDescent="0.25">
      <c r="M14809" s="34">
        <f t="shared" si="407"/>
        <v>0</v>
      </c>
    </row>
    <row r="14810" spans="13:13" x14ac:dyDescent="0.25">
      <c r="M14810" s="34">
        <f t="shared" si="407"/>
        <v>0</v>
      </c>
    </row>
    <row r="14811" spans="13:13" x14ac:dyDescent="0.25">
      <c r="M14811" s="34">
        <f t="shared" si="407"/>
        <v>0</v>
      </c>
    </row>
    <row r="14812" spans="13:13" x14ac:dyDescent="0.25">
      <c r="M14812" s="34">
        <f t="shared" si="407"/>
        <v>0</v>
      </c>
    </row>
    <row r="14813" spans="13:13" x14ac:dyDescent="0.25">
      <c r="M14813" s="34">
        <f t="shared" si="407"/>
        <v>0</v>
      </c>
    </row>
    <row r="14814" spans="13:13" x14ac:dyDescent="0.25">
      <c r="M14814" s="34">
        <f t="shared" si="407"/>
        <v>0</v>
      </c>
    </row>
    <row r="14815" spans="13:13" x14ac:dyDescent="0.25">
      <c r="M14815" s="34">
        <f t="shared" si="407"/>
        <v>0</v>
      </c>
    </row>
    <row r="14816" spans="13:13" x14ac:dyDescent="0.25">
      <c r="M14816" s="34">
        <f t="shared" si="407"/>
        <v>0</v>
      </c>
    </row>
    <row r="14817" spans="13:13" x14ac:dyDescent="0.25">
      <c r="M14817" s="34">
        <f t="shared" si="407"/>
        <v>0</v>
      </c>
    </row>
    <row r="14818" spans="13:13" x14ac:dyDescent="0.25">
      <c r="M14818" s="34">
        <f t="shared" si="407"/>
        <v>0</v>
      </c>
    </row>
    <row r="14819" spans="13:13" x14ac:dyDescent="0.25">
      <c r="M14819" s="34">
        <f t="shared" si="407"/>
        <v>0</v>
      </c>
    </row>
    <row r="14820" spans="13:13" x14ac:dyDescent="0.25">
      <c r="M14820" s="34">
        <f t="shared" si="407"/>
        <v>0</v>
      </c>
    </row>
    <row r="14821" spans="13:13" x14ac:dyDescent="0.25">
      <c r="M14821" s="34">
        <f t="shared" si="407"/>
        <v>0</v>
      </c>
    </row>
    <row r="14822" spans="13:13" x14ac:dyDescent="0.25">
      <c r="M14822" s="34">
        <f t="shared" si="407"/>
        <v>0</v>
      </c>
    </row>
    <row r="14823" spans="13:13" x14ac:dyDescent="0.25">
      <c r="M14823" s="34">
        <f t="shared" si="407"/>
        <v>0</v>
      </c>
    </row>
    <row r="14824" spans="13:13" x14ac:dyDescent="0.25">
      <c r="M14824" s="34">
        <f t="shared" si="407"/>
        <v>0</v>
      </c>
    </row>
    <row r="14825" spans="13:13" x14ac:dyDescent="0.25">
      <c r="M14825" s="34">
        <f t="shared" si="407"/>
        <v>0</v>
      </c>
    </row>
    <row r="14826" spans="13:13" x14ac:dyDescent="0.25">
      <c r="M14826" s="34">
        <f t="shared" si="407"/>
        <v>0</v>
      </c>
    </row>
    <row r="14827" spans="13:13" x14ac:dyDescent="0.25">
      <c r="M14827" s="34">
        <f t="shared" si="407"/>
        <v>0</v>
      </c>
    </row>
    <row r="14828" spans="13:13" x14ac:dyDescent="0.25">
      <c r="M14828" s="34">
        <f t="shared" si="407"/>
        <v>0</v>
      </c>
    </row>
    <row r="14829" spans="13:13" x14ac:dyDescent="0.25">
      <c r="M14829" s="34">
        <f t="shared" si="407"/>
        <v>0</v>
      </c>
    </row>
    <row r="14830" spans="13:13" x14ac:dyDescent="0.25">
      <c r="M14830" s="34">
        <f t="shared" si="407"/>
        <v>0</v>
      </c>
    </row>
    <row r="14831" spans="13:13" x14ac:dyDescent="0.25">
      <c r="M14831" s="34">
        <f t="shared" si="407"/>
        <v>0</v>
      </c>
    </row>
    <row r="14832" spans="13:13" x14ac:dyDescent="0.25">
      <c r="M14832" s="34">
        <f t="shared" si="407"/>
        <v>0</v>
      </c>
    </row>
    <row r="14833" spans="13:13" x14ac:dyDescent="0.25">
      <c r="M14833" s="34">
        <f t="shared" si="407"/>
        <v>0</v>
      </c>
    </row>
    <row r="14834" spans="13:13" x14ac:dyDescent="0.25">
      <c r="M14834" s="34">
        <f t="shared" si="407"/>
        <v>0</v>
      </c>
    </row>
    <row r="14835" spans="13:13" x14ac:dyDescent="0.25">
      <c r="M14835" s="34">
        <f t="shared" si="407"/>
        <v>0</v>
      </c>
    </row>
    <row r="14836" spans="13:13" x14ac:dyDescent="0.25">
      <c r="M14836" s="34">
        <f t="shared" si="407"/>
        <v>0</v>
      </c>
    </row>
    <row r="14837" spans="13:13" x14ac:dyDescent="0.25">
      <c r="M14837" s="34">
        <f t="shared" si="407"/>
        <v>0</v>
      </c>
    </row>
    <row r="14838" spans="13:13" x14ac:dyDescent="0.25">
      <c r="M14838" s="34">
        <f t="shared" si="407"/>
        <v>0</v>
      </c>
    </row>
    <row r="14839" spans="13:13" x14ac:dyDescent="0.25">
      <c r="M14839" s="34">
        <f t="shared" si="407"/>
        <v>0</v>
      </c>
    </row>
    <row r="14840" spans="13:13" x14ac:dyDescent="0.25">
      <c r="M14840" s="34">
        <f t="shared" si="407"/>
        <v>0</v>
      </c>
    </row>
    <row r="14841" spans="13:13" x14ac:dyDescent="0.25">
      <c r="M14841" s="34">
        <f t="shared" si="407"/>
        <v>0</v>
      </c>
    </row>
    <row r="14842" spans="13:13" x14ac:dyDescent="0.25">
      <c r="M14842" s="34">
        <f t="shared" si="407"/>
        <v>0</v>
      </c>
    </row>
    <row r="14843" spans="13:13" x14ac:dyDescent="0.25">
      <c r="M14843" s="34">
        <f t="shared" si="407"/>
        <v>0</v>
      </c>
    </row>
    <row r="14844" spans="13:13" x14ac:dyDescent="0.25">
      <c r="M14844" s="34">
        <f t="shared" si="407"/>
        <v>0</v>
      </c>
    </row>
    <row r="14845" spans="13:13" x14ac:dyDescent="0.25">
      <c r="M14845" s="34">
        <f t="shared" si="407"/>
        <v>0</v>
      </c>
    </row>
    <row r="14846" spans="13:13" x14ac:dyDescent="0.25">
      <c r="M14846" s="34">
        <f t="shared" si="407"/>
        <v>0</v>
      </c>
    </row>
    <row r="14847" spans="13:13" x14ac:dyDescent="0.25">
      <c r="M14847" s="34">
        <f t="shared" si="407"/>
        <v>0</v>
      </c>
    </row>
    <row r="14848" spans="13:13" x14ac:dyDescent="0.25">
      <c r="M14848" s="34">
        <f t="shared" si="407"/>
        <v>0</v>
      </c>
    </row>
    <row r="14849" spans="13:13" x14ac:dyDescent="0.25">
      <c r="M14849" s="34">
        <f t="shared" si="407"/>
        <v>0</v>
      </c>
    </row>
    <row r="14850" spans="13:13" x14ac:dyDescent="0.25">
      <c r="M14850" s="34">
        <f t="shared" si="407"/>
        <v>0</v>
      </c>
    </row>
    <row r="14851" spans="13:13" x14ac:dyDescent="0.25">
      <c r="M14851" s="34">
        <f t="shared" ref="M14851:M14914" si="408">IF(AND(E14851="Chèque",G14851="RECETTE"),F14851,0)</f>
        <v>0</v>
      </c>
    </row>
    <row r="14852" spans="13:13" x14ac:dyDescent="0.25">
      <c r="M14852" s="34">
        <f t="shared" si="408"/>
        <v>0</v>
      </c>
    </row>
    <row r="14853" spans="13:13" x14ac:dyDescent="0.25">
      <c r="M14853" s="34">
        <f t="shared" si="408"/>
        <v>0</v>
      </c>
    </row>
    <row r="14854" spans="13:13" x14ac:dyDescent="0.25">
      <c r="M14854" s="34">
        <f t="shared" si="408"/>
        <v>0</v>
      </c>
    </row>
    <row r="14855" spans="13:13" x14ac:dyDescent="0.25">
      <c r="M14855" s="34">
        <f t="shared" si="408"/>
        <v>0</v>
      </c>
    </row>
    <row r="14856" spans="13:13" x14ac:dyDescent="0.25">
      <c r="M14856" s="34">
        <f t="shared" si="408"/>
        <v>0</v>
      </c>
    </row>
    <row r="14857" spans="13:13" x14ac:dyDescent="0.25">
      <c r="M14857" s="34">
        <f t="shared" si="408"/>
        <v>0</v>
      </c>
    </row>
    <row r="14858" spans="13:13" x14ac:dyDescent="0.25">
      <c r="M14858" s="34">
        <f t="shared" si="408"/>
        <v>0</v>
      </c>
    </row>
    <row r="14859" spans="13:13" x14ac:dyDescent="0.25">
      <c r="M14859" s="34">
        <f t="shared" si="408"/>
        <v>0</v>
      </c>
    </row>
    <row r="14860" spans="13:13" x14ac:dyDescent="0.25">
      <c r="M14860" s="34">
        <f t="shared" si="408"/>
        <v>0</v>
      </c>
    </row>
    <row r="14861" spans="13:13" x14ac:dyDescent="0.25">
      <c r="M14861" s="34">
        <f t="shared" si="408"/>
        <v>0</v>
      </c>
    </row>
    <row r="14862" spans="13:13" x14ac:dyDescent="0.25">
      <c r="M14862" s="34">
        <f t="shared" si="408"/>
        <v>0</v>
      </c>
    </row>
    <row r="14863" spans="13:13" x14ac:dyDescent="0.25">
      <c r="M14863" s="34">
        <f t="shared" si="408"/>
        <v>0</v>
      </c>
    </row>
    <row r="14864" spans="13:13" x14ac:dyDescent="0.25">
      <c r="M14864" s="34">
        <f t="shared" si="408"/>
        <v>0</v>
      </c>
    </row>
    <row r="14865" spans="13:13" x14ac:dyDescent="0.25">
      <c r="M14865" s="34">
        <f t="shared" si="408"/>
        <v>0</v>
      </c>
    </row>
    <row r="14866" spans="13:13" x14ac:dyDescent="0.25">
      <c r="M14866" s="34">
        <f t="shared" si="408"/>
        <v>0</v>
      </c>
    </row>
    <row r="14867" spans="13:13" x14ac:dyDescent="0.25">
      <c r="M14867" s="34">
        <f t="shared" si="408"/>
        <v>0</v>
      </c>
    </row>
    <row r="14868" spans="13:13" x14ac:dyDescent="0.25">
      <c r="M14868" s="34">
        <f t="shared" si="408"/>
        <v>0</v>
      </c>
    </row>
    <row r="14869" spans="13:13" x14ac:dyDescent="0.25">
      <c r="M14869" s="34">
        <f t="shared" si="408"/>
        <v>0</v>
      </c>
    </row>
    <row r="14870" spans="13:13" x14ac:dyDescent="0.25">
      <c r="M14870" s="34">
        <f t="shared" si="408"/>
        <v>0</v>
      </c>
    </row>
    <row r="14871" spans="13:13" x14ac:dyDescent="0.25">
      <c r="M14871" s="34">
        <f t="shared" si="408"/>
        <v>0</v>
      </c>
    </row>
    <row r="14872" spans="13:13" x14ac:dyDescent="0.25">
      <c r="M14872" s="34">
        <f t="shared" si="408"/>
        <v>0</v>
      </c>
    </row>
    <row r="14873" spans="13:13" x14ac:dyDescent="0.25">
      <c r="M14873" s="34">
        <f t="shared" si="408"/>
        <v>0</v>
      </c>
    </row>
    <row r="14874" spans="13:13" x14ac:dyDescent="0.25">
      <c r="M14874" s="34">
        <f t="shared" si="408"/>
        <v>0</v>
      </c>
    </row>
    <row r="14875" spans="13:13" x14ac:dyDescent="0.25">
      <c r="M14875" s="34">
        <f t="shared" si="408"/>
        <v>0</v>
      </c>
    </row>
    <row r="14876" spans="13:13" x14ac:dyDescent="0.25">
      <c r="M14876" s="34">
        <f t="shared" si="408"/>
        <v>0</v>
      </c>
    </row>
    <row r="14877" spans="13:13" x14ac:dyDescent="0.25">
      <c r="M14877" s="34">
        <f t="shared" si="408"/>
        <v>0</v>
      </c>
    </row>
    <row r="14878" spans="13:13" x14ac:dyDescent="0.25">
      <c r="M14878" s="34">
        <f t="shared" si="408"/>
        <v>0</v>
      </c>
    </row>
    <row r="14879" spans="13:13" x14ac:dyDescent="0.25">
      <c r="M14879" s="34">
        <f t="shared" si="408"/>
        <v>0</v>
      </c>
    </row>
    <row r="14880" spans="13:13" x14ac:dyDescent="0.25">
      <c r="M14880" s="34">
        <f t="shared" si="408"/>
        <v>0</v>
      </c>
    </row>
    <row r="14881" spans="13:13" x14ac:dyDescent="0.25">
      <c r="M14881" s="34">
        <f t="shared" si="408"/>
        <v>0</v>
      </c>
    </row>
    <row r="14882" spans="13:13" x14ac:dyDescent="0.25">
      <c r="M14882" s="34">
        <f t="shared" si="408"/>
        <v>0</v>
      </c>
    </row>
    <row r="14883" spans="13:13" x14ac:dyDescent="0.25">
      <c r="M14883" s="34">
        <f t="shared" si="408"/>
        <v>0</v>
      </c>
    </row>
    <row r="14884" spans="13:13" x14ac:dyDescent="0.25">
      <c r="M14884" s="34">
        <f t="shared" si="408"/>
        <v>0</v>
      </c>
    </row>
    <row r="14885" spans="13:13" x14ac:dyDescent="0.25">
      <c r="M14885" s="34">
        <f t="shared" si="408"/>
        <v>0</v>
      </c>
    </row>
    <row r="14886" spans="13:13" x14ac:dyDescent="0.25">
      <c r="M14886" s="34">
        <f t="shared" si="408"/>
        <v>0</v>
      </c>
    </row>
    <row r="14887" spans="13:13" x14ac:dyDescent="0.25">
      <c r="M14887" s="34">
        <f t="shared" si="408"/>
        <v>0</v>
      </c>
    </row>
    <row r="14888" spans="13:13" x14ac:dyDescent="0.25">
      <c r="M14888" s="34">
        <f t="shared" si="408"/>
        <v>0</v>
      </c>
    </row>
    <row r="14889" spans="13:13" x14ac:dyDescent="0.25">
      <c r="M14889" s="34">
        <f t="shared" si="408"/>
        <v>0</v>
      </c>
    </row>
    <row r="14890" spans="13:13" x14ac:dyDescent="0.25">
      <c r="M14890" s="34">
        <f t="shared" si="408"/>
        <v>0</v>
      </c>
    </row>
    <row r="14891" spans="13:13" x14ac:dyDescent="0.25">
      <c r="M14891" s="34">
        <f t="shared" si="408"/>
        <v>0</v>
      </c>
    </row>
    <row r="14892" spans="13:13" x14ac:dyDescent="0.25">
      <c r="M14892" s="34">
        <f t="shared" si="408"/>
        <v>0</v>
      </c>
    </row>
    <row r="14893" spans="13:13" x14ac:dyDescent="0.25">
      <c r="M14893" s="34">
        <f t="shared" si="408"/>
        <v>0</v>
      </c>
    </row>
    <row r="14894" spans="13:13" x14ac:dyDescent="0.25">
      <c r="M14894" s="34">
        <f t="shared" si="408"/>
        <v>0</v>
      </c>
    </row>
    <row r="14895" spans="13:13" x14ac:dyDescent="0.25">
      <c r="M14895" s="34">
        <f t="shared" si="408"/>
        <v>0</v>
      </c>
    </row>
    <row r="14896" spans="13:13" x14ac:dyDescent="0.25">
      <c r="M14896" s="34">
        <f t="shared" si="408"/>
        <v>0</v>
      </c>
    </row>
    <row r="14897" spans="13:13" x14ac:dyDescent="0.25">
      <c r="M14897" s="34">
        <f t="shared" si="408"/>
        <v>0</v>
      </c>
    </row>
    <row r="14898" spans="13:13" x14ac:dyDescent="0.25">
      <c r="M14898" s="34">
        <f t="shared" si="408"/>
        <v>0</v>
      </c>
    </row>
    <row r="14899" spans="13:13" x14ac:dyDescent="0.25">
      <c r="M14899" s="34">
        <f t="shared" si="408"/>
        <v>0</v>
      </c>
    </row>
    <row r="14900" spans="13:13" x14ac:dyDescent="0.25">
      <c r="M14900" s="34">
        <f t="shared" si="408"/>
        <v>0</v>
      </c>
    </row>
    <row r="14901" spans="13:13" x14ac:dyDescent="0.25">
      <c r="M14901" s="34">
        <f t="shared" si="408"/>
        <v>0</v>
      </c>
    </row>
    <row r="14902" spans="13:13" x14ac:dyDescent="0.25">
      <c r="M14902" s="34">
        <f t="shared" si="408"/>
        <v>0</v>
      </c>
    </row>
    <row r="14903" spans="13:13" x14ac:dyDescent="0.25">
      <c r="M14903" s="34">
        <f t="shared" si="408"/>
        <v>0</v>
      </c>
    </row>
    <row r="14904" spans="13:13" x14ac:dyDescent="0.25">
      <c r="M14904" s="34">
        <f t="shared" si="408"/>
        <v>0</v>
      </c>
    </row>
    <row r="14905" spans="13:13" x14ac:dyDescent="0.25">
      <c r="M14905" s="34">
        <f t="shared" si="408"/>
        <v>0</v>
      </c>
    </row>
    <row r="14906" spans="13:13" x14ac:dyDescent="0.25">
      <c r="M14906" s="34">
        <f t="shared" si="408"/>
        <v>0</v>
      </c>
    </row>
    <row r="14907" spans="13:13" x14ac:dyDescent="0.25">
      <c r="M14907" s="34">
        <f t="shared" si="408"/>
        <v>0</v>
      </c>
    </row>
    <row r="14908" spans="13:13" x14ac:dyDescent="0.25">
      <c r="M14908" s="34">
        <f t="shared" si="408"/>
        <v>0</v>
      </c>
    </row>
    <row r="14909" spans="13:13" x14ac:dyDescent="0.25">
      <c r="M14909" s="34">
        <f t="shared" si="408"/>
        <v>0</v>
      </c>
    </row>
    <row r="14910" spans="13:13" x14ac:dyDescent="0.25">
      <c r="M14910" s="34">
        <f t="shared" si="408"/>
        <v>0</v>
      </c>
    </row>
    <row r="14911" spans="13:13" x14ac:dyDescent="0.25">
      <c r="M14911" s="34">
        <f t="shared" si="408"/>
        <v>0</v>
      </c>
    </row>
    <row r="14912" spans="13:13" x14ac:dyDescent="0.25">
      <c r="M14912" s="34">
        <f t="shared" si="408"/>
        <v>0</v>
      </c>
    </row>
    <row r="14913" spans="13:13" x14ac:dyDescent="0.25">
      <c r="M14913" s="34">
        <f t="shared" si="408"/>
        <v>0</v>
      </c>
    </row>
    <row r="14914" spans="13:13" x14ac:dyDescent="0.25">
      <c r="M14914" s="34">
        <f t="shared" si="408"/>
        <v>0</v>
      </c>
    </row>
    <row r="14915" spans="13:13" x14ac:dyDescent="0.25">
      <c r="M14915" s="34">
        <f t="shared" ref="M14915:M14978" si="409">IF(AND(E14915="Chèque",G14915="RECETTE"),F14915,0)</f>
        <v>0</v>
      </c>
    </row>
    <row r="14916" spans="13:13" x14ac:dyDescent="0.25">
      <c r="M14916" s="34">
        <f t="shared" si="409"/>
        <v>0</v>
      </c>
    </row>
    <row r="14917" spans="13:13" x14ac:dyDescent="0.25">
      <c r="M14917" s="34">
        <f t="shared" si="409"/>
        <v>0</v>
      </c>
    </row>
    <row r="14918" spans="13:13" x14ac:dyDescent="0.25">
      <c r="M14918" s="34">
        <f t="shared" si="409"/>
        <v>0</v>
      </c>
    </row>
    <row r="14919" spans="13:13" x14ac:dyDescent="0.25">
      <c r="M14919" s="34">
        <f t="shared" si="409"/>
        <v>0</v>
      </c>
    </row>
    <row r="14920" spans="13:13" x14ac:dyDescent="0.25">
      <c r="M14920" s="34">
        <f t="shared" si="409"/>
        <v>0</v>
      </c>
    </row>
    <row r="14921" spans="13:13" x14ac:dyDescent="0.25">
      <c r="M14921" s="34">
        <f t="shared" si="409"/>
        <v>0</v>
      </c>
    </row>
    <row r="14922" spans="13:13" x14ac:dyDescent="0.25">
      <c r="M14922" s="34">
        <f t="shared" si="409"/>
        <v>0</v>
      </c>
    </row>
    <row r="14923" spans="13:13" x14ac:dyDescent="0.25">
      <c r="M14923" s="34">
        <f t="shared" si="409"/>
        <v>0</v>
      </c>
    </row>
    <row r="14924" spans="13:13" x14ac:dyDescent="0.25">
      <c r="M14924" s="34">
        <f t="shared" si="409"/>
        <v>0</v>
      </c>
    </row>
    <row r="14925" spans="13:13" x14ac:dyDescent="0.25">
      <c r="M14925" s="34">
        <f t="shared" si="409"/>
        <v>0</v>
      </c>
    </row>
    <row r="14926" spans="13:13" x14ac:dyDescent="0.25">
      <c r="M14926" s="34">
        <f t="shared" si="409"/>
        <v>0</v>
      </c>
    </row>
    <row r="14927" spans="13:13" x14ac:dyDescent="0.25">
      <c r="M14927" s="34">
        <f t="shared" si="409"/>
        <v>0</v>
      </c>
    </row>
    <row r="14928" spans="13:13" x14ac:dyDescent="0.25">
      <c r="M14928" s="34">
        <f t="shared" si="409"/>
        <v>0</v>
      </c>
    </row>
    <row r="14929" spans="13:13" x14ac:dyDescent="0.25">
      <c r="M14929" s="34">
        <f t="shared" si="409"/>
        <v>0</v>
      </c>
    </row>
    <row r="14930" spans="13:13" x14ac:dyDescent="0.25">
      <c r="M14930" s="34">
        <f t="shared" si="409"/>
        <v>0</v>
      </c>
    </row>
    <row r="14931" spans="13:13" x14ac:dyDescent="0.25">
      <c r="M14931" s="34">
        <f t="shared" si="409"/>
        <v>0</v>
      </c>
    </row>
    <row r="14932" spans="13:13" x14ac:dyDescent="0.25">
      <c r="M14932" s="34">
        <f t="shared" si="409"/>
        <v>0</v>
      </c>
    </row>
    <row r="14933" spans="13:13" x14ac:dyDescent="0.25">
      <c r="M14933" s="34">
        <f t="shared" si="409"/>
        <v>0</v>
      </c>
    </row>
    <row r="14934" spans="13:13" x14ac:dyDescent="0.25">
      <c r="M14934" s="34">
        <f t="shared" si="409"/>
        <v>0</v>
      </c>
    </row>
    <row r="14935" spans="13:13" x14ac:dyDescent="0.25">
      <c r="M14935" s="34">
        <f t="shared" si="409"/>
        <v>0</v>
      </c>
    </row>
    <row r="14936" spans="13:13" x14ac:dyDescent="0.25">
      <c r="M14936" s="34">
        <f t="shared" si="409"/>
        <v>0</v>
      </c>
    </row>
    <row r="14937" spans="13:13" x14ac:dyDescent="0.25">
      <c r="M14937" s="34">
        <f t="shared" si="409"/>
        <v>0</v>
      </c>
    </row>
    <row r="14938" spans="13:13" x14ac:dyDescent="0.25">
      <c r="M14938" s="34">
        <f t="shared" si="409"/>
        <v>0</v>
      </c>
    </row>
    <row r="14939" spans="13:13" x14ac:dyDescent="0.25">
      <c r="M14939" s="34">
        <f t="shared" si="409"/>
        <v>0</v>
      </c>
    </row>
    <row r="14940" spans="13:13" x14ac:dyDescent="0.25">
      <c r="M14940" s="34">
        <f t="shared" si="409"/>
        <v>0</v>
      </c>
    </row>
    <row r="14941" spans="13:13" x14ac:dyDescent="0.25">
      <c r="M14941" s="34">
        <f t="shared" si="409"/>
        <v>0</v>
      </c>
    </row>
    <row r="14942" spans="13:13" x14ac:dyDescent="0.25">
      <c r="M14942" s="34">
        <f t="shared" si="409"/>
        <v>0</v>
      </c>
    </row>
    <row r="14943" spans="13:13" x14ac:dyDescent="0.25">
      <c r="M14943" s="34">
        <f t="shared" si="409"/>
        <v>0</v>
      </c>
    </row>
    <row r="14944" spans="13:13" x14ac:dyDescent="0.25">
      <c r="M14944" s="34">
        <f t="shared" si="409"/>
        <v>0</v>
      </c>
    </row>
    <row r="14945" spans="13:13" x14ac:dyDescent="0.25">
      <c r="M14945" s="34">
        <f t="shared" si="409"/>
        <v>0</v>
      </c>
    </row>
    <row r="14946" spans="13:13" x14ac:dyDescent="0.25">
      <c r="M14946" s="34">
        <f t="shared" si="409"/>
        <v>0</v>
      </c>
    </row>
    <row r="14947" spans="13:13" x14ac:dyDescent="0.25">
      <c r="M14947" s="34">
        <f t="shared" si="409"/>
        <v>0</v>
      </c>
    </row>
    <row r="14948" spans="13:13" x14ac:dyDescent="0.25">
      <c r="M14948" s="34">
        <f t="shared" si="409"/>
        <v>0</v>
      </c>
    </row>
    <row r="14949" spans="13:13" x14ac:dyDescent="0.25">
      <c r="M14949" s="34">
        <f t="shared" si="409"/>
        <v>0</v>
      </c>
    </row>
    <row r="14950" spans="13:13" x14ac:dyDescent="0.25">
      <c r="M14950" s="34">
        <f t="shared" si="409"/>
        <v>0</v>
      </c>
    </row>
    <row r="14951" spans="13:13" x14ac:dyDescent="0.25">
      <c r="M14951" s="34">
        <f t="shared" si="409"/>
        <v>0</v>
      </c>
    </row>
    <row r="14952" spans="13:13" x14ac:dyDescent="0.25">
      <c r="M14952" s="34">
        <f t="shared" si="409"/>
        <v>0</v>
      </c>
    </row>
    <row r="14953" spans="13:13" x14ac:dyDescent="0.25">
      <c r="M14953" s="34">
        <f t="shared" si="409"/>
        <v>0</v>
      </c>
    </row>
    <row r="14954" spans="13:13" x14ac:dyDescent="0.25">
      <c r="M14954" s="34">
        <f t="shared" si="409"/>
        <v>0</v>
      </c>
    </row>
    <row r="14955" spans="13:13" x14ac:dyDescent="0.25">
      <c r="M14955" s="34">
        <f t="shared" si="409"/>
        <v>0</v>
      </c>
    </row>
    <row r="14956" spans="13:13" x14ac:dyDescent="0.25">
      <c r="M14956" s="34">
        <f t="shared" si="409"/>
        <v>0</v>
      </c>
    </row>
    <row r="14957" spans="13:13" x14ac:dyDescent="0.25">
      <c r="M14957" s="34">
        <f t="shared" si="409"/>
        <v>0</v>
      </c>
    </row>
    <row r="14958" spans="13:13" x14ac:dyDescent="0.25">
      <c r="M14958" s="34">
        <f t="shared" si="409"/>
        <v>0</v>
      </c>
    </row>
    <row r="14959" spans="13:13" x14ac:dyDescent="0.25">
      <c r="M14959" s="34">
        <f t="shared" si="409"/>
        <v>0</v>
      </c>
    </row>
    <row r="14960" spans="13:13" x14ac:dyDescent="0.25">
      <c r="M14960" s="34">
        <f t="shared" si="409"/>
        <v>0</v>
      </c>
    </row>
    <row r="14961" spans="13:13" x14ac:dyDescent="0.25">
      <c r="M14961" s="34">
        <f t="shared" si="409"/>
        <v>0</v>
      </c>
    </row>
    <row r="14962" spans="13:13" x14ac:dyDescent="0.25">
      <c r="M14962" s="34">
        <f t="shared" si="409"/>
        <v>0</v>
      </c>
    </row>
    <row r="14963" spans="13:13" x14ac:dyDescent="0.25">
      <c r="M14963" s="34">
        <f t="shared" si="409"/>
        <v>0</v>
      </c>
    </row>
    <row r="14964" spans="13:13" x14ac:dyDescent="0.25">
      <c r="M14964" s="34">
        <f t="shared" si="409"/>
        <v>0</v>
      </c>
    </row>
    <row r="14965" spans="13:13" x14ac:dyDescent="0.25">
      <c r="M14965" s="34">
        <f t="shared" si="409"/>
        <v>0</v>
      </c>
    </row>
    <row r="14966" spans="13:13" x14ac:dyDescent="0.25">
      <c r="M14966" s="34">
        <f t="shared" si="409"/>
        <v>0</v>
      </c>
    </row>
    <row r="14967" spans="13:13" x14ac:dyDescent="0.25">
      <c r="M14967" s="34">
        <f t="shared" si="409"/>
        <v>0</v>
      </c>
    </row>
    <row r="14968" spans="13:13" x14ac:dyDescent="0.25">
      <c r="M14968" s="34">
        <f t="shared" si="409"/>
        <v>0</v>
      </c>
    </row>
    <row r="14969" spans="13:13" x14ac:dyDescent="0.25">
      <c r="M14969" s="34">
        <f t="shared" si="409"/>
        <v>0</v>
      </c>
    </row>
    <row r="14970" spans="13:13" x14ac:dyDescent="0.25">
      <c r="M14970" s="34">
        <f t="shared" si="409"/>
        <v>0</v>
      </c>
    </row>
    <row r="14971" spans="13:13" x14ac:dyDescent="0.25">
      <c r="M14971" s="34">
        <f t="shared" si="409"/>
        <v>0</v>
      </c>
    </row>
    <row r="14972" spans="13:13" x14ac:dyDescent="0.25">
      <c r="M14972" s="34">
        <f t="shared" si="409"/>
        <v>0</v>
      </c>
    </row>
    <row r="14973" spans="13:13" x14ac:dyDescent="0.25">
      <c r="M14973" s="34">
        <f t="shared" si="409"/>
        <v>0</v>
      </c>
    </row>
    <row r="14974" spans="13:13" x14ac:dyDescent="0.25">
      <c r="M14974" s="34">
        <f t="shared" si="409"/>
        <v>0</v>
      </c>
    </row>
    <row r="14975" spans="13:13" x14ac:dyDescent="0.25">
      <c r="M14975" s="34">
        <f t="shared" si="409"/>
        <v>0</v>
      </c>
    </row>
    <row r="14976" spans="13:13" x14ac:dyDescent="0.25">
      <c r="M14976" s="34">
        <f t="shared" si="409"/>
        <v>0</v>
      </c>
    </row>
    <row r="14977" spans="13:13" x14ac:dyDescent="0.25">
      <c r="M14977" s="34">
        <f t="shared" si="409"/>
        <v>0</v>
      </c>
    </row>
    <row r="14978" spans="13:13" x14ac:dyDescent="0.25">
      <c r="M14978" s="34">
        <f t="shared" si="409"/>
        <v>0</v>
      </c>
    </row>
    <row r="14979" spans="13:13" x14ac:dyDescent="0.25">
      <c r="M14979" s="34">
        <f t="shared" ref="M14979:M15042" si="410">IF(AND(E14979="Chèque",G14979="RECETTE"),F14979,0)</f>
        <v>0</v>
      </c>
    </row>
    <row r="14980" spans="13:13" x14ac:dyDescent="0.25">
      <c r="M14980" s="34">
        <f t="shared" si="410"/>
        <v>0</v>
      </c>
    </row>
    <row r="14981" spans="13:13" x14ac:dyDescent="0.25">
      <c r="M14981" s="34">
        <f t="shared" si="410"/>
        <v>0</v>
      </c>
    </row>
    <row r="14982" spans="13:13" x14ac:dyDescent="0.25">
      <c r="M14982" s="34">
        <f t="shared" si="410"/>
        <v>0</v>
      </c>
    </row>
    <row r="14983" spans="13:13" x14ac:dyDescent="0.25">
      <c r="M14983" s="34">
        <f t="shared" si="410"/>
        <v>0</v>
      </c>
    </row>
    <row r="14984" spans="13:13" x14ac:dyDescent="0.25">
      <c r="M14984" s="34">
        <f t="shared" si="410"/>
        <v>0</v>
      </c>
    </row>
    <row r="14985" spans="13:13" x14ac:dyDescent="0.25">
      <c r="M14985" s="34">
        <f t="shared" si="410"/>
        <v>0</v>
      </c>
    </row>
    <row r="14986" spans="13:13" x14ac:dyDescent="0.25">
      <c r="M14986" s="34">
        <f t="shared" si="410"/>
        <v>0</v>
      </c>
    </row>
    <row r="14987" spans="13:13" x14ac:dyDescent="0.25">
      <c r="M14987" s="34">
        <f t="shared" si="410"/>
        <v>0</v>
      </c>
    </row>
    <row r="14988" spans="13:13" x14ac:dyDescent="0.25">
      <c r="M14988" s="34">
        <f t="shared" si="410"/>
        <v>0</v>
      </c>
    </row>
    <row r="14989" spans="13:13" x14ac:dyDescent="0.25">
      <c r="M14989" s="34">
        <f t="shared" si="410"/>
        <v>0</v>
      </c>
    </row>
    <row r="14990" spans="13:13" x14ac:dyDescent="0.25">
      <c r="M14990" s="34">
        <f t="shared" si="410"/>
        <v>0</v>
      </c>
    </row>
    <row r="14991" spans="13:13" x14ac:dyDescent="0.25">
      <c r="M14991" s="34">
        <f t="shared" si="410"/>
        <v>0</v>
      </c>
    </row>
    <row r="14992" spans="13:13" x14ac:dyDescent="0.25">
      <c r="M14992" s="34">
        <f t="shared" si="410"/>
        <v>0</v>
      </c>
    </row>
    <row r="14993" spans="13:13" x14ac:dyDescent="0.25">
      <c r="M14993" s="34">
        <f t="shared" si="410"/>
        <v>0</v>
      </c>
    </row>
    <row r="14994" spans="13:13" x14ac:dyDescent="0.25">
      <c r="M14994" s="34">
        <f t="shared" si="410"/>
        <v>0</v>
      </c>
    </row>
    <row r="14995" spans="13:13" x14ac:dyDescent="0.25">
      <c r="M14995" s="34">
        <f t="shared" si="410"/>
        <v>0</v>
      </c>
    </row>
    <row r="14996" spans="13:13" x14ac:dyDescent="0.25">
      <c r="M14996" s="34">
        <f t="shared" si="410"/>
        <v>0</v>
      </c>
    </row>
    <row r="14997" spans="13:13" x14ac:dyDescent="0.25">
      <c r="M14997" s="34">
        <f t="shared" si="410"/>
        <v>0</v>
      </c>
    </row>
    <row r="14998" spans="13:13" x14ac:dyDescent="0.25">
      <c r="M14998" s="34">
        <f t="shared" si="410"/>
        <v>0</v>
      </c>
    </row>
    <row r="14999" spans="13:13" x14ac:dyDescent="0.25">
      <c r="M14999" s="34">
        <f t="shared" si="410"/>
        <v>0</v>
      </c>
    </row>
    <row r="15000" spans="13:13" x14ac:dyDescent="0.25">
      <c r="M15000" s="34">
        <f t="shared" si="410"/>
        <v>0</v>
      </c>
    </row>
    <row r="15001" spans="13:13" x14ac:dyDescent="0.25">
      <c r="M15001" s="34">
        <f t="shared" si="410"/>
        <v>0</v>
      </c>
    </row>
    <row r="15002" spans="13:13" x14ac:dyDescent="0.25">
      <c r="M15002" s="34">
        <f t="shared" si="410"/>
        <v>0</v>
      </c>
    </row>
    <row r="15003" spans="13:13" x14ac:dyDescent="0.25">
      <c r="M15003" s="34">
        <f t="shared" si="410"/>
        <v>0</v>
      </c>
    </row>
    <row r="15004" spans="13:13" x14ac:dyDescent="0.25">
      <c r="M15004" s="34">
        <f t="shared" si="410"/>
        <v>0</v>
      </c>
    </row>
    <row r="15005" spans="13:13" x14ac:dyDescent="0.25">
      <c r="M15005" s="34">
        <f t="shared" si="410"/>
        <v>0</v>
      </c>
    </row>
    <row r="15006" spans="13:13" x14ac:dyDescent="0.25">
      <c r="M15006" s="34">
        <f t="shared" si="410"/>
        <v>0</v>
      </c>
    </row>
    <row r="15007" spans="13:13" x14ac:dyDescent="0.25">
      <c r="M15007" s="34">
        <f t="shared" si="410"/>
        <v>0</v>
      </c>
    </row>
    <row r="15008" spans="13:13" x14ac:dyDescent="0.25">
      <c r="M15008" s="34">
        <f t="shared" si="410"/>
        <v>0</v>
      </c>
    </row>
    <row r="15009" spans="13:13" x14ac:dyDescent="0.25">
      <c r="M15009" s="34">
        <f t="shared" si="410"/>
        <v>0</v>
      </c>
    </row>
    <row r="15010" spans="13:13" x14ac:dyDescent="0.25">
      <c r="M15010" s="34">
        <f t="shared" si="410"/>
        <v>0</v>
      </c>
    </row>
    <row r="15011" spans="13:13" x14ac:dyDescent="0.25">
      <c r="M15011" s="34">
        <f t="shared" si="410"/>
        <v>0</v>
      </c>
    </row>
    <row r="15012" spans="13:13" x14ac:dyDescent="0.25">
      <c r="M15012" s="34">
        <f t="shared" si="410"/>
        <v>0</v>
      </c>
    </row>
    <row r="15013" spans="13:13" x14ac:dyDescent="0.25">
      <c r="M15013" s="34">
        <f t="shared" si="410"/>
        <v>0</v>
      </c>
    </row>
    <row r="15014" spans="13:13" x14ac:dyDescent="0.25">
      <c r="M15014" s="34">
        <f t="shared" si="410"/>
        <v>0</v>
      </c>
    </row>
    <row r="15015" spans="13:13" x14ac:dyDescent="0.25">
      <c r="M15015" s="34">
        <f t="shared" si="410"/>
        <v>0</v>
      </c>
    </row>
    <row r="15016" spans="13:13" x14ac:dyDescent="0.25">
      <c r="M15016" s="34">
        <f t="shared" si="410"/>
        <v>0</v>
      </c>
    </row>
    <row r="15017" spans="13:13" x14ac:dyDescent="0.25">
      <c r="M15017" s="34">
        <f t="shared" si="410"/>
        <v>0</v>
      </c>
    </row>
    <row r="15018" spans="13:13" x14ac:dyDescent="0.25">
      <c r="M15018" s="34">
        <f t="shared" si="410"/>
        <v>0</v>
      </c>
    </row>
    <row r="15019" spans="13:13" x14ac:dyDescent="0.25">
      <c r="M15019" s="34">
        <f t="shared" si="410"/>
        <v>0</v>
      </c>
    </row>
    <row r="15020" spans="13:13" x14ac:dyDescent="0.25">
      <c r="M15020" s="34">
        <f t="shared" si="410"/>
        <v>0</v>
      </c>
    </row>
    <row r="15021" spans="13:13" x14ac:dyDescent="0.25">
      <c r="M15021" s="34">
        <f t="shared" si="410"/>
        <v>0</v>
      </c>
    </row>
    <row r="15022" spans="13:13" x14ac:dyDescent="0.25">
      <c r="M15022" s="34">
        <f t="shared" si="410"/>
        <v>0</v>
      </c>
    </row>
    <row r="15023" spans="13:13" x14ac:dyDescent="0.25">
      <c r="M15023" s="34">
        <f t="shared" si="410"/>
        <v>0</v>
      </c>
    </row>
    <row r="15024" spans="13:13" x14ac:dyDescent="0.25">
      <c r="M15024" s="34">
        <f t="shared" si="410"/>
        <v>0</v>
      </c>
    </row>
    <row r="15025" spans="13:13" x14ac:dyDescent="0.25">
      <c r="M15025" s="34">
        <f t="shared" si="410"/>
        <v>0</v>
      </c>
    </row>
    <row r="15026" spans="13:13" x14ac:dyDescent="0.25">
      <c r="M15026" s="34">
        <f t="shared" si="410"/>
        <v>0</v>
      </c>
    </row>
    <row r="15027" spans="13:13" x14ac:dyDescent="0.25">
      <c r="M15027" s="34">
        <f t="shared" si="410"/>
        <v>0</v>
      </c>
    </row>
    <row r="15028" spans="13:13" x14ac:dyDescent="0.25">
      <c r="M15028" s="34">
        <f t="shared" si="410"/>
        <v>0</v>
      </c>
    </row>
    <row r="15029" spans="13:13" x14ac:dyDescent="0.25">
      <c r="M15029" s="34">
        <f t="shared" si="410"/>
        <v>0</v>
      </c>
    </row>
    <row r="15030" spans="13:13" x14ac:dyDescent="0.25">
      <c r="M15030" s="34">
        <f t="shared" si="410"/>
        <v>0</v>
      </c>
    </row>
    <row r="15031" spans="13:13" x14ac:dyDescent="0.25">
      <c r="M15031" s="34">
        <f t="shared" si="410"/>
        <v>0</v>
      </c>
    </row>
    <row r="15032" spans="13:13" x14ac:dyDescent="0.25">
      <c r="M15032" s="34">
        <f t="shared" si="410"/>
        <v>0</v>
      </c>
    </row>
    <row r="15033" spans="13:13" x14ac:dyDescent="0.25">
      <c r="M15033" s="34">
        <f t="shared" si="410"/>
        <v>0</v>
      </c>
    </row>
    <row r="15034" spans="13:13" x14ac:dyDescent="0.25">
      <c r="M15034" s="34">
        <f t="shared" si="410"/>
        <v>0</v>
      </c>
    </row>
    <row r="15035" spans="13:13" x14ac:dyDescent="0.25">
      <c r="M15035" s="34">
        <f t="shared" si="410"/>
        <v>0</v>
      </c>
    </row>
    <row r="15036" spans="13:13" x14ac:dyDescent="0.25">
      <c r="M15036" s="34">
        <f t="shared" si="410"/>
        <v>0</v>
      </c>
    </row>
    <row r="15037" spans="13:13" x14ac:dyDescent="0.25">
      <c r="M15037" s="34">
        <f t="shared" si="410"/>
        <v>0</v>
      </c>
    </row>
    <row r="15038" spans="13:13" x14ac:dyDescent="0.25">
      <c r="M15038" s="34">
        <f t="shared" si="410"/>
        <v>0</v>
      </c>
    </row>
    <row r="15039" spans="13:13" x14ac:dyDescent="0.25">
      <c r="M15039" s="34">
        <f t="shared" si="410"/>
        <v>0</v>
      </c>
    </row>
    <row r="15040" spans="13:13" x14ac:dyDescent="0.25">
      <c r="M15040" s="34">
        <f t="shared" si="410"/>
        <v>0</v>
      </c>
    </row>
    <row r="15041" spans="13:13" x14ac:dyDescent="0.25">
      <c r="M15041" s="34">
        <f t="shared" si="410"/>
        <v>0</v>
      </c>
    </row>
    <row r="15042" spans="13:13" x14ac:dyDescent="0.25">
      <c r="M15042" s="34">
        <f t="shared" si="410"/>
        <v>0</v>
      </c>
    </row>
    <row r="15043" spans="13:13" x14ac:dyDescent="0.25">
      <c r="M15043" s="34">
        <f t="shared" ref="M15043:M15106" si="411">IF(AND(E15043="Chèque",G15043="RECETTE"),F15043,0)</f>
        <v>0</v>
      </c>
    </row>
    <row r="15044" spans="13:13" x14ac:dyDescent="0.25">
      <c r="M15044" s="34">
        <f t="shared" si="411"/>
        <v>0</v>
      </c>
    </row>
    <row r="15045" spans="13:13" x14ac:dyDescent="0.25">
      <c r="M15045" s="34">
        <f t="shared" si="411"/>
        <v>0</v>
      </c>
    </row>
    <row r="15046" spans="13:13" x14ac:dyDescent="0.25">
      <c r="M15046" s="34">
        <f t="shared" si="411"/>
        <v>0</v>
      </c>
    </row>
    <row r="15047" spans="13:13" x14ac:dyDescent="0.25">
      <c r="M15047" s="34">
        <f t="shared" si="411"/>
        <v>0</v>
      </c>
    </row>
    <row r="15048" spans="13:13" x14ac:dyDescent="0.25">
      <c r="M15048" s="34">
        <f t="shared" si="411"/>
        <v>0</v>
      </c>
    </row>
    <row r="15049" spans="13:13" x14ac:dyDescent="0.25">
      <c r="M15049" s="34">
        <f t="shared" si="411"/>
        <v>0</v>
      </c>
    </row>
    <row r="15050" spans="13:13" x14ac:dyDescent="0.25">
      <c r="M15050" s="34">
        <f t="shared" si="411"/>
        <v>0</v>
      </c>
    </row>
    <row r="15051" spans="13:13" x14ac:dyDescent="0.25">
      <c r="M15051" s="34">
        <f t="shared" si="411"/>
        <v>0</v>
      </c>
    </row>
    <row r="15052" spans="13:13" x14ac:dyDescent="0.25">
      <c r="M15052" s="34">
        <f t="shared" si="411"/>
        <v>0</v>
      </c>
    </row>
    <row r="15053" spans="13:13" x14ac:dyDescent="0.25">
      <c r="M15053" s="34">
        <f t="shared" si="411"/>
        <v>0</v>
      </c>
    </row>
    <row r="15054" spans="13:13" x14ac:dyDescent="0.25">
      <c r="M15054" s="34">
        <f t="shared" si="411"/>
        <v>0</v>
      </c>
    </row>
    <row r="15055" spans="13:13" x14ac:dyDescent="0.25">
      <c r="M15055" s="34">
        <f t="shared" si="411"/>
        <v>0</v>
      </c>
    </row>
    <row r="15056" spans="13:13" x14ac:dyDescent="0.25">
      <c r="M15056" s="34">
        <f t="shared" si="411"/>
        <v>0</v>
      </c>
    </row>
    <row r="15057" spans="13:13" x14ac:dyDescent="0.25">
      <c r="M15057" s="34">
        <f t="shared" si="411"/>
        <v>0</v>
      </c>
    </row>
    <row r="15058" spans="13:13" x14ac:dyDescent="0.25">
      <c r="M15058" s="34">
        <f t="shared" si="411"/>
        <v>0</v>
      </c>
    </row>
    <row r="15059" spans="13:13" x14ac:dyDescent="0.25">
      <c r="M15059" s="34">
        <f t="shared" si="411"/>
        <v>0</v>
      </c>
    </row>
    <row r="15060" spans="13:13" x14ac:dyDescent="0.25">
      <c r="M15060" s="34">
        <f t="shared" si="411"/>
        <v>0</v>
      </c>
    </row>
    <row r="15061" spans="13:13" x14ac:dyDescent="0.25">
      <c r="M15061" s="34">
        <f t="shared" si="411"/>
        <v>0</v>
      </c>
    </row>
    <row r="15062" spans="13:13" x14ac:dyDescent="0.25">
      <c r="M15062" s="34">
        <f t="shared" si="411"/>
        <v>0</v>
      </c>
    </row>
    <row r="15063" spans="13:13" x14ac:dyDescent="0.25">
      <c r="M15063" s="34">
        <f t="shared" si="411"/>
        <v>0</v>
      </c>
    </row>
    <row r="15064" spans="13:13" x14ac:dyDescent="0.25">
      <c r="M15064" s="34">
        <f t="shared" si="411"/>
        <v>0</v>
      </c>
    </row>
    <row r="15065" spans="13:13" x14ac:dyDescent="0.25">
      <c r="M15065" s="34">
        <f t="shared" si="411"/>
        <v>0</v>
      </c>
    </row>
    <row r="15066" spans="13:13" x14ac:dyDescent="0.25">
      <c r="M15066" s="34">
        <f t="shared" si="411"/>
        <v>0</v>
      </c>
    </row>
    <row r="15067" spans="13:13" x14ac:dyDescent="0.25">
      <c r="M15067" s="34">
        <f t="shared" si="411"/>
        <v>0</v>
      </c>
    </row>
    <row r="15068" spans="13:13" x14ac:dyDescent="0.25">
      <c r="M15068" s="34">
        <f t="shared" si="411"/>
        <v>0</v>
      </c>
    </row>
    <row r="15069" spans="13:13" x14ac:dyDescent="0.25">
      <c r="M15069" s="34">
        <f t="shared" si="411"/>
        <v>0</v>
      </c>
    </row>
    <row r="15070" spans="13:13" x14ac:dyDescent="0.25">
      <c r="M15070" s="34">
        <f t="shared" si="411"/>
        <v>0</v>
      </c>
    </row>
    <row r="15071" spans="13:13" x14ac:dyDescent="0.25">
      <c r="M15071" s="34">
        <f t="shared" si="411"/>
        <v>0</v>
      </c>
    </row>
    <row r="15072" spans="13:13" x14ac:dyDescent="0.25">
      <c r="M15072" s="34">
        <f t="shared" si="411"/>
        <v>0</v>
      </c>
    </row>
    <row r="15073" spans="13:13" x14ac:dyDescent="0.25">
      <c r="M15073" s="34">
        <f t="shared" si="411"/>
        <v>0</v>
      </c>
    </row>
    <row r="15074" spans="13:13" x14ac:dyDescent="0.25">
      <c r="M15074" s="34">
        <f t="shared" si="411"/>
        <v>0</v>
      </c>
    </row>
    <row r="15075" spans="13:13" x14ac:dyDescent="0.25">
      <c r="M15075" s="34">
        <f t="shared" si="411"/>
        <v>0</v>
      </c>
    </row>
    <row r="15076" spans="13:13" x14ac:dyDescent="0.25">
      <c r="M15076" s="34">
        <f t="shared" si="411"/>
        <v>0</v>
      </c>
    </row>
    <row r="15077" spans="13:13" x14ac:dyDescent="0.25">
      <c r="M15077" s="34">
        <f t="shared" si="411"/>
        <v>0</v>
      </c>
    </row>
    <row r="15078" spans="13:13" x14ac:dyDescent="0.25">
      <c r="M15078" s="34">
        <f t="shared" si="411"/>
        <v>0</v>
      </c>
    </row>
    <row r="15079" spans="13:13" x14ac:dyDescent="0.25">
      <c r="M15079" s="34">
        <f t="shared" si="411"/>
        <v>0</v>
      </c>
    </row>
    <row r="15080" spans="13:13" x14ac:dyDescent="0.25">
      <c r="M15080" s="34">
        <f t="shared" si="411"/>
        <v>0</v>
      </c>
    </row>
    <row r="15081" spans="13:13" x14ac:dyDescent="0.25">
      <c r="M15081" s="34">
        <f t="shared" si="411"/>
        <v>0</v>
      </c>
    </row>
    <row r="15082" spans="13:13" x14ac:dyDescent="0.25">
      <c r="M15082" s="34">
        <f t="shared" si="411"/>
        <v>0</v>
      </c>
    </row>
    <row r="15083" spans="13:13" x14ac:dyDescent="0.25">
      <c r="M15083" s="34">
        <f t="shared" si="411"/>
        <v>0</v>
      </c>
    </row>
    <row r="15084" spans="13:13" x14ac:dyDescent="0.25">
      <c r="M15084" s="34">
        <f t="shared" si="411"/>
        <v>0</v>
      </c>
    </row>
    <row r="15085" spans="13:13" x14ac:dyDescent="0.25">
      <c r="M15085" s="34">
        <f t="shared" si="411"/>
        <v>0</v>
      </c>
    </row>
    <row r="15086" spans="13:13" x14ac:dyDescent="0.25">
      <c r="M15086" s="34">
        <f t="shared" si="411"/>
        <v>0</v>
      </c>
    </row>
    <row r="15087" spans="13:13" x14ac:dyDescent="0.25">
      <c r="M15087" s="34">
        <f t="shared" si="411"/>
        <v>0</v>
      </c>
    </row>
    <row r="15088" spans="13:13" x14ac:dyDescent="0.25">
      <c r="M15088" s="34">
        <f t="shared" si="411"/>
        <v>0</v>
      </c>
    </row>
    <row r="15089" spans="13:13" x14ac:dyDescent="0.25">
      <c r="M15089" s="34">
        <f t="shared" si="411"/>
        <v>0</v>
      </c>
    </row>
    <row r="15090" spans="13:13" x14ac:dyDescent="0.25">
      <c r="M15090" s="34">
        <f t="shared" si="411"/>
        <v>0</v>
      </c>
    </row>
    <row r="15091" spans="13:13" x14ac:dyDescent="0.25">
      <c r="M15091" s="34">
        <f t="shared" si="411"/>
        <v>0</v>
      </c>
    </row>
    <row r="15092" spans="13:13" x14ac:dyDescent="0.25">
      <c r="M15092" s="34">
        <f t="shared" si="411"/>
        <v>0</v>
      </c>
    </row>
    <row r="15093" spans="13:13" x14ac:dyDescent="0.25">
      <c r="M15093" s="34">
        <f t="shared" si="411"/>
        <v>0</v>
      </c>
    </row>
    <row r="15094" spans="13:13" x14ac:dyDescent="0.25">
      <c r="M15094" s="34">
        <f t="shared" si="411"/>
        <v>0</v>
      </c>
    </row>
    <row r="15095" spans="13:13" x14ac:dyDescent="0.25">
      <c r="M15095" s="34">
        <f t="shared" si="411"/>
        <v>0</v>
      </c>
    </row>
    <row r="15096" spans="13:13" x14ac:dyDescent="0.25">
      <c r="M15096" s="34">
        <f t="shared" si="411"/>
        <v>0</v>
      </c>
    </row>
    <row r="15097" spans="13:13" x14ac:dyDescent="0.25">
      <c r="M15097" s="34">
        <f t="shared" si="411"/>
        <v>0</v>
      </c>
    </row>
    <row r="15098" spans="13:13" x14ac:dyDescent="0.25">
      <c r="M15098" s="34">
        <f t="shared" si="411"/>
        <v>0</v>
      </c>
    </row>
    <row r="15099" spans="13:13" x14ac:dyDescent="0.25">
      <c r="M15099" s="34">
        <f t="shared" si="411"/>
        <v>0</v>
      </c>
    </row>
    <row r="15100" spans="13:13" x14ac:dyDescent="0.25">
      <c r="M15100" s="34">
        <f t="shared" si="411"/>
        <v>0</v>
      </c>
    </row>
    <row r="15101" spans="13:13" x14ac:dyDescent="0.25">
      <c r="M15101" s="34">
        <f t="shared" si="411"/>
        <v>0</v>
      </c>
    </row>
    <row r="15102" spans="13:13" x14ac:dyDescent="0.25">
      <c r="M15102" s="34">
        <f t="shared" si="411"/>
        <v>0</v>
      </c>
    </row>
    <row r="15103" spans="13:13" x14ac:dyDescent="0.25">
      <c r="M15103" s="34">
        <f t="shared" si="411"/>
        <v>0</v>
      </c>
    </row>
    <row r="15104" spans="13:13" x14ac:dyDescent="0.25">
      <c r="M15104" s="34">
        <f t="shared" si="411"/>
        <v>0</v>
      </c>
    </row>
    <row r="15105" spans="13:13" x14ac:dyDescent="0.25">
      <c r="M15105" s="34">
        <f t="shared" si="411"/>
        <v>0</v>
      </c>
    </row>
    <row r="15106" spans="13:13" x14ac:dyDescent="0.25">
      <c r="M15106" s="34">
        <f t="shared" si="411"/>
        <v>0</v>
      </c>
    </row>
    <row r="15107" spans="13:13" x14ac:dyDescent="0.25">
      <c r="M15107" s="34">
        <f t="shared" ref="M15107:M15170" si="412">IF(AND(E15107="Chèque",G15107="RECETTE"),F15107,0)</f>
        <v>0</v>
      </c>
    </row>
    <row r="15108" spans="13:13" x14ac:dyDescent="0.25">
      <c r="M15108" s="34">
        <f t="shared" si="412"/>
        <v>0</v>
      </c>
    </row>
    <row r="15109" spans="13:13" x14ac:dyDescent="0.25">
      <c r="M15109" s="34">
        <f t="shared" si="412"/>
        <v>0</v>
      </c>
    </row>
    <row r="15110" spans="13:13" x14ac:dyDescent="0.25">
      <c r="M15110" s="34">
        <f t="shared" si="412"/>
        <v>0</v>
      </c>
    </row>
    <row r="15111" spans="13:13" x14ac:dyDescent="0.25">
      <c r="M15111" s="34">
        <f t="shared" si="412"/>
        <v>0</v>
      </c>
    </row>
    <row r="15112" spans="13:13" x14ac:dyDescent="0.25">
      <c r="M15112" s="34">
        <f t="shared" si="412"/>
        <v>0</v>
      </c>
    </row>
    <row r="15113" spans="13:13" x14ac:dyDescent="0.25">
      <c r="M15113" s="34">
        <f t="shared" si="412"/>
        <v>0</v>
      </c>
    </row>
    <row r="15114" spans="13:13" x14ac:dyDescent="0.25">
      <c r="M15114" s="34">
        <f t="shared" si="412"/>
        <v>0</v>
      </c>
    </row>
    <row r="15115" spans="13:13" x14ac:dyDescent="0.25">
      <c r="M15115" s="34">
        <f t="shared" si="412"/>
        <v>0</v>
      </c>
    </row>
    <row r="15116" spans="13:13" x14ac:dyDescent="0.25">
      <c r="M15116" s="34">
        <f t="shared" si="412"/>
        <v>0</v>
      </c>
    </row>
    <row r="15117" spans="13:13" x14ac:dyDescent="0.25">
      <c r="M15117" s="34">
        <f t="shared" si="412"/>
        <v>0</v>
      </c>
    </row>
    <row r="15118" spans="13:13" x14ac:dyDescent="0.25">
      <c r="M15118" s="34">
        <f t="shared" si="412"/>
        <v>0</v>
      </c>
    </row>
    <row r="15119" spans="13:13" x14ac:dyDescent="0.25">
      <c r="M15119" s="34">
        <f t="shared" si="412"/>
        <v>0</v>
      </c>
    </row>
    <row r="15120" spans="13:13" x14ac:dyDescent="0.25">
      <c r="M15120" s="34">
        <f t="shared" si="412"/>
        <v>0</v>
      </c>
    </row>
    <row r="15121" spans="13:13" x14ac:dyDescent="0.25">
      <c r="M15121" s="34">
        <f t="shared" si="412"/>
        <v>0</v>
      </c>
    </row>
    <row r="15122" spans="13:13" x14ac:dyDescent="0.25">
      <c r="M15122" s="34">
        <f t="shared" si="412"/>
        <v>0</v>
      </c>
    </row>
    <row r="15123" spans="13:13" x14ac:dyDescent="0.25">
      <c r="M15123" s="34">
        <f t="shared" si="412"/>
        <v>0</v>
      </c>
    </row>
    <row r="15124" spans="13:13" x14ac:dyDescent="0.25">
      <c r="M15124" s="34">
        <f t="shared" si="412"/>
        <v>0</v>
      </c>
    </row>
    <row r="15125" spans="13:13" x14ac:dyDescent="0.25">
      <c r="M15125" s="34">
        <f t="shared" si="412"/>
        <v>0</v>
      </c>
    </row>
    <row r="15126" spans="13:13" x14ac:dyDescent="0.25">
      <c r="M15126" s="34">
        <f t="shared" si="412"/>
        <v>0</v>
      </c>
    </row>
    <row r="15127" spans="13:13" x14ac:dyDescent="0.25">
      <c r="M15127" s="34">
        <f t="shared" si="412"/>
        <v>0</v>
      </c>
    </row>
    <row r="15128" spans="13:13" x14ac:dyDescent="0.25">
      <c r="M15128" s="34">
        <f t="shared" si="412"/>
        <v>0</v>
      </c>
    </row>
    <row r="15129" spans="13:13" x14ac:dyDescent="0.25">
      <c r="M15129" s="34">
        <f t="shared" si="412"/>
        <v>0</v>
      </c>
    </row>
    <row r="15130" spans="13:13" x14ac:dyDescent="0.25">
      <c r="M15130" s="34">
        <f t="shared" si="412"/>
        <v>0</v>
      </c>
    </row>
    <row r="15131" spans="13:13" x14ac:dyDescent="0.25">
      <c r="M15131" s="34">
        <f t="shared" si="412"/>
        <v>0</v>
      </c>
    </row>
    <row r="15132" spans="13:13" x14ac:dyDescent="0.25">
      <c r="M15132" s="34">
        <f t="shared" si="412"/>
        <v>0</v>
      </c>
    </row>
    <row r="15133" spans="13:13" x14ac:dyDescent="0.25">
      <c r="M15133" s="34">
        <f t="shared" si="412"/>
        <v>0</v>
      </c>
    </row>
    <row r="15134" spans="13:13" x14ac:dyDescent="0.25">
      <c r="M15134" s="34">
        <f t="shared" si="412"/>
        <v>0</v>
      </c>
    </row>
    <row r="15135" spans="13:13" x14ac:dyDescent="0.25">
      <c r="M15135" s="34">
        <f t="shared" si="412"/>
        <v>0</v>
      </c>
    </row>
    <row r="15136" spans="13:13" x14ac:dyDescent="0.25">
      <c r="M15136" s="34">
        <f t="shared" si="412"/>
        <v>0</v>
      </c>
    </row>
    <row r="15137" spans="13:13" x14ac:dyDescent="0.25">
      <c r="M15137" s="34">
        <f t="shared" si="412"/>
        <v>0</v>
      </c>
    </row>
    <row r="15138" spans="13:13" x14ac:dyDescent="0.25">
      <c r="M15138" s="34">
        <f t="shared" si="412"/>
        <v>0</v>
      </c>
    </row>
    <row r="15139" spans="13:13" x14ac:dyDescent="0.25">
      <c r="M15139" s="34">
        <f t="shared" si="412"/>
        <v>0</v>
      </c>
    </row>
    <row r="15140" spans="13:13" x14ac:dyDescent="0.25">
      <c r="M15140" s="34">
        <f t="shared" si="412"/>
        <v>0</v>
      </c>
    </row>
    <row r="15141" spans="13:13" x14ac:dyDescent="0.25">
      <c r="M15141" s="34">
        <f t="shared" si="412"/>
        <v>0</v>
      </c>
    </row>
    <row r="15142" spans="13:13" x14ac:dyDescent="0.25">
      <c r="M15142" s="34">
        <f t="shared" si="412"/>
        <v>0</v>
      </c>
    </row>
    <row r="15143" spans="13:13" x14ac:dyDescent="0.25">
      <c r="M15143" s="34">
        <f t="shared" si="412"/>
        <v>0</v>
      </c>
    </row>
    <row r="15144" spans="13:13" x14ac:dyDescent="0.25">
      <c r="M15144" s="34">
        <f t="shared" si="412"/>
        <v>0</v>
      </c>
    </row>
    <row r="15145" spans="13:13" x14ac:dyDescent="0.25">
      <c r="M15145" s="34">
        <f t="shared" si="412"/>
        <v>0</v>
      </c>
    </row>
    <row r="15146" spans="13:13" x14ac:dyDescent="0.25">
      <c r="M15146" s="34">
        <f t="shared" si="412"/>
        <v>0</v>
      </c>
    </row>
    <row r="15147" spans="13:13" x14ac:dyDescent="0.25">
      <c r="M15147" s="34">
        <f t="shared" si="412"/>
        <v>0</v>
      </c>
    </row>
    <row r="15148" spans="13:13" x14ac:dyDescent="0.25">
      <c r="M15148" s="34">
        <f t="shared" si="412"/>
        <v>0</v>
      </c>
    </row>
    <row r="15149" spans="13:13" x14ac:dyDescent="0.25">
      <c r="M15149" s="34">
        <f t="shared" si="412"/>
        <v>0</v>
      </c>
    </row>
    <row r="15150" spans="13:13" x14ac:dyDescent="0.25">
      <c r="M15150" s="34">
        <f t="shared" si="412"/>
        <v>0</v>
      </c>
    </row>
    <row r="15151" spans="13:13" x14ac:dyDescent="0.25">
      <c r="M15151" s="34">
        <f t="shared" si="412"/>
        <v>0</v>
      </c>
    </row>
    <row r="15152" spans="13:13" x14ac:dyDescent="0.25">
      <c r="M15152" s="34">
        <f t="shared" si="412"/>
        <v>0</v>
      </c>
    </row>
    <row r="15153" spans="13:13" x14ac:dyDescent="0.25">
      <c r="M15153" s="34">
        <f t="shared" si="412"/>
        <v>0</v>
      </c>
    </row>
    <row r="15154" spans="13:13" x14ac:dyDescent="0.25">
      <c r="M15154" s="34">
        <f t="shared" si="412"/>
        <v>0</v>
      </c>
    </row>
    <row r="15155" spans="13:13" x14ac:dyDescent="0.25">
      <c r="M15155" s="34">
        <f t="shared" si="412"/>
        <v>0</v>
      </c>
    </row>
    <row r="15156" spans="13:13" x14ac:dyDescent="0.25">
      <c r="M15156" s="34">
        <f t="shared" si="412"/>
        <v>0</v>
      </c>
    </row>
    <row r="15157" spans="13:13" x14ac:dyDescent="0.25">
      <c r="M15157" s="34">
        <f t="shared" si="412"/>
        <v>0</v>
      </c>
    </row>
    <row r="15158" spans="13:13" x14ac:dyDescent="0.25">
      <c r="M15158" s="34">
        <f t="shared" si="412"/>
        <v>0</v>
      </c>
    </row>
    <row r="15159" spans="13:13" x14ac:dyDescent="0.25">
      <c r="M15159" s="34">
        <f t="shared" si="412"/>
        <v>0</v>
      </c>
    </row>
    <row r="15160" spans="13:13" x14ac:dyDescent="0.25">
      <c r="M15160" s="34">
        <f t="shared" si="412"/>
        <v>0</v>
      </c>
    </row>
    <row r="15161" spans="13:13" x14ac:dyDescent="0.25">
      <c r="M15161" s="34">
        <f t="shared" si="412"/>
        <v>0</v>
      </c>
    </row>
    <row r="15162" spans="13:13" x14ac:dyDescent="0.25">
      <c r="M15162" s="34">
        <f t="shared" si="412"/>
        <v>0</v>
      </c>
    </row>
    <row r="15163" spans="13:13" x14ac:dyDescent="0.25">
      <c r="M15163" s="34">
        <f t="shared" si="412"/>
        <v>0</v>
      </c>
    </row>
    <row r="15164" spans="13:13" x14ac:dyDescent="0.25">
      <c r="M15164" s="34">
        <f t="shared" si="412"/>
        <v>0</v>
      </c>
    </row>
    <row r="15165" spans="13:13" x14ac:dyDescent="0.25">
      <c r="M15165" s="34">
        <f t="shared" si="412"/>
        <v>0</v>
      </c>
    </row>
    <row r="15166" spans="13:13" x14ac:dyDescent="0.25">
      <c r="M15166" s="34">
        <f t="shared" si="412"/>
        <v>0</v>
      </c>
    </row>
    <row r="15167" spans="13:13" x14ac:dyDescent="0.25">
      <c r="M15167" s="34">
        <f t="shared" si="412"/>
        <v>0</v>
      </c>
    </row>
    <row r="15168" spans="13:13" x14ac:dyDescent="0.25">
      <c r="M15168" s="34">
        <f t="shared" si="412"/>
        <v>0</v>
      </c>
    </row>
    <row r="15169" spans="13:13" x14ac:dyDescent="0.25">
      <c r="M15169" s="34">
        <f t="shared" si="412"/>
        <v>0</v>
      </c>
    </row>
    <row r="15170" spans="13:13" x14ac:dyDescent="0.25">
      <c r="M15170" s="34">
        <f t="shared" si="412"/>
        <v>0</v>
      </c>
    </row>
    <row r="15171" spans="13:13" x14ac:dyDescent="0.25">
      <c r="M15171" s="34">
        <f t="shared" ref="M15171:M15234" si="413">IF(AND(E15171="Chèque",G15171="RECETTE"),F15171,0)</f>
        <v>0</v>
      </c>
    </row>
    <row r="15172" spans="13:13" x14ac:dyDescent="0.25">
      <c r="M15172" s="34">
        <f t="shared" si="413"/>
        <v>0</v>
      </c>
    </row>
    <row r="15173" spans="13:13" x14ac:dyDescent="0.25">
      <c r="M15173" s="34">
        <f t="shared" si="413"/>
        <v>0</v>
      </c>
    </row>
    <row r="15174" spans="13:13" x14ac:dyDescent="0.25">
      <c r="M15174" s="34">
        <f t="shared" si="413"/>
        <v>0</v>
      </c>
    </row>
    <row r="15175" spans="13:13" x14ac:dyDescent="0.25">
      <c r="M15175" s="34">
        <f t="shared" si="413"/>
        <v>0</v>
      </c>
    </row>
    <row r="15176" spans="13:13" x14ac:dyDescent="0.25">
      <c r="M15176" s="34">
        <f t="shared" si="413"/>
        <v>0</v>
      </c>
    </row>
    <row r="15177" spans="13:13" x14ac:dyDescent="0.25">
      <c r="M15177" s="34">
        <f t="shared" si="413"/>
        <v>0</v>
      </c>
    </row>
    <row r="15178" spans="13:13" x14ac:dyDescent="0.25">
      <c r="M15178" s="34">
        <f t="shared" si="413"/>
        <v>0</v>
      </c>
    </row>
    <row r="15179" spans="13:13" x14ac:dyDescent="0.25">
      <c r="M15179" s="34">
        <f t="shared" si="413"/>
        <v>0</v>
      </c>
    </row>
    <row r="15180" spans="13:13" x14ac:dyDescent="0.25">
      <c r="M15180" s="34">
        <f t="shared" si="413"/>
        <v>0</v>
      </c>
    </row>
    <row r="15181" spans="13:13" x14ac:dyDescent="0.25">
      <c r="M15181" s="34">
        <f t="shared" si="413"/>
        <v>0</v>
      </c>
    </row>
    <row r="15182" spans="13:13" x14ac:dyDescent="0.25">
      <c r="M15182" s="34">
        <f t="shared" si="413"/>
        <v>0</v>
      </c>
    </row>
    <row r="15183" spans="13:13" x14ac:dyDescent="0.25">
      <c r="M15183" s="34">
        <f t="shared" si="413"/>
        <v>0</v>
      </c>
    </row>
    <row r="15184" spans="13:13" x14ac:dyDescent="0.25">
      <c r="M15184" s="34">
        <f t="shared" si="413"/>
        <v>0</v>
      </c>
    </row>
    <row r="15185" spans="13:13" x14ac:dyDescent="0.25">
      <c r="M15185" s="34">
        <f t="shared" si="413"/>
        <v>0</v>
      </c>
    </row>
    <row r="15186" spans="13:13" x14ac:dyDescent="0.25">
      <c r="M15186" s="34">
        <f t="shared" si="413"/>
        <v>0</v>
      </c>
    </row>
    <row r="15187" spans="13:13" x14ac:dyDescent="0.25">
      <c r="M15187" s="34">
        <f t="shared" si="413"/>
        <v>0</v>
      </c>
    </row>
    <row r="15188" spans="13:13" x14ac:dyDescent="0.25">
      <c r="M15188" s="34">
        <f t="shared" si="413"/>
        <v>0</v>
      </c>
    </row>
    <row r="15189" spans="13:13" x14ac:dyDescent="0.25">
      <c r="M15189" s="34">
        <f t="shared" si="413"/>
        <v>0</v>
      </c>
    </row>
    <row r="15190" spans="13:13" x14ac:dyDescent="0.25">
      <c r="M15190" s="34">
        <f t="shared" si="413"/>
        <v>0</v>
      </c>
    </row>
    <row r="15191" spans="13:13" x14ac:dyDescent="0.25">
      <c r="M15191" s="34">
        <f t="shared" si="413"/>
        <v>0</v>
      </c>
    </row>
    <row r="15192" spans="13:13" x14ac:dyDescent="0.25">
      <c r="M15192" s="34">
        <f t="shared" si="413"/>
        <v>0</v>
      </c>
    </row>
    <row r="15193" spans="13:13" x14ac:dyDescent="0.25">
      <c r="M15193" s="34">
        <f t="shared" si="413"/>
        <v>0</v>
      </c>
    </row>
    <row r="15194" spans="13:13" x14ac:dyDescent="0.25">
      <c r="M15194" s="34">
        <f t="shared" si="413"/>
        <v>0</v>
      </c>
    </row>
    <row r="15195" spans="13:13" x14ac:dyDescent="0.25">
      <c r="M15195" s="34">
        <f t="shared" si="413"/>
        <v>0</v>
      </c>
    </row>
    <row r="15196" spans="13:13" x14ac:dyDescent="0.25">
      <c r="M15196" s="34">
        <f t="shared" si="413"/>
        <v>0</v>
      </c>
    </row>
    <row r="15197" spans="13:13" x14ac:dyDescent="0.25">
      <c r="M15197" s="34">
        <f t="shared" si="413"/>
        <v>0</v>
      </c>
    </row>
    <row r="15198" spans="13:13" x14ac:dyDescent="0.25">
      <c r="M15198" s="34">
        <f t="shared" si="413"/>
        <v>0</v>
      </c>
    </row>
    <row r="15199" spans="13:13" x14ac:dyDescent="0.25">
      <c r="M15199" s="34">
        <f t="shared" si="413"/>
        <v>0</v>
      </c>
    </row>
    <row r="15200" spans="13:13" x14ac:dyDescent="0.25">
      <c r="M15200" s="34">
        <f t="shared" si="413"/>
        <v>0</v>
      </c>
    </row>
    <row r="15201" spans="13:13" x14ac:dyDescent="0.25">
      <c r="M15201" s="34">
        <f t="shared" si="413"/>
        <v>0</v>
      </c>
    </row>
    <row r="15202" spans="13:13" x14ac:dyDescent="0.25">
      <c r="M15202" s="34">
        <f t="shared" si="413"/>
        <v>0</v>
      </c>
    </row>
    <row r="15203" spans="13:13" x14ac:dyDescent="0.25">
      <c r="M15203" s="34">
        <f t="shared" si="413"/>
        <v>0</v>
      </c>
    </row>
    <row r="15204" spans="13:13" x14ac:dyDescent="0.25">
      <c r="M15204" s="34">
        <f t="shared" si="413"/>
        <v>0</v>
      </c>
    </row>
    <row r="15205" spans="13:13" x14ac:dyDescent="0.25">
      <c r="M15205" s="34">
        <f t="shared" si="413"/>
        <v>0</v>
      </c>
    </row>
    <row r="15206" spans="13:13" x14ac:dyDescent="0.25">
      <c r="M15206" s="34">
        <f t="shared" si="413"/>
        <v>0</v>
      </c>
    </row>
    <row r="15207" spans="13:13" x14ac:dyDescent="0.25">
      <c r="M15207" s="34">
        <f t="shared" si="413"/>
        <v>0</v>
      </c>
    </row>
    <row r="15208" spans="13:13" x14ac:dyDescent="0.25">
      <c r="M15208" s="34">
        <f t="shared" si="413"/>
        <v>0</v>
      </c>
    </row>
    <row r="15209" spans="13:13" x14ac:dyDescent="0.25">
      <c r="M15209" s="34">
        <f t="shared" si="413"/>
        <v>0</v>
      </c>
    </row>
    <row r="15210" spans="13:13" x14ac:dyDescent="0.25">
      <c r="M15210" s="34">
        <f t="shared" si="413"/>
        <v>0</v>
      </c>
    </row>
    <row r="15211" spans="13:13" x14ac:dyDescent="0.25">
      <c r="M15211" s="34">
        <f t="shared" si="413"/>
        <v>0</v>
      </c>
    </row>
    <row r="15212" spans="13:13" x14ac:dyDescent="0.25">
      <c r="M15212" s="34">
        <f t="shared" si="413"/>
        <v>0</v>
      </c>
    </row>
    <row r="15213" spans="13:13" x14ac:dyDescent="0.25">
      <c r="M15213" s="34">
        <f t="shared" si="413"/>
        <v>0</v>
      </c>
    </row>
    <row r="15214" spans="13:13" x14ac:dyDescent="0.25">
      <c r="M15214" s="34">
        <f t="shared" si="413"/>
        <v>0</v>
      </c>
    </row>
    <row r="15215" spans="13:13" x14ac:dyDescent="0.25">
      <c r="M15215" s="34">
        <f t="shared" si="413"/>
        <v>0</v>
      </c>
    </row>
    <row r="15216" spans="13:13" x14ac:dyDescent="0.25">
      <c r="M15216" s="34">
        <f t="shared" si="413"/>
        <v>0</v>
      </c>
    </row>
    <row r="15217" spans="13:13" x14ac:dyDescent="0.25">
      <c r="M15217" s="34">
        <f t="shared" si="413"/>
        <v>0</v>
      </c>
    </row>
    <row r="15218" spans="13:13" x14ac:dyDescent="0.25">
      <c r="M15218" s="34">
        <f t="shared" si="413"/>
        <v>0</v>
      </c>
    </row>
    <row r="15219" spans="13:13" x14ac:dyDescent="0.25">
      <c r="M15219" s="34">
        <f t="shared" si="413"/>
        <v>0</v>
      </c>
    </row>
    <row r="15220" spans="13:13" x14ac:dyDescent="0.25">
      <c r="M15220" s="34">
        <f t="shared" si="413"/>
        <v>0</v>
      </c>
    </row>
    <row r="15221" spans="13:13" x14ac:dyDescent="0.25">
      <c r="M15221" s="34">
        <f t="shared" si="413"/>
        <v>0</v>
      </c>
    </row>
    <row r="15222" spans="13:13" x14ac:dyDescent="0.25">
      <c r="M15222" s="34">
        <f t="shared" si="413"/>
        <v>0</v>
      </c>
    </row>
    <row r="15223" spans="13:13" x14ac:dyDescent="0.25">
      <c r="M15223" s="34">
        <f t="shared" si="413"/>
        <v>0</v>
      </c>
    </row>
    <row r="15224" spans="13:13" x14ac:dyDescent="0.25">
      <c r="M15224" s="34">
        <f t="shared" si="413"/>
        <v>0</v>
      </c>
    </row>
    <row r="15225" spans="13:13" x14ac:dyDescent="0.25">
      <c r="M15225" s="34">
        <f t="shared" si="413"/>
        <v>0</v>
      </c>
    </row>
    <row r="15226" spans="13:13" x14ac:dyDescent="0.25">
      <c r="M15226" s="34">
        <f t="shared" si="413"/>
        <v>0</v>
      </c>
    </row>
    <row r="15227" spans="13:13" x14ac:dyDescent="0.25">
      <c r="M15227" s="34">
        <f t="shared" si="413"/>
        <v>0</v>
      </c>
    </row>
    <row r="15228" spans="13:13" x14ac:dyDescent="0.25">
      <c r="M15228" s="34">
        <f t="shared" si="413"/>
        <v>0</v>
      </c>
    </row>
    <row r="15229" spans="13:13" x14ac:dyDescent="0.25">
      <c r="M15229" s="34">
        <f t="shared" si="413"/>
        <v>0</v>
      </c>
    </row>
    <row r="15230" spans="13:13" x14ac:dyDescent="0.25">
      <c r="M15230" s="34">
        <f t="shared" si="413"/>
        <v>0</v>
      </c>
    </row>
    <row r="15231" spans="13:13" x14ac:dyDescent="0.25">
      <c r="M15231" s="34">
        <f t="shared" si="413"/>
        <v>0</v>
      </c>
    </row>
    <row r="15232" spans="13:13" x14ac:dyDescent="0.25">
      <c r="M15232" s="34">
        <f t="shared" si="413"/>
        <v>0</v>
      </c>
    </row>
    <row r="15233" spans="13:13" x14ac:dyDescent="0.25">
      <c r="M15233" s="34">
        <f t="shared" si="413"/>
        <v>0</v>
      </c>
    </row>
    <row r="15234" spans="13:13" x14ac:dyDescent="0.25">
      <c r="M15234" s="34">
        <f t="shared" si="413"/>
        <v>0</v>
      </c>
    </row>
    <row r="15235" spans="13:13" x14ac:dyDescent="0.25">
      <c r="M15235" s="34">
        <f t="shared" ref="M15235:M15298" si="414">IF(AND(E15235="Chèque",G15235="RECETTE"),F15235,0)</f>
        <v>0</v>
      </c>
    </row>
    <row r="15236" spans="13:13" x14ac:dyDescent="0.25">
      <c r="M15236" s="34">
        <f t="shared" si="414"/>
        <v>0</v>
      </c>
    </row>
    <row r="15237" spans="13:13" x14ac:dyDescent="0.25">
      <c r="M15237" s="34">
        <f t="shared" si="414"/>
        <v>0</v>
      </c>
    </row>
    <row r="15238" spans="13:13" x14ac:dyDescent="0.25">
      <c r="M15238" s="34">
        <f t="shared" si="414"/>
        <v>0</v>
      </c>
    </row>
    <row r="15239" spans="13:13" x14ac:dyDescent="0.25">
      <c r="M15239" s="34">
        <f t="shared" si="414"/>
        <v>0</v>
      </c>
    </row>
    <row r="15240" spans="13:13" x14ac:dyDescent="0.25">
      <c r="M15240" s="34">
        <f t="shared" si="414"/>
        <v>0</v>
      </c>
    </row>
    <row r="15241" spans="13:13" x14ac:dyDescent="0.25">
      <c r="M15241" s="34">
        <f t="shared" si="414"/>
        <v>0</v>
      </c>
    </row>
    <row r="15242" spans="13:13" x14ac:dyDescent="0.25">
      <c r="M15242" s="34">
        <f t="shared" si="414"/>
        <v>0</v>
      </c>
    </row>
    <row r="15243" spans="13:13" x14ac:dyDescent="0.25">
      <c r="M15243" s="34">
        <f t="shared" si="414"/>
        <v>0</v>
      </c>
    </row>
    <row r="15244" spans="13:13" x14ac:dyDescent="0.25">
      <c r="M15244" s="34">
        <f t="shared" si="414"/>
        <v>0</v>
      </c>
    </row>
    <row r="15245" spans="13:13" x14ac:dyDescent="0.25">
      <c r="M15245" s="34">
        <f t="shared" si="414"/>
        <v>0</v>
      </c>
    </row>
    <row r="15246" spans="13:13" x14ac:dyDescent="0.25">
      <c r="M15246" s="34">
        <f t="shared" si="414"/>
        <v>0</v>
      </c>
    </row>
    <row r="15247" spans="13:13" x14ac:dyDescent="0.25">
      <c r="M15247" s="34">
        <f t="shared" si="414"/>
        <v>0</v>
      </c>
    </row>
    <row r="15248" spans="13:13" x14ac:dyDescent="0.25">
      <c r="M15248" s="34">
        <f t="shared" si="414"/>
        <v>0</v>
      </c>
    </row>
    <row r="15249" spans="13:13" x14ac:dyDescent="0.25">
      <c r="M15249" s="34">
        <f t="shared" si="414"/>
        <v>0</v>
      </c>
    </row>
    <row r="15250" spans="13:13" x14ac:dyDescent="0.25">
      <c r="M15250" s="34">
        <f t="shared" si="414"/>
        <v>0</v>
      </c>
    </row>
    <row r="15251" spans="13:13" x14ac:dyDescent="0.25">
      <c r="M15251" s="34">
        <f t="shared" si="414"/>
        <v>0</v>
      </c>
    </row>
    <row r="15252" spans="13:13" x14ac:dyDescent="0.25">
      <c r="M15252" s="34">
        <f t="shared" si="414"/>
        <v>0</v>
      </c>
    </row>
    <row r="15253" spans="13:13" x14ac:dyDescent="0.25">
      <c r="M15253" s="34">
        <f t="shared" si="414"/>
        <v>0</v>
      </c>
    </row>
    <row r="15254" spans="13:13" x14ac:dyDescent="0.25">
      <c r="M15254" s="34">
        <f t="shared" si="414"/>
        <v>0</v>
      </c>
    </row>
    <row r="15255" spans="13:13" x14ac:dyDescent="0.25">
      <c r="M15255" s="34">
        <f t="shared" si="414"/>
        <v>0</v>
      </c>
    </row>
    <row r="15256" spans="13:13" x14ac:dyDescent="0.25">
      <c r="M15256" s="34">
        <f t="shared" si="414"/>
        <v>0</v>
      </c>
    </row>
    <row r="15257" spans="13:13" x14ac:dyDescent="0.25">
      <c r="M15257" s="34">
        <f t="shared" si="414"/>
        <v>0</v>
      </c>
    </row>
    <row r="15258" spans="13:13" x14ac:dyDescent="0.25">
      <c r="M15258" s="34">
        <f t="shared" si="414"/>
        <v>0</v>
      </c>
    </row>
    <row r="15259" spans="13:13" x14ac:dyDescent="0.25">
      <c r="M15259" s="34">
        <f t="shared" si="414"/>
        <v>0</v>
      </c>
    </row>
    <row r="15260" spans="13:13" x14ac:dyDescent="0.25">
      <c r="M15260" s="34">
        <f t="shared" si="414"/>
        <v>0</v>
      </c>
    </row>
    <row r="15261" spans="13:13" x14ac:dyDescent="0.25">
      <c r="M15261" s="34">
        <f t="shared" si="414"/>
        <v>0</v>
      </c>
    </row>
    <row r="15262" spans="13:13" x14ac:dyDescent="0.25">
      <c r="M15262" s="34">
        <f t="shared" si="414"/>
        <v>0</v>
      </c>
    </row>
    <row r="15263" spans="13:13" x14ac:dyDescent="0.25">
      <c r="M15263" s="34">
        <f t="shared" si="414"/>
        <v>0</v>
      </c>
    </row>
    <row r="15264" spans="13:13" x14ac:dyDescent="0.25">
      <c r="M15264" s="34">
        <f t="shared" si="414"/>
        <v>0</v>
      </c>
    </row>
    <row r="15265" spans="13:13" x14ac:dyDescent="0.25">
      <c r="M15265" s="34">
        <f t="shared" si="414"/>
        <v>0</v>
      </c>
    </row>
    <row r="15266" spans="13:13" x14ac:dyDescent="0.25">
      <c r="M15266" s="34">
        <f t="shared" si="414"/>
        <v>0</v>
      </c>
    </row>
    <row r="15267" spans="13:13" x14ac:dyDescent="0.25">
      <c r="M15267" s="34">
        <f t="shared" si="414"/>
        <v>0</v>
      </c>
    </row>
    <row r="15268" spans="13:13" x14ac:dyDescent="0.25">
      <c r="M15268" s="34">
        <f t="shared" si="414"/>
        <v>0</v>
      </c>
    </row>
    <row r="15269" spans="13:13" x14ac:dyDescent="0.25">
      <c r="M15269" s="34">
        <f t="shared" si="414"/>
        <v>0</v>
      </c>
    </row>
    <row r="15270" spans="13:13" x14ac:dyDescent="0.25">
      <c r="M15270" s="34">
        <f t="shared" si="414"/>
        <v>0</v>
      </c>
    </row>
    <row r="15271" spans="13:13" x14ac:dyDescent="0.25">
      <c r="M15271" s="34">
        <f t="shared" si="414"/>
        <v>0</v>
      </c>
    </row>
    <row r="15272" spans="13:13" x14ac:dyDescent="0.25">
      <c r="M15272" s="34">
        <f t="shared" si="414"/>
        <v>0</v>
      </c>
    </row>
    <row r="15273" spans="13:13" x14ac:dyDescent="0.25">
      <c r="M15273" s="34">
        <f t="shared" si="414"/>
        <v>0</v>
      </c>
    </row>
    <row r="15274" spans="13:13" x14ac:dyDescent="0.25">
      <c r="M15274" s="34">
        <f t="shared" si="414"/>
        <v>0</v>
      </c>
    </row>
    <row r="15275" spans="13:13" x14ac:dyDescent="0.25">
      <c r="M15275" s="34">
        <f t="shared" si="414"/>
        <v>0</v>
      </c>
    </row>
    <row r="15276" spans="13:13" x14ac:dyDescent="0.25">
      <c r="M15276" s="34">
        <f t="shared" si="414"/>
        <v>0</v>
      </c>
    </row>
    <row r="15277" spans="13:13" x14ac:dyDescent="0.25">
      <c r="M15277" s="34">
        <f t="shared" si="414"/>
        <v>0</v>
      </c>
    </row>
    <row r="15278" spans="13:13" x14ac:dyDescent="0.25">
      <c r="M15278" s="34">
        <f t="shared" si="414"/>
        <v>0</v>
      </c>
    </row>
    <row r="15279" spans="13:13" x14ac:dyDescent="0.25">
      <c r="M15279" s="34">
        <f t="shared" si="414"/>
        <v>0</v>
      </c>
    </row>
    <row r="15280" spans="13:13" x14ac:dyDescent="0.25">
      <c r="M15280" s="34">
        <f t="shared" si="414"/>
        <v>0</v>
      </c>
    </row>
    <row r="15281" spans="13:13" x14ac:dyDescent="0.25">
      <c r="M15281" s="34">
        <f t="shared" si="414"/>
        <v>0</v>
      </c>
    </row>
    <row r="15282" spans="13:13" x14ac:dyDescent="0.25">
      <c r="M15282" s="34">
        <f t="shared" si="414"/>
        <v>0</v>
      </c>
    </row>
    <row r="15283" spans="13:13" x14ac:dyDescent="0.25">
      <c r="M15283" s="34">
        <f t="shared" si="414"/>
        <v>0</v>
      </c>
    </row>
    <row r="15284" spans="13:13" x14ac:dyDescent="0.25">
      <c r="M15284" s="34">
        <f t="shared" si="414"/>
        <v>0</v>
      </c>
    </row>
    <row r="15285" spans="13:13" x14ac:dyDescent="0.25">
      <c r="M15285" s="34">
        <f t="shared" si="414"/>
        <v>0</v>
      </c>
    </row>
    <row r="15286" spans="13:13" x14ac:dyDescent="0.25">
      <c r="M15286" s="34">
        <f t="shared" si="414"/>
        <v>0</v>
      </c>
    </row>
    <row r="15287" spans="13:13" x14ac:dyDescent="0.25">
      <c r="M15287" s="34">
        <f t="shared" si="414"/>
        <v>0</v>
      </c>
    </row>
    <row r="15288" spans="13:13" x14ac:dyDescent="0.25">
      <c r="M15288" s="34">
        <f t="shared" si="414"/>
        <v>0</v>
      </c>
    </row>
    <row r="15289" spans="13:13" x14ac:dyDescent="0.25">
      <c r="M15289" s="34">
        <f t="shared" si="414"/>
        <v>0</v>
      </c>
    </row>
    <row r="15290" spans="13:13" x14ac:dyDescent="0.25">
      <c r="M15290" s="34">
        <f t="shared" si="414"/>
        <v>0</v>
      </c>
    </row>
    <row r="15291" spans="13:13" x14ac:dyDescent="0.25">
      <c r="M15291" s="34">
        <f t="shared" si="414"/>
        <v>0</v>
      </c>
    </row>
    <row r="15292" spans="13:13" x14ac:dyDescent="0.25">
      <c r="M15292" s="34">
        <f t="shared" si="414"/>
        <v>0</v>
      </c>
    </row>
    <row r="15293" spans="13:13" x14ac:dyDescent="0.25">
      <c r="M15293" s="34">
        <f t="shared" si="414"/>
        <v>0</v>
      </c>
    </row>
    <row r="15294" spans="13:13" x14ac:dyDescent="0.25">
      <c r="M15294" s="34">
        <f t="shared" si="414"/>
        <v>0</v>
      </c>
    </row>
    <row r="15295" spans="13:13" x14ac:dyDescent="0.25">
      <c r="M15295" s="34">
        <f t="shared" si="414"/>
        <v>0</v>
      </c>
    </row>
    <row r="15296" spans="13:13" x14ac:dyDescent="0.25">
      <c r="M15296" s="34">
        <f t="shared" si="414"/>
        <v>0</v>
      </c>
    </row>
    <row r="15297" spans="13:13" x14ac:dyDescent="0.25">
      <c r="M15297" s="34">
        <f t="shared" si="414"/>
        <v>0</v>
      </c>
    </row>
    <row r="15298" spans="13:13" x14ac:dyDescent="0.25">
      <c r="M15298" s="34">
        <f t="shared" si="414"/>
        <v>0</v>
      </c>
    </row>
    <row r="15299" spans="13:13" x14ac:dyDescent="0.25">
      <c r="M15299" s="34">
        <f t="shared" ref="M15299:M15362" si="415">IF(AND(E15299="Chèque",G15299="RECETTE"),F15299,0)</f>
        <v>0</v>
      </c>
    </row>
    <row r="15300" spans="13:13" x14ac:dyDescent="0.25">
      <c r="M15300" s="34">
        <f t="shared" si="415"/>
        <v>0</v>
      </c>
    </row>
    <row r="15301" spans="13:13" x14ac:dyDescent="0.25">
      <c r="M15301" s="34">
        <f t="shared" si="415"/>
        <v>0</v>
      </c>
    </row>
    <row r="15302" spans="13:13" x14ac:dyDescent="0.25">
      <c r="M15302" s="34">
        <f t="shared" si="415"/>
        <v>0</v>
      </c>
    </row>
    <row r="15303" spans="13:13" x14ac:dyDescent="0.25">
      <c r="M15303" s="34">
        <f t="shared" si="415"/>
        <v>0</v>
      </c>
    </row>
    <row r="15304" spans="13:13" x14ac:dyDescent="0.25">
      <c r="M15304" s="34">
        <f t="shared" si="415"/>
        <v>0</v>
      </c>
    </row>
    <row r="15305" spans="13:13" x14ac:dyDescent="0.25">
      <c r="M15305" s="34">
        <f t="shared" si="415"/>
        <v>0</v>
      </c>
    </row>
    <row r="15306" spans="13:13" x14ac:dyDescent="0.25">
      <c r="M15306" s="34">
        <f t="shared" si="415"/>
        <v>0</v>
      </c>
    </row>
    <row r="15307" spans="13:13" x14ac:dyDescent="0.25">
      <c r="M15307" s="34">
        <f t="shared" si="415"/>
        <v>0</v>
      </c>
    </row>
    <row r="15308" spans="13:13" x14ac:dyDescent="0.25">
      <c r="M15308" s="34">
        <f t="shared" si="415"/>
        <v>0</v>
      </c>
    </row>
    <row r="15309" spans="13:13" x14ac:dyDescent="0.25">
      <c r="M15309" s="34">
        <f t="shared" si="415"/>
        <v>0</v>
      </c>
    </row>
    <row r="15310" spans="13:13" x14ac:dyDescent="0.25">
      <c r="M15310" s="34">
        <f t="shared" si="415"/>
        <v>0</v>
      </c>
    </row>
    <row r="15311" spans="13:13" x14ac:dyDescent="0.25">
      <c r="M15311" s="34">
        <f t="shared" si="415"/>
        <v>0</v>
      </c>
    </row>
    <row r="15312" spans="13:13" x14ac:dyDescent="0.25">
      <c r="M15312" s="34">
        <f t="shared" si="415"/>
        <v>0</v>
      </c>
    </row>
    <row r="15313" spans="13:13" x14ac:dyDescent="0.25">
      <c r="M15313" s="34">
        <f t="shared" si="415"/>
        <v>0</v>
      </c>
    </row>
    <row r="15314" spans="13:13" x14ac:dyDescent="0.25">
      <c r="M15314" s="34">
        <f t="shared" si="415"/>
        <v>0</v>
      </c>
    </row>
    <row r="15315" spans="13:13" x14ac:dyDescent="0.25">
      <c r="M15315" s="34">
        <f t="shared" si="415"/>
        <v>0</v>
      </c>
    </row>
    <row r="15316" spans="13:13" x14ac:dyDescent="0.25">
      <c r="M15316" s="34">
        <f t="shared" si="415"/>
        <v>0</v>
      </c>
    </row>
    <row r="15317" spans="13:13" x14ac:dyDescent="0.25">
      <c r="M15317" s="34">
        <f t="shared" si="415"/>
        <v>0</v>
      </c>
    </row>
    <row r="15318" spans="13:13" x14ac:dyDescent="0.25">
      <c r="M15318" s="34">
        <f t="shared" si="415"/>
        <v>0</v>
      </c>
    </row>
    <row r="15319" spans="13:13" x14ac:dyDescent="0.25">
      <c r="M15319" s="34">
        <f t="shared" si="415"/>
        <v>0</v>
      </c>
    </row>
    <row r="15320" spans="13:13" x14ac:dyDescent="0.25">
      <c r="M15320" s="34">
        <f t="shared" si="415"/>
        <v>0</v>
      </c>
    </row>
    <row r="15321" spans="13:13" x14ac:dyDescent="0.25">
      <c r="M15321" s="34">
        <f t="shared" si="415"/>
        <v>0</v>
      </c>
    </row>
    <row r="15322" spans="13:13" x14ac:dyDescent="0.25">
      <c r="M15322" s="34">
        <f t="shared" si="415"/>
        <v>0</v>
      </c>
    </row>
    <row r="15323" spans="13:13" x14ac:dyDescent="0.25">
      <c r="M15323" s="34">
        <f t="shared" si="415"/>
        <v>0</v>
      </c>
    </row>
    <row r="15324" spans="13:13" x14ac:dyDescent="0.25">
      <c r="M15324" s="34">
        <f t="shared" si="415"/>
        <v>0</v>
      </c>
    </row>
    <row r="15325" spans="13:13" x14ac:dyDescent="0.25">
      <c r="M15325" s="34">
        <f t="shared" si="415"/>
        <v>0</v>
      </c>
    </row>
    <row r="15326" spans="13:13" x14ac:dyDescent="0.25">
      <c r="M15326" s="34">
        <f t="shared" si="415"/>
        <v>0</v>
      </c>
    </row>
    <row r="15327" spans="13:13" x14ac:dyDescent="0.25">
      <c r="M15327" s="34">
        <f t="shared" si="415"/>
        <v>0</v>
      </c>
    </row>
    <row r="15328" spans="13:13" x14ac:dyDescent="0.25">
      <c r="M15328" s="34">
        <f t="shared" si="415"/>
        <v>0</v>
      </c>
    </row>
    <row r="15329" spans="13:13" x14ac:dyDescent="0.25">
      <c r="M15329" s="34">
        <f t="shared" si="415"/>
        <v>0</v>
      </c>
    </row>
    <row r="15330" spans="13:13" x14ac:dyDescent="0.25">
      <c r="M15330" s="34">
        <f t="shared" si="415"/>
        <v>0</v>
      </c>
    </row>
    <row r="15331" spans="13:13" x14ac:dyDescent="0.25">
      <c r="M15331" s="34">
        <f t="shared" si="415"/>
        <v>0</v>
      </c>
    </row>
    <row r="15332" spans="13:13" x14ac:dyDescent="0.25">
      <c r="M15332" s="34">
        <f t="shared" si="415"/>
        <v>0</v>
      </c>
    </row>
    <row r="15333" spans="13:13" x14ac:dyDescent="0.25">
      <c r="M15333" s="34">
        <f t="shared" si="415"/>
        <v>0</v>
      </c>
    </row>
    <row r="15334" spans="13:13" x14ac:dyDescent="0.25">
      <c r="M15334" s="34">
        <f t="shared" si="415"/>
        <v>0</v>
      </c>
    </row>
    <row r="15335" spans="13:13" x14ac:dyDescent="0.25">
      <c r="M15335" s="34">
        <f t="shared" si="415"/>
        <v>0</v>
      </c>
    </row>
    <row r="15336" spans="13:13" x14ac:dyDescent="0.25">
      <c r="M15336" s="34">
        <f t="shared" si="415"/>
        <v>0</v>
      </c>
    </row>
    <row r="15337" spans="13:13" x14ac:dyDescent="0.25">
      <c r="M15337" s="34">
        <f t="shared" si="415"/>
        <v>0</v>
      </c>
    </row>
    <row r="15338" spans="13:13" x14ac:dyDescent="0.25">
      <c r="M15338" s="34">
        <f t="shared" si="415"/>
        <v>0</v>
      </c>
    </row>
    <row r="15339" spans="13:13" x14ac:dyDescent="0.25">
      <c r="M15339" s="34">
        <f t="shared" si="415"/>
        <v>0</v>
      </c>
    </row>
    <row r="15340" spans="13:13" x14ac:dyDescent="0.25">
      <c r="M15340" s="34">
        <f t="shared" si="415"/>
        <v>0</v>
      </c>
    </row>
    <row r="15341" spans="13:13" x14ac:dyDescent="0.25">
      <c r="M15341" s="34">
        <f t="shared" si="415"/>
        <v>0</v>
      </c>
    </row>
    <row r="15342" spans="13:13" x14ac:dyDescent="0.25">
      <c r="M15342" s="34">
        <f t="shared" si="415"/>
        <v>0</v>
      </c>
    </row>
    <row r="15343" spans="13:13" x14ac:dyDescent="0.25">
      <c r="M15343" s="34">
        <f t="shared" si="415"/>
        <v>0</v>
      </c>
    </row>
    <row r="15344" spans="13:13" x14ac:dyDescent="0.25">
      <c r="M15344" s="34">
        <f t="shared" si="415"/>
        <v>0</v>
      </c>
    </row>
    <row r="15345" spans="13:13" x14ac:dyDescent="0.25">
      <c r="M15345" s="34">
        <f t="shared" si="415"/>
        <v>0</v>
      </c>
    </row>
    <row r="15346" spans="13:13" x14ac:dyDescent="0.25">
      <c r="M15346" s="34">
        <f t="shared" si="415"/>
        <v>0</v>
      </c>
    </row>
    <row r="15347" spans="13:13" x14ac:dyDescent="0.25">
      <c r="M15347" s="34">
        <f t="shared" si="415"/>
        <v>0</v>
      </c>
    </row>
    <row r="15348" spans="13:13" x14ac:dyDescent="0.25">
      <c r="M15348" s="34">
        <f t="shared" si="415"/>
        <v>0</v>
      </c>
    </row>
    <row r="15349" spans="13:13" x14ac:dyDescent="0.25">
      <c r="M15349" s="34">
        <f t="shared" si="415"/>
        <v>0</v>
      </c>
    </row>
    <row r="15350" spans="13:13" x14ac:dyDescent="0.25">
      <c r="M15350" s="34">
        <f t="shared" si="415"/>
        <v>0</v>
      </c>
    </row>
    <row r="15351" spans="13:13" x14ac:dyDescent="0.25">
      <c r="M15351" s="34">
        <f t="shared" si="415"/>
        <v>0</v>
      </c>
    </row>
    <row r="15352" spans="13:13" x14ac:dyDescent="0.25">
      <c r="M15352" s="34">
        <f t="shared" si="415"/>
        <v>0</v>
      </c>
    </row>
    <row r="15353" spans="13:13" x14ac:dyDescent="0.25">
      <c r="M15353" s="34">
        <f t="shared" si="415"/>
        <v>0</v>
      </c>
    </row>
    <row r="15354" spans="13:13" x14ac:dyDescent="0.25">
      <c r="M15354" s="34">
        <f t="shared" si="415"/>
        <v>0</v>
      </c>
    </row>
    <row r="15355" spans="13:13" x14ac:dyDescent="0.25">
      <c r="M15355" s="34">
        <f t="shared" si="415"/>
        <v>0</v>
      </c>
    </row>
    <row r="15356" spans="13:13" x14ac:dyDescent="0.25">
      <c r="M15356" s="34">
        <f t="shared" si="415"/>
        <v>0</v>
      </c>
    </row>
    <row r="15357" spans="13:13" x14ac:dyDescent="0.25">
      <c r="M15357" s="34">
        <f t="shared" si="415"/>
        <v>0</v>
      </c>
    </row>
    <row r="15358" spans="13:13" x14ac:dyDescent="0.25">
      <c r="M15358" s="34">
        <f t="shared" si="415"/>
        <v>0</v>
      </c>
    </row>
    <row r="15359" spans="13:13" x14ac:dyDescent="0.25">
      <c r="M15359" s="34">
        <f t="shared" si="415"/>
        <v>0</v>
      </c>
    </row>
    <row r="15360" spans="13:13" x14ac:dyDescent="0.25">
      <c r="M15360" s="34">
        <f t="shared" si="415"/>
        <v>0</v>
      </c>
    </row>
    <row r="15361" spans="13:13" x14ac:dyDescent="0.25">
      <c r="M15361" s="34">
        <f t="shared" si="415"/>
        <v>0</v>
      </c>
    </row>
    <row r="15362" spans="13:13" x14ac:dyDescent="0.25">
      <c r="M15362" s="34">
        <f t="shared" si="415"/>
        <v>0</v>
      </c>
    </row>
    <row r="15363" spans="13:13" x14ac:dyDescent="0.25">
      <c r="M15363" s="34">
        <f t="shared" ref="M15363:M15426" si="416">IF(AND(E15363="Chèque",G15363="RECETTE"),F15363,0)</f>
        <v>0</v>
      </c>
    </row>
    <row r="15364" spans="13:13" x14ac:dyDescent="0.25">
      <c r="M15364" s="34">
        <f t="shared" si="416"/>
        <v>0</v>
      </c>
    </row>
    <row r="15365" spans="13:13" x14ac:dyDescent="0.25">
      <c r="M15365" s="34">
        <f t="shared" si="416"/>
        <v>0</v>
      </c>
    </row>
    <row r="15366" spans="13:13" x14ac:dyDescent="0.25">
      <c r="M15366" s="34">
        <f t="shared" si="416"/>
        <v>0</v>
      </c>
    </row>
    <row r="15367" spans="13:13" x14ac:dyDescent="0.25">
      <c r="M15367" s="34">
        <f t="shared" si="416"/>
        <v>0</v>
      </c>
    </row>
    <row r="15368" spans="13:13" x14ac:dyDescent="0.25">
      <c r="M15368" s="34">
        <f t="shared" si="416"/>
        <v>0</v>
      </c>
    </row>
    <row r="15369" spans="13:13" x14ac:dyDescent="0.25">
      <c r="M15369" s="34">
        <f t="shared" si="416"/>
        <v>0</v>
      </c>
    </row>
    <row r="15370" spans="13:13" x14ac:dyDescent="0.25">
      <c r="M15370" s="34">
        <f t="shared" si="416"/>
        <v>0</v>
      </c>
    </row>
    <row r="15371" spans="13:13" x14ac:dyDescent="0.25">
      <c r="M15371" s="34">
        <f t="shared" si="416"/>
        <v>0</v>
      </c>
    </row>
    <row r="15372" spans="13:13" x14ac:dyDescent="0.25">
      <c r="M15372" s="34">
        <f t="shared" si="416"/>
        <v>0</v>
      </c>
    </row>
    <row r="15373" spans="13:13" x14ac:dyDescent="0.25">
      <c r="M15373" s="34">
        <f t="shared" si="416"/>
        <v>0</v>
      </c>
    </row>
    <row r="15374" spans="13:13" x14ac:dyDescent="0.25">
      <c r="M15374" s="34">
        <f t="shared" si="416"/>
        <v>0</v>
      </c>
    </row>
    <row r="15375" spans="13:13" x14ac:dyDescent="0.25">
      <c r="M15375" s="34">
        <f t="shared" si="416"/>
        <v>0</v>
      </c>
    </row>
    <row r="15376" spans="13:13" x14ac:dyDescent="0.25">
      <c r="M15376" s="34">
        <f t="shared" si="416"/>
        <v>0</v>
      </c>
    </row>
    <row r="15377" spans="13:13" x14ac:dyDescent="0.25">
      <c r="M15377" s="34">
        <f t="shared" si="416"/>
        <v>0</v>
      </c>
    </row>
    <row r="15378" spans="13:13" x14ac:dyDescent="0.25">
      <c r="M15378" s="34">
        <f t="shared" si="416"/>
        <v>0</v>
      </c>
    </row>
    <row r="15379" spans="13:13" x14ac:dyDescent="0.25">
      <c r="M15379" s="34">
        <f t="shared" si="416"/>
        <v>0</v>
      </c>
    </row>
    <row r="15380" spans="13:13" x14ac:dyDescent="0.25">
      <c r="M15380" s="34">
        <f t="shared" si="416"/>
        <v>0</v>
      </c>
    </row>
    <row r="15381" spans="13:13" x14ac:dyDescent="0.25">
      <c r="M15381" s="34">
        <f t="shared" si="416"/>
        <v>0</v>
      </c>
    </row>
    <row r="15382" spans="13:13" x14ac:dyDescent="0.25">
      <c r="M15382" s="34">
        <f t="shared" si="416"/>
        <v>0</v>
      </c>
    </row>
    <row r="15383" spans="13:13" x14ac:dyDescent="0.25">
      <c r="M15383" s="34">
        <f t="shared" si="416"/>
        <v>0</v>
      </c>
    </row>
    <row r="15384" spans="13:13" x14ac:dyDescent="0.25">
      <c r="M15384" s="34">
        <f t="shared" si="416"/>
        <v>0</v>
      </c>
    </row>
    <row r="15385" spans="13:13" x14ac:dyDescent="0.25">
      <c r="M15385" s="34">
        <f t="shared" si="416"/>
        <v>0</v>
      </c>
    </row>
    <row r="15386" spans="13:13" x14ac:dyDescent="0.25">
      <c r="M15386" s="34">
        <f t="shared" si="416"/>
        <v>0</v>
      </c>
    </row>
    <row r="15387" spans="13:13" x14ac:dyDescent="0.25">
      <c r="M15387" s="34">
        <f t="shared" si="416"/>
        <v>0</v>
      </c>
    </row>
    <row r="15388" spans="13:13" x14ac:dyDescent="0.25">
      <c r="M15388" s="34">
        <f t="shared" si="416"/>
        <v>0</v>
      </c>
    </row>
    <row r="15389" spans="13:13" x14ac:dyDescent="0.25">
      <c r="M15389" s="34">
        <f t="shared" si="416"/>
        <v>0</v>
      </c>
    </row>
    <row r="15390" spans="13:13" x14ac:dyDescent="0.25">
      <c r="M15390" s="34">
        <f t="shared" si="416"/>
        <v>0</v>
      </c>
    </row>
    <row r="15391" spans="13:13" x14ac:dyDescent="0.25">
      <c r="M15391" s="34">
        <f t="shared" si="416"/>
        <v>0</v>
      </c>
    </row>
    <row r="15392" spans="13:13" x14ac:dyDescent="0.25">
      <c r="M15392" s="34">
        <f t="shared" si="416"/>
        <v>0</v>
      </c>
    </row>
    <row r="15393" spans="13:13" x14ac:dyDescent="0.25">
      <c r="M15393" s="34">
        <f t="shared" si="416"/>
        <v>0</v>
      </c>
    </row>
    <row r="15394" spans="13:13" x14ac:dyDescent="0.25">
      <c r="M15394" s="34">
        <f t="shared" si="416"/>
        <v>0</v>
      </c>
    </row>
    <row r="15395" spans="13:13" x14ac:dyDescent="0.25">
      <c r="M15395" s="34">
        <f t="shared" si="416"/>
        <v>0</v>
      </c>
    </row>
    <row r="15396" spans="13:13" x14ac:dyDescent="0.25">
      <c r="M15396" s="34">
        <f t="shared" si="416"/>
        <v>0</v>
      </c>
    </row>
    <row r="15397" spans="13:13" x14ac:dyDescent="0.25">
      <c r="M15397" s="34">
        <f t="shared" si="416"/>
        <v>0</v>
      </c>
    </row>
    <row r="15398" spans="13:13" x14ac:dyDescent="0.25">
      <c r="M15398" s="34">
        <f t="shared" si="416"/>
        <v>0</v>
      </c>
    </row>
    <row r="15399" spans="13:13" x14ac:dyDescent="0.25">
      <c r="M15399" s="34">
        <f t="shared" si="416"/>
        <v>0</v>
      </c>
    </row>
    <row r="15400" spans="13:13" x14ac:dyDescent="0.25">
      <c r="M15400" s="34">
        <f t="shared" si="416"/>
        <v>0</v>
      </c>
    </row>
    <row r="15401" spans="13:13" x14ac:dyDescent="0.25">
      <c r="M15401" s="34">
        <f t="shared" si="416"/>
        <v>0</v>
      </c>
    </row>
    <row r="15402" spans="13:13" x14ac:dyDescent="0.25">
      <c r="M15402" s="34">
        <f t="shared" si="416"/>
        <v>0</v>
      </c>
    </row>
    <row r="15403" spans="13:13" x14ac:dyDescent="0.25">
      <c r="M15403" s="34">
        <f t="shared" si="416"/>
        <v>0</v>
      </c>
    </row>
    <row r="15404" spans="13:13" x14ac:dyDescent="0.25">
      <c r="M15404" s="34">
        <f t="shared" si="416"/>
        <v>0</v>
      </c>
    </row>
    <row r="15405" spans="13:13" x14ac:dyDescent="0.25">
      <c r="M15405" s="34">
        <f t="shared" si="416"/>
        <v>0</v>
      </c>
    </row>
    <row r="15406" spans="13:13" x14ac:dyDescent="0.25">
      <c r="M15406" s="34">
        <f t="shared" si="416"/>
        <v>0</v>
      </c>
    </row>
    <row r="15407" spans="13:13" x14ac:dyDescent="0.25">
      <c r="M15407" s="34">
        <f t="shared" si="416"/>
        <v>0</v>
      </c>
    </row>
    <row r="15408" spans="13:13" x14ac:dyDescent="0.25">
      <c r="M15408" s="34">
        <f t="shared" si="416"/>
        <v>0</v>
      </c>
    </row>
    <row r="15409" spans="13:13" x14ac:dyDescent="0.25">
      <c r="M15409" s="34">
        <f t="shared" si="416"/>
        <v>0</v>
      </c>
    </row>
    <row r="15410" spans="13:13" x14ac:dyDescent="0.25">
      <c r="M15410" s="34">
        <f t="shared" si="416"/>
        <v>0</v>
      </c>
    </row>
    <row r="15411" spans="13:13" x14ac:dyDescent="0.25">
      <c r="M15411" s="34">
        <f t="shared" si="416"/>
        <v>0</v>
      </c>
    </row>
    <row r="15412" spans="13:13" x14ac:dyDescent="0.25">
      <c r="M15412" s="34">
        <f t="shared" si="416"/>
        <v>0</v>
      </c>
    </row>
    <row r="15413" spans="13:13" x14ac:dyDescent="0.25">
      <c r="M15413" s="34">
        <f t="shared" si="416"/>
        <v>0</v>
      </c>
    </row>
    <row r="15414" spans="13:13" x14ac:dyDescent="0.25">
      <c r="M15414" s="34">
        <f t="shared" si="416"/>
        <v>0</v>
      </c>
    </row>
    <row r="15415" spans="13:13" x14ac:dyDescent="0.25">
      <c r="M15415" s="34">
        <f t="shared" si="416"/>
        <v>0</v>
      </c>
    </row>
    <row r="15416" spans="13:13" x14ac:dyDescent="0.25">
      <c r="M15416" s="34">
        <f t="shared" si="416"/>
        <v>0</v>
      </c>
    </row>
    <row r="15417" spans="13:13" x14ac:dyDescent="0.25">
      <c r="M15417" s="34">
        <f t="shared" si="416"/>
        <v>0</v>
      </c>
    </row>
    <row r="15418" spans="13:13" x14ac:dyDescent="0.25">
      <c r="M15418" s="34">
        <f t="shared" si="416"/>
        <v>0</v>
      </c>
    </row>
    <row r="15419" spans="13:13" x14ac:dyDescent="0.25">
      <c r="M15419" s="34">
        <f t="shared" si="416"/>
        <v>0</v>
      </c>
    </row>
    <row r="15420" spans="13:13" x14ac:dyDescent="0.25">
      <c r="M15420" s="34">
        <f t="shared" si="416"/>
        <v>0</v>
      </c>
    </row>
    <row r="15421" spans="13:13" x14ac:dyDescent="0.25">
      <c r="M15421" s="34">
        <f t="shared" si="416"/>
        <v>0</v>
      </c>
    </row>
    <row r="15422" spans="13:13" x14ac:dyDescent="0.25">
      <c r="M15422" s="34">
        <f t="shared" si="416"/>
        <v>0</v>
      </c>
    </row>
    <row r="15423" spans="13:13" x14ac:dyDescent="0.25">
      <c r="M15423" s="34">
        <f t="shared" si="416"/>
        <v>0</v>
      </c>
    </row>
    <row r="15424" spans="13:13" x14ac:dyDescent="0.25">
      <c r="M15424" s="34">
        <f t="shared" si="416"/>
        <v>0</v>
      </c>
    </row>
    <row r="15425" spans="13:13" x14ac:dyDescent="0.25">
      <c r="M15425" s="34">
        <f t="shared" si="416"/>
        <v>0</v>
      </c>
    </row>
    <row r="15426" spans="13:13" x14ac:dyDescent="0.25">
      <c r="M15426" s="34">
        <f t="shared" si="416"/>
        <v>0</v>
      </c>
    </row>
    <row r="15427" spans="13:13" x14ac:dyDescent="0.25">
      <c r="M15427" s="34">
        <f t="shared" ref="M15427:M15490" si="417">IF(AND(E15427="Chèque",G15427="RECETTE"),F15427,0)</f>
        <v>0</v>
      </c>
    </row>
    <row r="15428" spans="13:13" x14ac:dyDescent="0.25">
      <c r="M15428" s="34">
        <f t="shared" si="417"/>
        <v>0</v>
      </c>
    </row>
    <row r="15429" spans="13:13" x14ac:dyDescent="0.25">
      <c r="M15429" s="34">
        <f t="shared" si="417"/>
        <v>0</v>
      </c>
    </row>
    <row r="15430" spans="13:13" x14ac:dyDescent="0.25">
      <c r="M15430" s="34">
        <f t="shared" si="417"/>
        <v>0</v>
      </c>
    </row>
    <row r="15431" spans="13:13" x14ac:dyDescent="0.25">
      <c r="M15431" s="34">
        <f t="shared" si="417"/>
        <v>0</v>
      </c>
    </row>
    <row r="15432" spans="13:13" x14ac:dyDescent="0.25">
      <c r="M15432" s="34">
        <f t="shared" si="417"/>
        <v>0</v>
      </c>
    </row>
    <row r="15433" spans="13:13" x14ac:dyDescent="0.25">
      <c r="M15433" s="34">
        <f t="shared" si="417"/>
        <v>0</v>
      </c>
    </row>
    <row r="15434" spans="13:13" x14ac:dyDescent="0.25">
      <c r="M15434" s="34">
        <f t="shared" si="417"/>
        <v>0</v>
      </c>
    </row>
    <row r="15435" spans="13:13" x14ac:dyDescent="0.25">
      <c r="M15435" s="34">
        <f t="shared" si="417"/>
        <v>0</v>
      </c>
    </row>
    <row r="15436" spans="13:13" x14ac:dyDescent="0.25">
      <c r="M15436" s="34">
        <f t="shared" si="417"/>
        <v>0</v>
      </c>
    </row>
    <row r="15437" spans="13:13" x14ac:dyDescent="0.25">
      <c r="M15437" s="34">
        <f t="shared" si="417"/>
        <v>0</v>
      </c>
    </row>
    <row r="15438" spans="13:13" x14ac:dyDescent="0.25">
      <c r="M15438" s="34">
        <f t="shared" si="417"/>
        <v>0</v>
      </c>
    </row>
    <row r="15439" spans="13:13" x14ac:dyDescent="0.25">
      <c r="M15439" s="34">
        <f t="shared" si="417"/>
        <v>0</v>
      </c>
    </row>
    <row r="15440" spans="13:13" x14ac:dyDescent="0.25">
      <c r="M15440" s="34">
        <f t="shared" si="417"/>
        <v>0</v>
      </c>
    </row>
    <row r="15441" spans="13:13" x14ac:dyDescent="0.25">
      <c r="M15441" s="34">
        <f t="shared" si="417"/>
        <v>0</v>
      </c>
    </row>
    <row r="15442" spans="13:13" x14ac:dyDescent="0.25">
      <c r="M15442" s="34">
        <f t="shared" si="417"/>
        <v>0</v>
      </c>
    </row>
    <row r="15443" spans="13:13" x14ac:dyDescent="0.25">
      <c r="M15443" s="34">
        <f t="shared" si="417"/>
        <v>0</v>
      </c>
    </row>
    <row r="15444" spans="13:13" x14ac:dyDescent="0.25">
      <c r="M15444" s="34">
        <f t="shared" si="417"/>
        <v>0</v>
      </c>
    </row>
    <row r="15445" spans="13:13" x14ac:dyDescent="0.25">
      <c r="M15445" s="34">
        <f t="shared" si="417"/>
        <v>0</v>
      </c>
    </row>
    <row r="15446" spans="13:13" x14ac:dyDescent="0.25">
      <c r="M15446" s="34">
        <f t="shared" si="417"/>
        <v>0</v>
      </c>
    </row>
    <row r="15447" spans="13:13" x14ac:dyDescent="0.25">
      <c r="M15447" s="34">
        <f t="shared" si="417"/>
        <v>0</v>
      </c>
    </row>
    <row r="15448" spans="13:13" x14ac:dyDescent="0.25">
      <c r="M15448" s="34">
        <f t="shared" si="417"/>
        <v>0</v>
      </c>
    </row>
    <row r="15449" spans="13:13" x14ac:dyDescent="0.25">
      <c r="M15449" s="34">
        <f t="shared" si="417"/>
        <v>0</v>
      </c>
    </row>
    <row r="15450" spans="13:13" x14ac:dyDescent="0.25">
      <c r="M15450" s="34">
        <f t="shared" si="417"/>
        <v>0</v>
      </c>
    </row>
    <row r="15451" spans="13:13" x14ac:dyDescent="0.25">
      <c r="M15451" s="34">
        <f t="shared" si="417"/>
        <v>0</v>
      </c>
    </row>
    <row r="15452" spans="13:13" x14ac:dyDescent="0.25">
      <c r="M15452" s="34">
        <f t="shared" si="417"/>
        <v>0</v>
      </c>
    </row>
    <row r="15453" spans="13:13" x14ac:dyDescent="0.25">
      <c r="M15453" s="34">
        <f t="shared" si="417"/>
        <v>0</v>
      </c>
    </row>
    <row r="15454" spans="13:13" x14ac:dyDescent="0.25">
      <c r="M15454" s="34">
        <f t="shared" si="417"/>
        <v>0</v>
      </c>
    </row>
    <row r="15455" spans="13:13" x14ac:dyDescent="0.25">
      <c r="M15455" s="34">
        <f t="shared" si="417"/>
        <v>0</v>
      </c>
    </row>
    <row r="15456" spans="13:13" x14ac:dyDescent="0.25">
      <c r="M15456" s="34">
        <f t="shared" si="417"/>
        <v>0</v>
      </c>
    </row>
    <row r="15457" spans="13:13" x14ac:dyDescent="0.25">
      <c r="M15457" s="34">
        <f t="shared" si="417"/>
        <v>0</v>
      </c>
    </row>
    <row r="15458" spans="13:13" x14ac:dyDescent="0.25">
      <c r="M15458" s="34">
        <f t="shared" si="417"/>
        <v>0</v>
      </c>
    </row>
    <row r="15459" spans="13:13" x14ac:dyDescent="0.25">
      <c r="M15459" s="34">
        <f t="shared" si="417"/>
        <v>0</v>
      </c>
    </row>
    <row r="15460" spans="13:13" x14ac:dyDescent="0.25">
      <c r="M15460" s="34">
        <f t="shared" si="417"/>
        <v>0</v>
      </c>
    </row>
    <row r="15461" spans="13:13" x14ac:dyDescent="0.25">
      <c r="M15461" s="34">
        <f t="shared" si="417"/>
        <v>0</v>
      </c>
    </row>
    <row r="15462" spans="13:13" x14ac:dyDescent="0.25">
      <c r="M15462" s="34">
        <f t="shared" si="417"/>
        <v>0</v>
      </c>
    </row>
    <row r="15463" spans="13:13" x14ac:dyDescent="0.25">
      <c r="M15463" s="34">
        <f t="shared" si="417"/>
        <v>0</v>
      </c>
    </row>
    <row r="15464" spans="13:13" x14ac:dyDescent="0.25">
      <c r="M15464" s="34">
        <f t="shared" si="417"/>
        <v>0</v>
      </c>
    </row>
    <row r="15465" spans="13:13" x14ac:dyDescent="0.25">
      <c r="M15465" s="34">
        <f t="shared" si="417"/>
        <v>0</v>
      </c>
    </row>
    <row r="15466" spans="13:13" x14ac:dyDescent="0.25">
      <c r="M15466" s="34">
        <f t="shared" si="417"/>
        <v>0</v>
      </c>
    </row>
    <row r="15467" spans="13:13" x14ac:dyDescent="0.25">
      <c r="M15467" s="34">
        <f t="shared" si="417"/>
        <v>0</v>
      </c>
    </row>
    <row r="15468" spans="13:13" x14ac:dyDescent="0.25">
      <c r="M15468" s="34">
        <f t="shared" si="417"/>
        <v>0</v>
      </c>
    </row>
    <row r="15469" spans="13:13" x14ac:dyDescent="0.25">
      <c r="M15469" s="34">
        <f t="shared" si="417"/>
        <v>0</v>
      </c>
    </row>
    <row r="15470" spans="13:13" x14ac:dyDescent="0.25">
      <c r="M15470" s="34">
        <f t="shared" si="417"/>
        <v>0</v>
      </c>
    </row>
    <row r="15471" spans="13:13" x14ac:dyDescent="0.25">
      <c r="M15471" s="34">
        <f t="shared" si="417"/>
        <v>0</v>
      </c>
    </row>
    <row r="15472" spans="13:13" x14ac:dyDescent="0.25">
      <c r="M15472" s="34">
        <f t="shared" si="417"/>
        <v>0</v>
      </c>
    </row>
    <row r="15473" spans="13:13" x14ac:dyDescent="0.25">
      <c r="M15473" s="34">
        <f t="shared" si="417"/>
        <v>0</v>
      </c>
    </row>
    <row r="15474" spans="13:13" x14ac:dyDescent="0.25">
      <c r="M15474" s="34">
        <f t="shared" si="417"/>
        <v>0</v>
      </c>
    </row>
    <row r="15475" spans="13:13" x14ac:dyDescent="0.25">
      <c r="M15475" s="34">
        <f t="shared" si="417"/>
        <v>0</v>
      </c>
    </row>
    <row r="15476" spans="13:13" x14ac:dyDescent="0.25">
      <c r="M15476" s="34">
        <f t="shared" si="417"/>
        <v>0</v>
      </c>
    </row>
    <row r="15477" spans="13:13" x14ac:dyDescent="0.25">
      <c r="M15477" s="34">
        <f t="shared" si="417"/>
        <v>0</v>
      </c>
    </row>
    <row r="15478" spans="13:13" x14ac:dyDescent="0.25">
      <c r="M15478" s="34">
        <f t="shared" si="417"/>
        <v>0</v>
      </c>
    </row>
    <row r="15479" spans="13:13" x14ac:dyDescent="0.25">
      <c r="M15479" s="34">
        <f t="shared" si="417"/>
        <v>0</v>
      </c>
    </row>
    <row r="15480" spans="13:13" x14ac:dyDescent="0.25">
      <c r="M15480" s="34">
        <f t="shared" si="417"/>
        <v>0</v>
      </c>
    </row>
    <row r="15481" spans="13:13" x14ac:dyDescent="0.25">
      <c r="M15481" s="34">
        <f t="shared" si="417"/>
        <v>0</v>
      </c>
    </row>
    <row r="15482" spans="13:13" x14ac:dyDescent="0.25">
      <c r="M15482" s="34">
        <f t="shared" si="417"/>
        <v>0</v>
      </c>
    </row>
    <row r="15483" spans="13:13" x14ac:dyDescent="0.25">
      <c r="M15483" s="34">
        <f t="shared" si="417"/>
        <v>0</v>
      </c>
    </row>
    <row r="15484" spans="13:13" x14ac:dyDescent="0.25">
      <c r="M15484" s="34">
        <f t="shared" si="417"/>
        <v>0</v>
      </c>
    </row>
    <row r="15485" spans="13:13" x14ac:dyDescent="0.25">
      <c r="M15485" s="34">
        <f t="shared" si="417"/>
        <v>0</v>
      </c>
    </row>
    <row r="15486" spans="13:13" x14ac:dyDescent="0.25">
      <c r="M15486" s="34">
        <f t="shared" si="417"/>
        <v>0</v>
      </c>
    </row>
    <row r="15487" spans="13:13" x14ac:dyDescent="0.25">
      <c r="M15487" s="34">
        <f t="shared" si="417"/>
        <v>0</v>
      </c>
    </row>
    <row r="15488" spans="13:13" x14ac:dyDescent="0.25">
      <c r="M15488" s="34">
        <f t="shared" si="417"/>
        <v>0</v>
      </c>
    </row>
    <row r="15489" spans="13:13" x14ac:dyDescent="0.25">
      <c r="M15489" s="34">
        <f t="shared" si="417"/>
        <v>0</v>
      </c>
    </row>
    <row r="15490" spans="13:13" x14ac:dyDescent="0.25">
      <c r="M15490" s="34">
        <f t="shared" si="417"/>
        <v>0</v>
      </c>
    </row>
    <row r="15491" spans="13:13" x14ac:dyDescent="0.25">
      <c r="M15491" s="34">
        <f t="shared" ref="M15491:M15554" si="418">IF(AND(E15491="Chèque",G15491="RECETTE"),F15491,0)</f>
        <v>0</v>
      </c>
    </row>
    <row r="15492" spans="13:13" x14ac:dyDescent="0.25">
      <c r="M15492" s="34">
        <f t="shared" si="418"/>
        <v>0</v>
      </c>
    </row>
    <row r="15493" spans="13:13" x14ac:dyDescent="0.25">
      <c r="M15493" s="34">
        <f t="shared" si="418"/>
        <v>0</v>
      </c>
    </row>
    <row r="15494" spans="13:13" x14ac:dyDescent="0.25">
      <c r="M15494" s="34">
        <f t="shared" si="418"/>
        <v>0</v>
      </c>
    </row>
    <row r="15495" spans="13:13" x14ac:dyDescent="0.25">
      <c r="M15495" s="34">
        <f t="shared" si="418"/>
        <v>0</v>
      </c>
    </row>
    <row r="15496" spans="13:13" x14ac:dyDescent="0.25">
      <c r="M15496" s="34">
        <f t="shared" si="418"/>
        <v>0</v>
      </c>
    </row>
    <row r="15497" spans="13:13" x14ac:dyDescent="0.25">
      <c r="M15497" s="34">
        <f t="shared" si="418"/>
        <v>0</v>
      </c>
    </row>
    <row r="15498" spans="13:13" x14ac:dyDescent="0.25">
      <c r="M15498" s="34">
        <f t="shared" si="418"/>
        <v>0</v>
      </c>
    </row>
    <row r="15499" spans="13:13" x14ac:dyDescent="0.25">
      <c r="M15499" s="34">
        <f t="shared" si="418"/>
        <v>0</v>
      </c>
    </row>
    <row r="15500" spans="13:13" x14ac:dyDescent="0.25">
      <c r="M15500" s="34">
        <f t="shared" si="418"/>
        <v>0</v>
      </c>
    </row>
    <row r="15501" spans="13:13" x14ac:dyDescent="0.25">
      <c r="M15501" s="34">
        <f t="shared" si="418"/>
        <v>0</v>
      </c>
    </row>
    <row r="15502" spans="13:13" x14ac:dyDescent="0.25">
      <c r="M15502" s="34">
        <f t="shared" si="418"/>
        <v>0</v>
      </c>
    </row>
    <row r="15503" spans="13:13" x14ac:dyDescent="0.25">
      <c r="M15503" s="34">
        <f t="shared" si="418"/>
        <v>0</v>
      </c>
    </row>
    <row r="15504" spans="13:13" x14ac:dyDescent="0.25">
      <c r="M15504" s="34">
        <f t="shared" si="418"/>
        <v>0</v>
      </c>
    </row>
    <row r="15505" spans="13:13" x14ac:dyDescent="0.25">
      <c r="M15505" s="34">
        <f t="shared" si="418"/>
        <v>0</v>
      </c>
    </row>
    <row r="15506" spans="13:13" x14ac:dyDescent="0.25">
      <c r="M15506" s="34">
        <f t="shared" si="418"/>
        <v>0</v>
      </c>
    </row>
    <row r="15507" spans="13:13" x14ac:dyDescent="0.25">
      <c r="M15507" s="34">
        <f t="shared" si="418"/>
        <v>0</v>
      </c>
    </row>
    <row r="15508" spans="13:13" x14ac:dyDescent="0.25">
      <c r="M15508" s="34">
        <f t="shared" si="418"/>
        <v>0</v>
      </c>
    </row>
    <row r="15509" spans="13:13" x14ac:dyDescent="0.25">
      <c r="M15509" s="34">
        <f t="shared" si="418"/>
        <v>0</v>
      </c>
    </row>
    <row r="15510" spans="13:13" x14ac:dyDescent="0.25">
      <c r="M15510" s="34">
        <f t="shared" si="418"/>
        <v>0</v>
      </c>
    </row>
    <row r="15511" spans="13:13" x14ac:dyDescent="0.25">
      <c r="M15511" s="34">
        <f t="shared" si="418"/>
        <v>0</v>
      </c>
    </row>
    <row r="15512" spans="13:13" x14ac:dyDescent="0.25">
      <c r="M15512" s="34">
        <f t="shared" si="418"/>
        <v>0</v>
      </c>
    </row>
    <row r="15513" spans="13:13" x14ac:dyDescent="0.25">
      <c r="M15513" s="34">
        <f t="shared" si="418"/>
        <v>0</v>
      </c>
    </row>
    <row r="15514" spans="13:13" x14ac:dyDescent="0.25">
      <c r="M15514" s="34">
        <f t="shared" si="418"/>
        <v>0</v>
      </c>
    </row>
    <row r="15515" spans="13:13" x14ac:dyDescent="0.25">
      <c r="M15515" s="34">
        <f t="shared" si="418"/>
        <v>0</v>
      </c>
    </row>
    <row r="15516" spans="13:13" x14ac:dyDescent="0.25">
      <c r="M15516" s="34">
        <f t="shared" si="418"/>
        <v>0</v>
      </c>
    </row>
    <row r="15517" spans="13:13" x14ac:dyDescent="0.25">
      <c r="M15517" s="34">
        <f t="shared" si="418"/>
        <v>0</v>
      </c>
    </row>
    <row r="15518" spans="13:13" x14ac:dyDescent="0.25">
      <c r="M15518" s="34">
        <f t="shared" si="418"/>
        <v>0</v>
      </c>
    </row>
    <row r="15519" spans="13:13" x14ac:dyDescent="0.25">
      <c r="M15519" s="34">
        <f t="shared" si="418"/>
        <v>0</v>
      </c>
    </row>
    <row r="15520" spans="13:13" x14ac:dyDescent="0.25">
      <c r="M15520" s="34">
        <f t="shared" si="418"/>
        <v>0</v>
      </c>
    </row>
    <row r="15521" spans="13:13" x14ac:dyDescent="0.25">
      <c r="M15521" s="34">
        <f t="shared" si="418"/>
        <v>0</v>
      </c>
    </row>
    <row r="15522" spans="13:13" x14ac:dyDescent="0.25">
      <c r="M15522" s="34">
        <f t="shared" si="418"/>
        <v>0</v>
      </c>
    </row>
    <row r="15523" spans="13:13" x14ac:dyDescent="0.25">
      <c r="M15523" s="34">
        <f t="shared" si="418"/>
        <v>0</v>
      </c>
    </row>
    <row r="15524" spans="13:13" x14ac:dyDescent="0.25">
      <c r="M15524" s="34">
        <f t="shared" si="418"/>
        <v>0</v>
      </c>
    </row>
    <row r="15525" spans="13:13" x14ac:dyDescent="0.25">
      <c r="M15525" s="34">
        <f t="shared" si="418"/>
        <v>0</v>
      </c>
    </row>
    <row r="15526" spans="13:13" x14ac:dyDescent="0.25">
      <c r="M15526" s="34">
        <f t="shared" si="418"/>
        <v>0</v>
      </c>
    </row>
    <row r="15527" spans="13:13" x14ac:dyDescent="0.25">
      <c r="M15527" s="34">
        <f t="shared" si="418"/>
        <v>0</v>
      </c>
    </row>
    <row r="15528" spans="13:13" x14ac:dyDescent="0.25">
      <c r="M15528" s="34">
        <f t="shared" si="418"/>
        <v>0</v>
      </c>
    </row>
    <row r="15529" spans="13:13" x14ac:dyDescent="0.25">
      <c r="M15529" s="34">
        <f t="shared" si="418"/>
        <v>0</v>
      </c>
    </row>
    <row r="15530" spans="13:13" x14ac:dyDescent="0.25">
      <c r="M15530" s="34">
        <f t="shared" si="418"/>
        <v>0</v>
      </c>
    </row>
    <row r="15531" spans="13:13" x14ac:dyDescent="0.25">
      <c r="M15531" s="34">
        <f t="shared" si="418"/>
        <v>0</v>
      </c>
    </row>
    <row r="15532" spans="13:13" x14ac:dyDescent="0.25">
      <c r="M15532" s="34">
        <f t="shared" si="418"/>
        <v>0</v>
      </c>
    </row>
    <row r="15533" spans="13:13" x14ac:dyDescent="0.25">
      <c r="M15533" s="34">
        <f t="shared" si="418"/>
        <v>0</v>
      </c>
    </row>
    <row r="15534" spans="13:13" x14ac:dyDescent="0.25">
      <c r="M15534" s="34">
        <f t="shared" si="418"/>
        <v>0</v>
      </c>
    </row>
    <row r="15535" spans="13:13" x14ac:dyDescent="0.25">
      <c r="M15535" s="34">
        <f t="shared" si="418"/>
        <v>0</v>
      </c>
    </row>
    <row r="15536" spans="13:13" x14ac:dyDescent="0.25">
      <c r="M15536" s="34">
        <f t="shared" si="418"/>
        <v>0</v>
      </c>
    </row>
    <row r="15537" spans="13:13" x14ac:dyDescent="0.25">
      <c r="M15537" s="34">
        <f t="shared" si="418"/>
        <v>0</v>
      </c>
    </row>
    <row r="15538" spans="13:13" x14ac:dyDescent="0.25">
      <c r="M15538" s="34">
        <f t="shared" si="418"/>
        <v>0</v>
      </c>
    </row>
    <row r="15539" spans="13:13" x14ac:dyDescent="0.25">
      <c r="M15539" s="34">
        <f t="shared" si="418"/>
        <v>0</v>
      </c>
    </row>
    <row r="15540" spans="13:13" x14ac:dyDescent="0.25">
      <c r="M15540" s="34">
        <f t="shared" si="418"/>
        <v>0</v>
      </c>
    </row>
    <row r="15541" spans="13:13" x14ac:dyDescent="0.25">
      <c r="M15541" s="34">
        <f t="shared" si="418"/>
        <v>0</v>
      </c>
    </row>
    <row r="15542" spans="13:13" x14ac:dyDescent="0.25">
      <c r="M15542" s="34">
        <f t="shared" si="418"/>
        <v>0</v>
      </c>
    </row>
    <row r="15543" spans="13:13" x14ac:dyDescent="0.25">
      <c r="M15543" s="34">
        <f t="shared" si="418"/>
        <v>0</v>
      </c>
    </row>
    <row r="15544" spans="13:13" x14ac:dyDescent="0.25">
      <c r="M15544" s="34">
        <f t="shared" si="418"/>
        <v>0</v>
      </c>
    </row>
    <row r="15545" spans="13:13" x14ac:dyDescent="0.25">
      <c r="M15545" s="34">
        <f t="shared" si="418"/>
        <v>0</v>
      </c>
    </row>
    <row r="15546" spans="13:13" x14ac:dyDescent="0.25">
      <c r="M15546" s="34">
        <f t="shared" si="418"/>
        <v>0</v>
      </c>
    </row>
    <row r="15547" spans="13:13" x14ac:dyDescent="0.25">
      <c r="M15547" s="34">
        <f t="shared" si="418"/>
        <v>0</v>
      </c>
    </row>
    <row r="15548" spans="13:13" x14ac:dyDescent="0.25">
      <c r="M15548" s="34">
        <f t="shared" si="418"/>
        <v>0</v>
      </c>
    </row>
    <row r="15549" spans="13:13" x14ac:dyDescent="0.25">
      <c r="M15549" s="34">
        <f t="shared" si="418"/>
        <v>0</v>
      </c>
    </row>
    <row r="15550" spans="13:13" x14ac:dyDescent="0.25">
      <c r="M15550" s="34">
        <f t="shared" si="418"/>
        <v>0</v>
      </c>
    </row>
    <row r="15551" spans="13:13" x14ac:dyDescent="0.25">
      <c r="M15551" s="34">
        <f t="shared" si="418"/>
        <v>0</v>
      </c>
    </row>
    <row r="15552" spans="13:13" x14ac:dyDescent="0.25">
      <c r="M15552" s="34">
        <f t="shared" si="418"/>
        <v>0</v>
      </c>
    </row>
    <row r="15553" spans="13:13" x14ac:dyDescent="0.25">
      <c r="M15553" s="34">
        <f t="shared" si="418"/>
        <v>0</v>
      </c>
    </row>
    <row r="15554" spans="13:13" x14ac:dyDescent="0.25">
      <c r="M15554" s="34">
        <f t="shared" si="418"/>
        <v>0</v>
      </c>
    </row>
    <row r="15555" spans="13:13" x14ac:dyDescent="0.25">
      <c r="M15555" s="34">
        <f t="shared" ref="M15555:M15618" si="419">IF(AND(E15555="Chèque",G15555="RECETTE"),F15555,0)</f>
        <v>0</v>
      </c>
    </row>
    <row r="15556" spans="13:13" x14ac:dyDescent="0.25">
      <c r="M15556" s="34">
        <f t="shared" si="419"/>
        <v>0</v>
      </c>
    </row>
    <row r="15557" spans="13:13" x14ac:dyDescent="0.25">
      <c r="M15557" s="34">
        <f t="shared" si="419"/>
        <v>0</v>
      </c>
    </row>
    <row r="15558" spans="13:13" x14ac:dyDescent="0.25">
      <c r="M15558" s="34">
        <f t="shared" si="419"/>
        <v>0</v>
      </c>
    </row>
    <row r="15559" spans="13:13" x14ac:dyDescent="0.25">
      <c r="M15559" s="34">
        <f t="shared" si="419"/>
        <v>0</v>
      </c>
    </row>
    <row r="15560" spans="13:13" x14ac:dyDescent="0.25">
      <c r="M15560" s="34">
        <f t="shared" si="419"/>
        <v>0</v>
      </c>
    </row>
    <row r="15561" spans="13:13" x14ac:dyDescent="0.25">
      <c r="M15561" s="34">
        <f t="shared" si="419"/>
        <v>0</v>
      </c>
    </row>
    <row r="15562" spans="13:13" x14ac:dyDescent="0.25">
      <c r="M15562" s="34">
        <f t="shared" si="419"/>
        <v>0</v>
      </c>
    </row>
    <row r="15563" spans="13:13" x14ac:dyDescent="0.25">
      <c r="M15563" s="34">
        <f t="shared" si="419"/>
        <v>0</v>
      </c>
    </row>
    <row r="15564" spans="13:13" x14ac:dyDescent="0.25">
      <c r="M15564" s="34">
        <f t="shared" si="419"/>
        <v>0</v>
      </c>
    </row>
    <row r="15565" spans="13:13" x14ac:dyDescent="0.25">
      <c r="M15565" s="34">
        <f t="shared" si="419"/>
        <v>0</v>
      </c>
    </row>
    <row r="15566" spans="13:13" x14ac:dyDescent="0.25">
      <c r="M15566" s="34">
        <f t="shared" si="419"/>
        <v>0</v>
      </c>
    </row>
    <row r="15567" spans="13:13" x14ac:dyDescent="0.25">
      <c r="M15567" s="34">
        <f t="shared" si="419"/>
        <v>0</v>
      </c>
    </row>
    <row r="15568" spans="13:13" x14ac:dyDescent="0.25">
      <c r="M15568" s="34">
        <f t="shared" si="419"/>
        <v>0</v>
      </c>
    </row>
    <row r="15569" spans="13:13" x14ac:dyDescent="0.25">
      <c r="M15569" s="34">
        <f t="shared" si="419"/>
        <v>0</v>
      </c>
    </row>
    <row r="15570" spans="13:13" x14ac:dyDescent="0.25">
      <c r="M15570" s="34">
        <f t="shared" si="419"/>
        <v>0</v>
      </c>
    </row>
    <row r="15571" spans="13:13" x14ac:dyDescent="0.25">
      <c r="M15571" s="34">
        <f t="shared" si="419"/>
        <v>0</v>
      </c>
    </row>
    <row r="15572" spans="13:13" x14ac:dyDescent="0.25">
      <c r="M15572" s="34">
        <f t="shared" si="419"/>
        <v>0</v>
      </c>
    </row>
    <row r="15573" spans="13:13" x14ac:dyDescent="0.25">
      <c r="M15573" s="34">
        <f t="shared" si="419"/>
        <v>0</v>
      </c>
    </row>
    <row r="15574" spans="13:13" x14ac:dyDescent="0.25">
      <c r="M15574" s="34">
        <f t="shared" si="419"/>
        <v>0</v>
      </c>
    </row>
    <row r="15575" spans="13:13" x14ac:dyDescent="0.25">
      <c r="M15575" s="34">
        <f t="shared" si="419"/>
        <v>0</v>
      </c>
    </row>
    <row r="15576" spans="13:13" x14ac:dyDescent="0.25">
      <c r="M15576" s="34">
        <f t="shared" si="419"/>
        <v>0</v>
      </c>
    </row>
    <row r="15577" spans="13:13" x14ac:dyDescent="0.25">
      <c r="M15577" s="34">
        <f t="shared" si="419"/>
        <v>0</v>
      </c>
    </row>
    <row r="15578" spans="13:13" x14ac:dyDescent="0.25">
      <c r="M15578" s="34">
        <f t="shared" si="419"/>
        <v>0</v>
      </c>
    </row>
    <row r="15579" spans="13:13" x14ac:dyDescent="0.25">
      <c r="M15579" s="34">
        <f t="shared" si="419"/>
        <v>0</v>
      </c>
    </row>
    <row r="15580" spans="13:13" x14ac:dyDescent="0.25">
      <c r="M15580" s="34">
        <f t="shared" si="419"/>
        <v>0</v>
      </c>
    </row>
    <row r="15581" spans="13:13" x14ac:dyDescent="0.25">
      <c r="M15581" s="34">
        <f t="shared" si="419"/>
        <v>0</v>
      </c>
    </row>
    <row r="15582" spans="13:13" x14ac:dyDescent="0.25">
      <c r="M15582" s="34">
        <f t="shared" si="419"/>
        <v>0</v>
      </c>
    </row>
    <row r="15583" spans="13:13" x14ac:dyDescent="0.25">
      <c r="M15583" s="34">
        <f t="shared" si="419"/>
        <v>0</v>
      </c>
    </row>
    <row r="15584" spans="13:13" x14ac:dyDescent="0.25">
      <c r="M15584" s="34">
        <f t="shared" si="419"/>
        <v>0</v>
      </c>
    </row>
    <row r="15585" spans="13:13" x14ac:dyDescent="0.25">
      <c r="M15585" s="34">
        <f t="shared" si="419"/>
        <v>0</v>
      </c>
    </row>
    <row r="15586" spans="13:13" x14ac:dyDescent="0.25">
      <c r="M15586" s="34">
        <f t="shared" si="419"/>
        <v>0</v>
      </c>
    </row>
    <row r="15587" spans="13:13" x14ac:dyDescent="0.25">
      <c r="M15587" s="34">
        <f t="shared" si="419"/>
        <v>0</v>
      </c>
    </row>
    <row r="15588" spans="13:13" x14ac:dyDescent="0.25">
      <c r="M15588" s="34">
        <f t="shared" si="419"/>
        <v>0</v>
      </c>
    </row>
    <row r="15589" spans="13:13" x14ac:dyDescent="0.25">
      <c r="M15589" s="34">
        <f t="shared" si="419"/>
        <v>0</v>
      </c>
    </row>
    <row r="15590" spans="13:13" x14ac:dyDescent="0.25">
      <c r="M15590" s="34">
        <f t="shared" si="419"/>
        <v>0</v>
      </c>
    </row>
    <row r="15591" spans="13:13" x14ac:dyDescent="0.25">
      <c r="M15591" s="34">
        <f t="shared" si="419"/>
        <v>0</v>
      </c>
    </row>
    <row r="15592" spans="13:13" x14ac:dyDescent="0.25">
      <c r="M15592" s="34">
        <f t="shared" si="419"/>
        <v>0</v>
      </c>
    </row>
    <row r="15593" spans="13:13" x14ac:dyDescent="0.25">
      <c r="M15593" s="34">
        <f t="shared" si="419"/>
        <v>0</v>
      </c>
    </row>
    <row r="15594" spans="13:13" x14ac:dyDescent="0.25">
      <c r="M15594" s="34">
        <f t="shared" si="419"/>
        <v>0</v>
      </c>
    </row>
    <row r="15595" spans="13:13" x14ac:dyDescent="0.25">
      <c r="M15595" s="34">
        <f t="shared" si="419"/>
        <v>0</v>
      </c>
    </row>
    <row r="15596" spans="13:13" x14ac:dyDescent="0.25">
      <c r="M15596" s="34">
        <f t="shared" si="419"/>
        <v>0</v>
      </c>
    </row>
    <row r="15597" spans="13:13" x14ac:dyDescent="0.25">
      <c r="M15597" s="34">
        <f t="shared" si="419"/>
        <v>0</v>
      </c>
    </row>
    <row r="15598" spans="13:13" x14ac:dyDescent="0.25">
      <c r="M15598" s="34">
        <f t="shared" si="419"/>
        <v>0</v>
      </c>
    </row>
    <row r="15599" spans="13:13" x14ac:dyDescent="0.25">
      <c r="M15599" s="34">
        <f t="shared" si="419"/>
        <v>0</v>
      </c>
    </row>
    <row r="15600" spans="13:13" x14ac:dyDescent="0.25">
      <c r="M15600" s="34">
        <f t="shared" si="419"/>
        <v>0</v>
      </c>
    </row>
    <row r="15601" spans="13:13" x14ac:dyDescent="0.25">
      <c r="M15601" s="34">
        <f t="shared" si="419"/>
        <v>0</v>
      </c>
    </row>
    <row r="15602" spans="13:13" x14ac:dyDescent="0.25">
      <c r="M15602" s="34">
        <f t="shared" si="419"/>
        <v>0</v>
      </c>
    </row>
    <row r="15603" spans="13:13" x14ac:dyDescent="0.25">
      <c r="M15603" s="34">
        <f t="shared" si="419"/>
        <v>0</v>
      </c>
    </row>
    <row r="15604" spans="13:13" x14ac:dyDescent="0.25">
      <c r="M15604" s="34">
        <f t="shared" si="419"/>
        <v>0</v>
      </c>
    </row>
    <row r="15605" spans="13:13" x14ac:dyDescent="0.25">
      <c r="M15605" s="34">
        <f t="shared" si="419"/>
        <v>0</v>
      </c>
    </row>
    <row r="15606" spans="13:13" x14ac:dyDescent="0.25">
      <c r="M15606" s="34">
        <f t="shared" si="419"/>
        <v>0</v>
      </c>
    </row>
    <row r="15607" spans="13:13" x14ac:dyDescent="0.25">
      <c r="M15607" s="34">
        <f t="shared" si="419"/>
        <v>0</v>
      </c>
    </row>
    <row r="15608" spans="13:13" x14ac:dyDescent="0.25">
      <c r="M15608" s="34">
        <f t="shared" si="419"/>
        <v>0</v>
      </c>
    </row>
    <row r="15609" spans="13:13" x14ac:dyDescent="0.25">
      <c r="M15609" s="34">
        <f t="shared" si="419"/>
        <v>0</v>
      </c>
    </row>
    <row r="15610" spans="13:13" x14ac:dyDescent="0.25">
      <c r="M15610" s="34">
        <f t="shared" si="419"/>
        <v>0</v>
      </c>
    </row>
    <row r="15611" spans="13:13" x14ac:dyDescent="0.25">
      <c r="M15611" s="34">
        <f t="shared" si="419"/>
        <v>0</v>
      </c>
    </row>
    <row r="15612" spans="13:13" x14ac:dyDescent="0.25">
      <c r="M15612" s="34">
        <f t="shared" si="419"/>
        <v>0</v>
      </c>
    </row>
    <row r="15613" spans="13:13" x14ac:dyDescent="0.25">
      <c r="M15613" s="34">
        <f t="shared" si="419"/>
        <v>0</v>
      </c>
    </row>
    <row r="15614" spans="13:13" x14ac:dyDescent="0.25">
      <c r="M15614" s="34">
        <f t="shared" si="419"/>
        <v>0</v>
      </c>
    </row>
    <row r="15615" spans="13:13" x14ac:dyDescent="0.25">
      <c r="M15615" s="34">
        <f t="shared" si="419"/>
        <v>0</v>
      </c>
    </row>
    <row r="15616" spans="13:13" x14ac:dyDescent="0.25">
      <c r="M15616" s="34">
        <f t="shared" si="419"/>
        <v>0</v>
      </c>
    </row>
    <row r="15617" spans="13:13" x14ac:dyDescent="0.25">
      <c r="M15617" s="34">
        <f t="shared" si="419"/>
        <v>0</v>
      </c>
    </row>
    <row r="15618" spans="13:13" x14ac:dyDescent="0.25">
      <c r="M15618" s="34">
        <f t="shared" si="419"/>
        <v>0</v>
      </c>
    </row>
    <row r="15619" spans="13:13" x14ac:dyDescent="0.25">
      <c r="M15619" s="34">
        <f t="shared" ref="M15619:M15682" si="420">IF(AND(E15619="Chèque",G15619="RECETTE"),F15619,0)</f>
        <v>0</v>
      </c>
    </row>
    <row r="15620" spans="13:13" x14ac:dyDescent="0.25">
      <c r="M15620" s="34">
        <f t="shared" si="420"/>
        <v>0</v>
      </c>
    </row>
    <row r="15621" spans="13:13" x14ac:dyDescent="0.25">
      <c r="M15621" s="34">
        <f t="shared" si="420"/>
        <v>0</v>
      </c>
    </row>
    <row r="15622" spans="13:13" x14ac:dyDescent="0.25">
      <c r="M15622" s="34">
        <f t="shared" si="420"/>
        <v>0</v>
      </c>
    </row>
    <row r="15623" spans="13:13" x14ac:dyDescent="0.25">
      <c r="M15623" s="34">
        <f t="shared" si="420"/>
        <v>0</v>
      </c>
    </row>
    <row r="15624" spans="13:13" x14ac:dyDescent="0.25">
      <c r="M15624" s="34">
        <f t="shared" si="420"/>
        <v>0</v>
      </c>
    </row>
    <row r="15625" spans="13:13" x14ac:dyDescent="0.25">
      <c r="M15625" s="34">
        <f t="shared" si="420"/>
        <v>0</v>
      </c>
    </row>
    <row r="15626" spans="13:13" x14ac:dyDescent="0.25">
      <c r="M15626" s="34">
        <f t="shared" si="420"/>
        <v>0</v>
      </c>
    </row>
    <row r="15627" spans="13:13" x14ac:dyDescent="0.25">
      <c r="M15627" s="34">
        <f t="shared" si="420"/>
        <v>0</v>
      </c>
    </row>
    <row r="15628" spans="13:13" x14ac:dyDescent="0.25">
      <c r="M15628" s="34">
        <f t="shared" si="420"/>
        <v>0</v>
      </c>
    </row>
    <row r="15629" spans="13:13" x14ac:dyDescent="0.25">
      <c r="M15629" s="34">
        <f t="shared" si="420"/>
        <v>0</v>
      </c>
    </row>
    <row r="15630" spans="13:13" x14ac:dyDescent="0.25">
      <c r="M15630" s="34">
        <f t="shared" si="420"/>
        <v>0</v>
      </c>
    </row>
    <row r="15631" spans="13:13" x14ac:dyDescent="0.25">
      <c r="M15631" s="34">
        <f t="shared" si="420"/>
        <v>0</v>
      </c>
    </row>
    <row r="15632" spans="13:13" x14ac:dyDescent="0.25">
      <c r="M15632" s="34">
        <f t="shared" si="420"/>
        <v>0</v>
      </c>
    </row>
    <row r="15633" spans="13:13" x14ac:dyDescent="0.25">
      <c r="M15633" s="34">
        <f t="shared" si="420"/>
        <v>0</v>
      </c>
    </row>
    <row r="15634" spans="13:13" x14ac:dyDescent="0.25">
      <c r="M15634" s="34">
        <f t="shared" si="420"/>
        <v>0</v>
      </c>
    </row>
    <row r="15635" spans="13:13" x14ac:dyDescent="0.25">
      <c r="M15635" s="34">
        <f t="shared" si="420"/>
        <v>0</v>
      </c>
    </row>
    <row r="15636" spans="13:13" x14ac:dyDescent="0.25">
      <c r="M15636" s="34">
        <f t="shared" si="420"/>
        <v>0</v>
      </c>
    </row>
    <row r="15637" spans="13:13" x14ac:dyDescent="0.25">
      <c r="M15637" s="34">
        <f t="shared" si="420"/>
        <v>0</v>
      </c>
    </row>
    <row r="15638" spans="13:13" x14ac:dyDescent="0.25">
      <c r="M15638" s="34">
        <f t="shared" si="420"/>
        <v>0</v>
      </c>
    </row>
    <row r="15639" spans="13:13" x14ac:dyDescent="0.25">
      <c r="M15639" s="34">
        <f t="shared" si="420"/>
        <v>0</v>
      </c>
    </row>
    <row r="15640" spans="13:13" x14ac:dyDescent="0.25">
      <c r="M15640" s="34">
        <f t="shared" si="420"/>
        <v>0</v>
      </c>
    </row>
    <row r="15641" spans="13:13" x14ac:dyDescent="0.25">
      <c r="M15641" s="34">
        <f t="shared" si="420"/>
        <v>0</v>
      </c>
    </row>
    <row r="15642" spans="13:13" x14ac:dyDescent="0.25">
      <c r="M15642" s="34">
        <f t="shared" si="420"/>
        <v>0</v>
      </c>
    </row>
    <row r="15643" spans="13:13" x14ac:dyDescent="0.25">
      <c r="M15643" s="34">
        <f t="shared" si="420"/>
        <v>0</v>
      </c>
    </row>
    <row r="15644" spans="13:13" x14ac:dyDescent="0.25">
      <c r="M15644" s="34">
        <f t="shared" si="420"/>
        <v>0</v>
      </c>
    </row>
    <row r="15645" spans="13:13" x14ac:dyDescent="0.25">
      <c r="M15645" s="34">
        <f t="shared" si="420"/>
        <v>0</v>
      </c>
    </row>
    <row r="15646" spans="13:13" x14ac:dyDescent="0.25">
      <c r="M15646" s="34">
        <f t="shared" si="420"/>
        <v>0</v>
      </c>
    </row>
    <row r="15647" spans="13:13" x14ac:dyDescent="0.25">
      <c r="M15647" s="34">
        <f t="shared" si="420"/>
        <v>0</v>
      </c>
    </row>
    <row r="15648" spans="13:13" x14ac:dyDescent="0.25">
      <c r="M15648" s="34">
        <f t="shared" si="420"/>
        <v>0</v>
      </c>
    </row>
    <row r="15649" spans="13:13" x14ac:dyDescent="0.25">
      <c r="M15649" s="34">
        <f t="shared" si="420"/>
        <v>0</v>
      </c>
    </row>
    <row r="15650" spans="13:13" x14ac:dyDescent="0.25">
      <c r="M15650" s="34">
        <f t="shared" si="420"/>
        <v>0</v>
      </c>
    </row>
    <row r="15651" spans="13:13" x14ac:dyDescent="0.25">
      <c r="M15651" s="34">
        <f t="shared" si="420"/>
        <v>0</v>
      </c>
    </row>
    <row r="15652" spans="13:13" x14ac:dyDescent="0.25">
      <c r="M15652" s="34">
        <f t="shared" si="420"/>
        <v>0</v>
      </c>
    </row>
    <row r="15653" spans="13:13" x14ac:dyDescent="0.25">
      <c r="M15653" s="34">
        <f t="shared" si="420"/>
        <v>0</v>
      </c>
    </row>
    <row r="15654" spans="13:13" x14ac:dyDescent="0.25">
      <c r="M15654" s="34">
        <f t="shared" si="420"/>
        <v>0</v>
      </c>
    </row>
    <row r="15655" spans="13:13" x14ac:dyDescent="0.25">
      <c r="M15655" s="34">
        <f t="shared" si="420"/>
        <v>0</v>
      </c>
    </row>
    <row r="15656" spans="13:13" x14ac:dyDescent="0.25">
      <c r="M15656" s="34">
        <f t="shared" si="420"/>
        <v>0</v>
      </c>
    </row>
    <row r="15657" spans="13:13" x14ac:dyDescent="0.25">
      <c r="M15657" s="34">
        <f t="shared" si="420"/>
        <v>0</v>
      </c>
    </row>
    <row r="15658" spans="13:13" x14ac:dyDescent="0.25">
      <c r="M15658" s="34">
        <f t="shared" si="420"/>
        <v>0</v>
      </c>
    </row>
    <row r="15659" spans="13:13" x14ac:dyDescent="0.25">
      <c r="M15659" s="34">
        <f t="shared" si="420"/>
        <v>0</v>
      </c>
    </row>
    <row r="15660" spans="13:13" x14ac:dyDescent="0.25">
      <c r="M15660" s="34">
        <f t="shared" si="420"/>
        <v>0</v>
      </c>
    </row>
    <row r="15661" spans="13:13" x14ac:dyDescent="0.25">
      <c r="M15661" s="34">
        <f t="shared" si="420"/>
        <v>0</v>
      </c>
    </row>
    <row r="15662" spans="13:13" x14ac:dyDescent="0.25">
      <c r="M15662" s="34">
        <f t="shared" si="420"/>
        <v>0</v>
      </c>
    </row>
    <row r="15663" spans="13:13" x14ac:dyDescent="0.25">
      <c r="M15663" s="34">
        <f t="shared" si="420"/>
        <v>0</v>
      </c>
    </row>
    <row r="15664" spans="13:13" x14ac:dyDescent="0.25">
      <c r="M15664" s="34">
        <f t="shared" si="420"/>
        <v>0</v>
      </c>
    </row>
    <row r="15665" spans="13:13" x14ac:dyDescent="0.25">
      <c r="M15665" s="34">
        <f t="shared" si="420"/>
        <v>0</v>
      </c>
    </row>
    <row r="15666" spans="13:13" x14ac:dyDescent="0.25">
      <c r="M15666" s="34">
        <f t="shared" si="420"/>
        <v>0</v>
      </c>
    </row>
    <row r="15667" spans="13:13" x14ac:dyDescent="0.25">
      <c r="M15667" s="34">
        <f t="shared" si="420"/>
        <v>0</v>
      </c>
    </row>
    <row r="15668" spans="13:13" x14ac:dyDescent="0.25">
      <c r="M15668" s="34">
        <f t="shared" si="420"/>
        <v>0</v>
      </c>
    </row>
    <row r="15669" spans="13:13" x14ac:dyDescent="0.25">
      <c r="M15669" s="34">
        <f t="shared" si="420"/>
        <v>0</v>
      </c>
    </row>
    <row r="15670" spans="13:13" x14ac:dyDescent="0.25">
      <c r="M15670" s="34">
        <f t="shared" si="420"/>
        <v>0</v>
      </c>
    </row>
    <row r="15671" spans="13:13" x14ac:dyDescent="0.25">
      <c r="M15671" s="34">
        <f t="shared" si="420"/>
        <v>0</v>
      </c>
    </row>
    <row r="15672" spans="13:13" x14ac:dyDescent="0.25">
      <c r="M15672" s="34">
        <f t="shared" si="420"/>
        <v>0</v>
      </c>
    </row>
    <row r="15673" spans="13:13" x14ac:dyDescent="0.25">
      <c r="M15673" s="34">
        <f t="shared" si="420"/>
        <v>0</v>
      </c>
    </row>
    <row r="15674" spans="13:13" x14ac:dyDescent="0.25">
      <c r="M15674" s="34">
        <f t="shared" si="420"/>
        <v>0</v>
      </c>
    </row>
    <row r="15675" spans="13:13" x14ac:dyDescent="0.25">
      <c r="M15675" s="34">
        <f t="shared" si="420"/>
        <v>0</v>
      </c>
    </row>
    <row r="15676" spans="13:13" x14ac:dyDescent="0.25">
      <c r="M15676" s="34">
        <f t="shared" si="420"/>
        <v>0</v>
      </c>
    </row>
    <row r="15677" spans="13:13" x14ac:dyDescent="0.25">
      <c r="M15677" s="34">
        <f t="shared" si="420"/>
        <v>0</v>
      </c>
    </row>
    <row r="15678" spans="13:13" x14ac:dyDescent="0.25">
      <c r="M15678" s="34">
        <f t="shared" si="420"/>
        <v>0</v>
      </c>
    </row>
    <row r="15679" spans="13:13" x14ac:dyDescent="0.25">
      <c r="M15679" s="34">
        <f t="shared" si="420"/>
        <v>0</v>
      </c>
    </row>
    <row r="15680" spans="13:13" x14ac:dyDescent="0.25">
      <c r="M15680" s="34">
        <f t="shared" si="420"/>
        <v>0</v>
      </c>
    </row>
    <row r="15681" spans="13:13" x14ac:dyDescent="0.25">
      <c r="M15681" s="34">
        <f t="shared" si="420"/>
        <v>0</v>
      </c>
    </row>
    <row r="15682" spans="13:13" x14ac:dyDescent="0.25">
      <c r="M15682" s="34">
        <f t="shared" si="420"/>
        <v>0</v>
      </c>
    </row>
    <row r="15683" spans="13:13" x14ac:dyDescent="0.25">
      <c r="M15683" s="34">
        <f t="shared" ref="M15683:M15746" si="421">IF(AND(E15683="Chèque",G15683="RECETTE"),F15683,0)</f>
        <v>0</v>
      </c>
    </row>
    <row r="15684" spans="13:13" x14ac:dyDescent="0.25">
      <c r="M15684" s="34">
        <f t="shared" si="421"/>
        <v>0</v>
      </c>
    </row>
    <row r="15685" spans="13:13" x14ac:dyDescent="0.25">
      <c r="M15685" s="34">
        <f t="shared" si="421"/>
        <v>0</v>
      </c>
    </row>
    <row r="15686" spans="13:13" x14ac:dyDescent="0.25">
      <c r="M15686" s="34">
        <f t="shared" si="421"/>
        <v>0</v>
      </c>
    </row>
    <row r="15687" spans="13:13" x14ac:dyDescent="0.25">
      <c r="M15687" s="34">
        <f t="shared" si="421"/>
        <v>0</v>
      </c>
    </row>
    <row r="15688" spans="13:13" x14ac:dyDescent="0.25">
      <c r="M15688" s="34">
        <f t="shared" si="421"/>
        <v>0</v>
      </c>
    </row>
    <row r="15689" spans="13:13" x14ac:dyDescent="0.25">
      <c r="M15689" s="34">
        <f t="shared" si="421"/>
        <v>0</v>
      </c>
    </row>
    <row r="15690" spans="13:13" x14ac:dyDescent="0.25">
      <c r="M15690" s="34">
        <f t="shared" si="421"/>
        <v>0</v>
      </c>
    </row>
    <row r="15691" spans="13:13" x14ac:dyDescent="0.25">
      <c r="M15691" s="34">
        <f t="shared" si="421"/>
        <v>0</v>
      </c>
    </row>
    <row r="15692" spans="13:13" x14ac:dyDescent="0.25">
      <c r="M15692" s="34">
        <f t="shared" si="421"/>
        <v>0</v>
      </c>
    </row>
    <row r="15693" spans="13:13" x14ac:dyDescent="0.25">
      <c r="M15693" s="34">
        <f t="shared" si="421"/>
        <v>0</v>
      </c>
    </row>
    <row r="15694" spans="13:13" x14ac:dyDescent="0.25">
      <c r="M15694" s="34">
        <f t="shared" si="421"/>
        <v>0</v>
      </c>
    </row>
    <row r="15695" spans="13:13" x14ac:dyDescent="0.25">
      <c r="M15695" s="34">
        <f t="shared" si="421"/>
        <v>0</v>
      </c>
    </row>
    <row r="15696" spans="13:13" x14ac:dyDescent="0.25">
      <c r="M15696" s="34">
        <f t="shared" si="421"/>
        <v>0</v>
      </c>
    </row>
    <row r="15697" spans="13:13" x14ac:dyDescent="0.25">
      <c r="M15697" s="34">
        <f t="shared" si="421"/>
        <v>0</v>
      </c>
    </row>
    <row r="15698" spans="13:13" x14ac:dyDescent="0.25">
      <c r="M15698" s="34">
        <f t="shared" si="421"/>
        <v>0</v>
      </c>
    </row>
    <row r="15699" spans="13:13" x14ac:dyDescent="0.25">
      <c r="M15699" s="34">
        <f t="shared" si="421"/>
        <v>0</v>
      </c>
    </row>
    <row r="15700" spans="13:13" x14ac:dyDescent="0.25">
      <c r="M15700" s="34">
        <f t="shared" si="421"/>
        <v>0</v>
      </c>
    </row>
    <row r="15701" spans="13:13" x14ac:dyDescent="0.25">
      <c r="M15701" s="34">
        <f t="shared" si="421"/>
        <v>0</v>
      </c>
    </row>
    <row r="15702" spans="13:13" x14ac:dyDescent="0.25">
      <c r="M15702" s="34">
        <f t="shared" si="421"/>
        <v>0</v>
      </c>
    </row>
    <row r="15703" spans="13:13" x14ac:dyDescent="0.25">
      <c r="M15703" s="34">
        <f t="shared" si="421"/>
        <v>0</v>
      </c>
    </row>
    <row r="15704" spans="13:13" x14ac:dyDescent="0.25">
      <c r="M15704" s="34">
        <f t="shared" si="421"/>
        <v>0</v>
      </c>
    </row>
    <row r="15705" spans="13:13" x14ac:dyDescent="0.25">
      <c r="M15705" s="34">
        <f t="shared" si="421"/>
        <v>0</v>
      </c>
    </row>
    <row r="15706" spans="13:13" x14ac:dyDescent="0.25">
      <c r="M15706" s="34">
        <f t="shared" si="421"/>
        <v>0</v>
      </c>
    </row>
    <row r="15707" spans="13:13" x14ac:dyDescent="0.25">
      <c r="M15707" s="34">
        <f t="shared" si="421"/>
        <v>0</v>
      </c>
    </row>
    <row r="15708" spans="13:13" x14ac:dyDescent="0.25">
      <c r="M15708" s="34">
        <f t="shared" si="421"/>
        <v>0</v>
      </c>
    </row>
    <row r="15709" spans="13:13" x14ac:dyDescent="0.25">
      <c r="M15709" s="34">
        <f t="shared" si="421"/>
        <v>0</v>
      </c>
    </row>
    <row r="15710" spans="13:13" x14ac:dyDescent="0.25">
      <c r="M15710" s="34">
        <f t="shared" si="421"/>
        <v>0</v>
      </c>
    </row>
    <row r="15711" spans="13:13" x14ac:dyDescent="0.25">
      <c r="M15711" s="34">
        <f t="shared" si="421"/>
        <v>0</v>
      </c>
    </row>
    <row r="15712" spans="13:13" x14ac:dyDescent="0.25">
      <c r="M15712" s="34">
        <f t="shared" si="421"/>
        <v>0</v>
      </c>
    </row>
    <row r="15713" spans="13:13" x14ac:dyDescent="0.25">
      <c r="M15713" s="34">
        <f t="shared" si="421"/>
        <v>0</v>
      </c>
    </row>
    <row r="15714" spans="13:13" x14ac:dyDescent="0.25">
      <c r="M15714" s="34">
        <f t="shared" si="421"/>
        <v>0</v>
      </c>
    </row>
    <row r="15715" spans="13:13" x14ac:dyDescent="0.25">
      <c r="M15715" s="34">
        <f t="shared" si="421"/>
        <v>0</v>
      </c>
    </row>
    <row r="15716" spans="13:13" x14ac:dyDescent="0.25">
      <c r="M15716" s="34">
        <f t="shared" si="421"/>
        <v>0</v>
      </c>
    </row>
    <row r="15717" spans="13:13" x14ac:dyDescent="0.25">
      <c r="M15717" s="34">
        <f t="shared" si="421"/>
        <v>0</v>
      </c>
    </row>
    <row r="15718" spans="13:13" x14ac:dyDescent="0.25">
      <c r="M15718" s="34">
        <f t="shared" si="421"/>
        <v>0</v>
      </c>
    </row>
    <row r="15719" spans="13:13" x14ac:dyDescent="0.25">
      <c r="M15719" s="34">
        <f t="shared" si="421"/>
        <v>0</v>
      </c>
    </row>
    <row r="15720" spans="13:13" x14ac:dyDescent="0.25">
      <c r="M15720" s="34">
        <f t="shared" si="421"/>
        <v>0</v>
      </c>
    </row>
    <row r="15721" spans="13:13" x14ac:dyDescent="0.25">
      <c r="M15721" s="34">
        <f t="shared" si="421"/>
        <v>0</v>
      </c>
    </row>
    <row r="15722" spans="13:13" x14ac:dyDescent="0.25">
      <c r="M15722" s="34">
        <f t="shared" si="421"/>
        <v>0</v>
      </c>
    </row>
    <row r="15723" spans="13:13" x14ac:dyDescent="0.25">
      <c r="M15723" s="34">
        <f t="shared" si="421"/>
        <v>0</v>
      </c>
    </row>
    <row r="15724" spans="13:13" x14ac:dyDescent="0.25">
      <c r="M15724" s="34">
        <f t="shared" si="421"/>
        <v>0</v>
      </c>
    </row>
    <row r="15725" spans="13:13" x14ac:dyDescent="0.25">
      <c r="M15725" s="34">
        <f t="shared" si="421"/>
        <v>0</v>
      </c>
    </row>
    <row r="15726" spans="13:13" x14ac:dyDescent="0.25">
      <c r="M15726" s="34">
        <f t="shared" si="421"/>
        <v>0</v>
      </c>
    </row>
    <row r="15727" spans="13:13" x14ac:dyDescent="0.25">
      <c r="M15727" s="34">
        <f t="shared" si="421"/>
        <v>0</v>
      </c>
    </row>
    <row r="15728" spans="13:13" x14ac:dyDescent="0.25">
      <c r="M15728" s="34">
        <f t="shared" si="421"/>
        <v>0</v>
      </c>
    </row>
    <row r="15729" spans="13:13" x14ac:dyDescent="0.25">
      <c r="M15729" s="34">
        <f t="shared" si="421"/>
        <v>0</v>
      </c>
    </row>
    <row r="15730" spans="13:13" x14ac:dyDescent="0.25">
      <c r="M15730" s="34">
        <f t="shared" si="421"/>
        <v>0</v>
      </c>
    </row>
    <row r="15731" spans="13:13" x14ac:dyDescent="0.25">
      <c r="M15731" s="34">
        <f t="shared" si="421"/>
        <v>0</v>
      </c>
    </row>
    <row r="15732" spans="13:13" x14ac:dyDescent="0.25">
      <c r="M15732" s="34">
        <f t="shared" si="421"/>
        <v>0</v>
      </c>
    </row>
    <row r="15733" spans="13:13" x14ac:dyDescent="0.25">
      <c r="M15733" s="34">
        <f t="shared" si="421"/>
        <v>0</v>
      </c>
    </row>
    <row r="15734" spans="13:13" x14ac:dyDescent="0.25">
      <c r="M15734" s="34">
        <f t="shared" si="421"/>
        <v>0</v>
      </c>
    </row>
    <row r="15735" spans="13:13" x14ac:dyDescent="0.25">
      <c r="M15735" s="34">
        <f t="shared" si="421"/>
        <v>0</v>
      </c>
    </row>
    <row r="15736" spans="13:13" x14ac:dyDescent="0.25">
      <c r="M15736" s="34">
        <f t="shared" si="421"/>
        <v>0</v>
      </c>
    </row>
    <row r="15737" spans="13:13" x14ac:dyDescent="0.25">
      <c r="M15737" s="34">
        <f t="shared" si="421"/>
        <v>0</v>
      </c>
    </row>
    <row r="15738" spans="13:13" x14ac:dyDescent="0.25">
      <c r="M15738" s="34">
        <f t="shared" si="421"/>
        <v>0</v>
      </c>
    </row>
    <row r="15739" spans="13:13" x14ac:dyDescent="0.25">
      <c r="M15739" s="34">
        <f t="shared" si="421"/>
        <v>0</v>
      </c>
    </row>
    <row r="15740" spans="13:13" x14ac:dyDescent="0.25">
      <c r="M15740" s="34">
        <f t="shared" si="421"/>
        <v>0</v>
      </c>
    </row>
    <row r="15741" spans="13:13" x14ac:dyDescent="0.25">
      <c r="M15741" s="34">
        <f t="shared" si="421"/>
        <v>0</v>
      </c>
    </row>
    <row r="15742" spans="13:13" x14ac:dyDescent="0.25">
      <c r="M15742" s="34">
        <f t="shared" si="421"/>
        <v>0</v>
      </c>
    </row>
    <row r="15743" spans="13:13" x14ac:dyDescent="0.25">
      <c r="M15743" s="34">
        <f t="shared" si="421"/>
        <v>0</v>
      </c>
    </row>
    <row r="15744" spans="13:13" x14ac:dyDescent="0.25">
      <c r="M15744" s="34">
        <f t="shared" si="421"/>
        <v>0</v>
      </c>
    </row>
    <row r="15745" spans="13:13" x14ac:dyDescent="0.25">
      <c r="M15745" s="34">
        <f t="shared" si="421"/>
        <v>0</v>
      </c>
    </row>
    <row r="15746" spans="13:13" x14ac:dyDescent="0.25">
      <c r="M15746" s="34">
        <f t="shared" si="421"/>
        <v>0</v>
      </c>
    </row>
    <row r="15747" spans="13:13" x14ac:dyDescent="0.25">
      <c r="M15747" s="34">
        <f t="shared" ref="M15747:M15810" si="422">IF(AND(E15747="Chèque",G15747="RECETTE"),F15747,0)</f>
        <v>0</v>
      </c>
    </row>
    <row r="15748" spans="13:13" x14ac:dyDescent="0.25">
      <c r="M15748" s="34">
        <f t="shared" si="422"/>
        <v>0</v>
      </c>
    </row>
    <row r="15749" spans="13:13" x14ac:dyDescent="0.25">
      <c r="M15749" s="34">
        <f t="shared" si="422"/>
        <v>0</v>
      </c>
    </row>
    <row r="15750" spans="13:13" x14ac:dyDescent="0.25">
      <c r="M15750" s="34">
        <f t="shared" si="422"/>
        <v>0</v>
      </c>
    </row>
    <row r="15751" spans="13:13" x14ac:dyDescent="0.25">
      <c r="M15751" s="34">
        <f t="shared" si="422"/>
        <v>0</v>
      </c>
    </row>
    <row r="15752" spans="13:13" x14ac:dyDescent="0.25">
      <c r="M15752" s="34">
        <f t="shared" si="422"/>
        <v>0</v>
      </c>
    </row>
    <row r="15753" spans="13:13" x14ac:dyDescent="0.25">
      <c r="M15753" s="34">
        <f t="shared" si="422"/>
        <v>0</v>
      </c>
    </row>
    <row r="15754" spans="13:13" x14ac:dyDescent="0.25">
      <c r="M15754" s="34">
        <f t="shared" si="422"/>
        <v>0</v>
      </c>
    </row>
    <row r="15755" spans="13:13" x14ac:dyDescent="0.25">
      <c r="M15755" s="34">
        <f t="shared" si="422"/>
        <v>0</v>
      </c>
    </row>
    <row r="15756" spans="13:13" x14ac:dyDescent="0.25">
      <c r="M15756" s="34">
        <f t="shared" si="422"/>
        <v>0</v>
      </c>
    </row>
    <row r="15757" spans="13:13" x14ac:dyDescent="0.25">
      <c r="M15757" s="34">
        <f t="shared" si="422"/>
        <v>0</v>
      </c>
    </row>
    <row r="15758" spans="13:13" x14ac:dyDescent="0.25">
      <c r="M15758" s="34">
        <f t="shared" si="422"/>
        <v>0</v>
      </c>
    </row>
    <row r="15759" spans="13:13" x14ac:dyDescent="0.25">
      <c r="M15759" s="34">
        <f t="shared" si="422"/>
        <v>0</v>
      </c>
    </row>
    <row r="15760" spans="13:13" x14ac:dyDescent="0.25">
      <c r="M15760" s="34">
        <f t="shared" si="422"/>
        <v>0</v>
      </c>
    </row>
    <row r="15761" spans="13:13" x14ac:dyDescent="0.25">
      <c r="M15761" s="34">
        <f t="shared" si="422"/>
        <v>0</v>
      </c>
    </row>
    <row r="15762" spans="13:13" x14ac:dyDescent="0.25">
      <c r="M15762" s="34">
        <f t="shared" si="422"/>
        <v>0</v>
      </c>
    </row>
    <row r="15763" spans="13:13" x14ac:dyDescent="0.25">
      <c r="M15763" s="34">
        <f t="shared" si="422"/>
        <v>0</v>
      </c>
    </row>
    <row r="15764" spans="13:13" x14ac:dyDescent="0.25">
      <c r="M15764" s="34">
        <f t="shared" si="422"/>
        <v>0</v>
      </c>
    </row>
    <row r="15765" spans="13:13" x14ac:dyDescent="0.25">
      <c r="M15765" s="34">
        <f t="shared" si="422"/>
        <v>0</v>
      </c>
    </row>
    <row r="15766" spans="13:13" x14ac:dyDescent="0.25">
      <c r="M15766" s="34">
        <f t="shared" si="422"/>
        <v>0</v>
      </c>
    </row>
    <row r="15767" spans="13:13" x14ac:dyDescent="0.25">
      <c r="M15767" s="34">
        <f t="shared" si="422"/>
        <v>0</v>
      </c>
    </row>
    <row r="15768" spans="13:13" x14ac:dyDescent="0.25">
      <c r="M15768" s="34">
        <f t="shared" si="422"/>
        <v>0</v>
      </c>
    </row>
    <row r="15769" spans="13:13" x14ac:dyDescent="0.25">
      <c r="M15769" s="34">
        <f t="shared" si="422"/>
        <v>0</v>
      </c>
    </row>
    <row r="15770" spans="13:13" x14ac:dyDescent="0.25">
      <c r="M15770" s="34">
        <f t="shared" si="422"/>
        <v>0</v>
      </c>
    </row>
    <row r="15771" spans="13:13" x14ac:dyDescent="0.25">
      <c r="M15771" s="34">
        <f t="shared" si="422"/>
        <v>0</v>
      </c>
    </row>
    <row r="15772" spans="13:13" x14ac:dyDescent="0.25">
      <c r="M15772" s="34">
        <f t="shared" si="422"/>
        <v>0</v>
      </c>
    </row>
    <row r="15773" spans="13:13" x14ac:dyDescent="0.25">
      <c r="M15773" s="34">
        <f t="shared" si="422"/>
        <v>0</v>
      </c>
    </row>
    <row r="15774" spans="13:13" x14ac:dyDescent="0.25">
      <c r="M15774" s="34">
        <f t="shared" si="422"/>
        <v>0</v>
      </c>
    </row>
    <row r="15775" spans="13:13" x14ac:dyDescent="0.25">
      <c r="M15775" s="34">
        <f t="shared" si="422"/>
        <v>0</v>
      </c>
    </row>
    <row r="15776" spans="13:13" x14ac:dyDescent="0.25">
      <c r="M15776" s="34">
        <f t="shared" si="422"/>
        <v>0</v>
      </c>
    </row>
    <row r="15777" spans="13:13" x14ac:dyDescent="0.25">
      <c r="M15777" s="34">
        <f t="shared" si="422"/>
        <v>0</v>
      </c>
    </row>
    <row r="15778" spans="13:13" x14ac:dyDescent="0.25">
      <c r="M15778" s="34">
        <f t="shared" si="422"/>
        <v>0</v>
      </c>
    </row>
    <row r="15779" spans="13:13" x14ac:dyDescent="0.25">
      <c r="M15779" s="34">
        <f t="shared" si="422"/>
        <v>0</v>
      </c>
    </row>
    <row r="15780" spans="13:13" x14ac:dyDescent="0.25">
      <c r="M15780" s="34">
        <f t="shared" si="422"/>
        <v>0</v>
      </c>
    </row>
    <row r="15781" spans="13:13" x14ac:dyDescent="0.25">
      <c r="M15781" s="34">
        <f t="shared" si="422"/>
        <v>0</v>
      </c>
    </row>
    <row r="15782" spans="13:13" x14ac:dyDescent="0.25">
      <c r="M15782" s="34">
        <f t="shared" si="422"/>
        <v>0</v>
      </c>
    </row>
    <row r="15783" spans="13:13" x14ac:dyDescent="0.25">
      <c r="M15783" s="34">
        <f t="shared" si="422"/>
        <v>0</v>
      </c>
    </row>
    <row r="15784" spans="13:13" x14ac:dyDescent="0.25">
      <c r="M15784" s="34">
        <f t="shared" si="422"/>
        <v>0</v>
      </c>
    </row>
    <row r="15785" spans="13:13" x14ac:dyDescent="0.25">
      <c r="M15785" s="34">
        <f t="shared" si="422"/>
        <v>0</v>
      </c>
    </row>
    <row r="15786" spans="13:13" x14ac:dyDescent="0.25">
      <c r="M15786" s="34">
        <f t="shared" si="422"/>
        <v>0</v>
      </c>
    </row>
    <row r="15787" spans="13:13" x14ac:dyDescent="0.25">
      <c r="M15787" s="34">
        <f t="shared" si="422"/>
        <v>0</v>
      </c>
    </row>
    <row r="15788" spans="13:13" x14ac:dyDescent="0.25">
      <c r="M15788" s="34">
        <f t="shared" si="422"/>
        <v>0</v>
      </c>
    </row>
    <row r="15789" spans="13:13" x14ac:dyDescent="0.25">
      <c r="M15789" s="34">
        <f t="shared" si="422"/>
        <v>0</v>
      </c>
    </row>
    <row r="15790" spans="13:13" x14ac:dyDescent="0.25">
      <c r="M15790" s="34">
        <f t="shared" si="422"/>
        <v>0</v>
      </c>
    </row>
    <row r="15791" spans="13:13" x14ac:dyDescent="0.25">
      <c r="M15791" s="34">
        <f t="shared" si="422"/>
        <v>0</v>
      </c>
    </row>
    <row r="15792" spans="13:13" x14ac:dyDescent="0.25">
      <c r="M15792" s="34">
        <f t="shared" si="422"/>
        <v>0</v>
      </c>
    </row>
    <row r="15793" spans="13:13" x14ac:dyDescent="0.25">
      <c r="M15793" s="34">
        <f t="shared" si="422"/>
        <v>0</v>
      </c>
    </row>
    <row r="15794" spans="13:13" x14ac:dyDescent="0.25">
      <c r="M15794" s="34">
        <f t="shared" si="422"/>
        <v>0</v>
      </c>
    </row>
    <row r="15795" spans="13:13" x14ac:dyDescent="0.25">
      <c r="M15795" s="34">
        <f t="shared" si="422"/>
        <v>0</v>
      </c>
    </row>
    <row r="15796" spans="13:13" x14ac:dyDescent="0.25">
      <c r="M15796" s="34">
        <f t="shared" si="422"/>
        <v>0</v>
      </c>
    </row>
    <row r="15797" spans="13:13" x14ac:dyDescent="0.25">
      <c r="M15797" s="34">
        <f t="shared" si="422"/>
        <v>0</v>
      </c>
    </row>
    <row r="15798" spans="13:13" x14ac:dyDescent="0.25">
      <c r="M15798" s="34">
        <f t="shared" si="422"/>
        <v>0</v>
      </c>
    </row>
    <row r="15799" spans="13:13" x14ac:dyDescent="0.25">
      <c r="M15799" s="34">
        <f t="shared" si="422"/>
        <v>0</v>
      </c>
    </row>
    <row r="15800" spans="13:13" x14ac:dyDescent="0.25">
      <c r="M15800" s="34">
        <f t="shared" si="422"/>
        <v>0</v>
      </c>
    </row>
    <row r="15801" spans="13:13" x14ac:dyDescent="0.25">
      <c r="M15801" s="34">
        <f t="shared" si="422"/>
        <v>0</v>
      </c>
    </row>
    <row r="15802" spans="13:13" x14ac:dyDescent="0.25">
      <c r="M15802" s="34">
        <f t="shared" si="422"/>
        <v>0</v>
      </c>
    </row>
    <row r="15803" spans="13:13" x14ac:dyDescent="0.25">
      <c r="M15803" s="34">
        <f t="shared" si="422"/>
        <v>0</v>
      </c>
    </row>
    <row r="15804" spans="13:13" x14ac:dyDescent="0.25">
      <c r="M15804" s="34">
        <f t="shared" si="422"/>
        <v>0</v>
      </c>
    </row>
    <row r="15805" spans="13:13" x14ac:dyDescent="0.25">
      <c r="M15805" s="34">
        <f t="shared" si="422"/>
        <v>0</v>
      </c>
    </row>
    <row r="15806" spans="13:13" x14ac:dyDescent="0.25">
      <c r="M15806" s="34">
        <f t="shared" si="422"/>
        <v>0</v>
      </c>
    </row>
    <row r="15807" spans="13:13" x14ac:dyDescent="0.25">
      <c r="M15807" s="34">
        <f t="shared" si="422"/>
        <v>0</v>
      </c>
    </row>
    <row r="15808" spans="13:13" x14ac:dyDescent="0.25">
      <c r="M15808" s="34">
        <f t="shared" si="422"/>
        <v>0</v>
      </c>
    </row>
    <row r="15809" spans="13:13" x14ac:dyDescent="0.25">
      <c r="M15809" s="34">
        <f t="shared" si="422"/>
        <v>0</v>
      </c>
    </row>
    <row r="15810" spans="13:13" x14ac:dyDescent="0.25">
      <c r="M15810" s="34">
        <f t="shared" si="422"/>
        <v>0</v>
      </c>
    </row>
    <row r="15811" spans="13:13" x14ac:dyDescent="0.25">
      <c r="M15811" s="34">
        <f t="shared" ref="M15811:M15874" si="423">IF(AND(E15811="Chèque",G15811="RECETTE"),F15811,0)</f>
        <v>0</v>
      </c>
    </row>
    <row r="15812" spans="13:13" x14ac:dyDescent="0.25">
      <c r="M15812" s="34">
        <f t="shared" si="423"/>
        <v>0</v>
      </c>
    </row>
    <row r="15813" spans="13:13" x14ac:dyDescent="0.25">
      <c r="M15813" s="34">
        <f t="shared" si="423"/>
        <v>0</v>
      </c>
    </row>
    <row r="15814" spans="13:13" x14ac:dyDescent="0.25">
      <c r="M15814" s="34">
        <f t="shared" si="423"/>
        <v>0</v>
      </c>
    </row>
    <row r="15815" spans="13:13" x14ac:dyDescent="0.25">
      <c r="M15815" s="34">
        <f t="shared" si="423"/>
        <v>0</v>
      </c>
    </row>
    <row r="15816" spans="13:13" x14ac:dyDescent="0.25">
      <c r="M15816" s="34">
        <f t="shared" si="423"/>
        <v>0</v>
      </c>
    </row>
    <row r="15817" spans="13:13" x14ac:dyDescent="0.25">
      <c r="M15817" s="34">
        <f t="shared" si="423"/>
        <v>0</v>
      </c>
    </row>
    <row r="15818" spans="13:13" x14ac:dyDescent="0.25">
      <c r="M15818" s="34">
        <f t="shared" si="423"/>
        <v>0</v>
      </c>
    </row>
    <row r="15819" spans="13:13" x14ac:dyDescent="0.25">
      <c r="M15819" s="34">
        <f t="shared" si="423"/>
        <v>0</v>
      </c>
    </row>
    <row r="15820" spans="13:13" x14ac:dyDescent="0.25">
      <c r="M15820" s="34">
        <f t="shared" si="423"/>
        <v>0</v>
      </c>
    </row>
    <row r="15821" spans="13:13" x14ac:dyDescent="0.25">
      <c r="M15821" s="34">
        <f t="shared" si="423"/>
        <v>0</v>
      </c>
    </row>
    <row r="15822" spans="13:13" x14ac:dyDescent="0.25">
      <c r="M15822" s="34">
        <f t="shared" si="423"/>
        <v>0</v>
      </c>
    </row>
    <row r="15823" spans="13:13" x14ac:dyDescent="0.25">
      <c r="M15823" s="34">
        <f t="shared" si="423"/>
        <v>0</v>
      </c>
    </row>
    <row r="15824" spans="13:13" x14ac:dyDescent="0.25">
      <c r="M15824" s="34">
        <f t="shared" si="423"/>
        <v>0</v>
      </c>
    </row>
    <row r="15825" spans="13:13" x14ac:dyDescent="0.25">
      <c r="M15825" s="34">
        <f t="shared" si="423"/>
        <v>0</v>
      </c>
    </row>
    <row r="15826" spans="13:13" x14ac:dyDescent="0.25">
      <c r="M15826" s="34">
        <f t="shared" si="423"/>
        <v>0</v>
      </c>
    </row>
    <row r="15827" spans="13:13" x14ac:dyDescent="0.25">
      <c r="M15827" s="34">
        <f t="shared" si="423"/>
        <v>0</v>
      </c>
    </row>
    <row r="15828" spans="13:13" x14ac:dyDescent="0.25">
      <c r="M15828" s="34">
        <f t="shared" si="423"/>
        <v>0</v>
      </c>
    </row>
    <row r="15829" spans="13:13" x14ac:dyDescent="0.25">
      <c r="M15829" s="34">
        <f t="shared" si="423"/>
        <v>0</v>
      </c>
    </row>
    <row r="15830" spans="13:13" x14ac:dyDescent="0.25">
      <c r="M15830" s="34">
        <f t="shared" si="423"/>
        <v>0</v>
      </c>
    </row>
    <row r="15831" spans="13:13" x14ac:dyDescent="0.25">
      <c r="M15831" s="34">
        <f t="shared" si="423"/>
        <v>0</v>
      </c>
    </row>
    <row r="15832" spans="13:13" x14ac:dyDescent="0.25">
      <c r="M15832" s="34">
        <f t="shared" si="423"/>
        <v>0</v>
      </c>
    </row>
    <row r="15833" spans="13:13" x14ac:dyDescent="0.25">
      <c r="M15833" s="34">
        <f t="shared" si="423"/>
        <v>0</v>
      </c>
    </row>
    <row r="15834" spans="13:13" x14ac:dyDescent="0.25">
      <c r="M15834" s="34">
        <f t="shared" si="423"/>
        <v>0</v>
      </c>
    </row>
    <row r="15835" spans="13:13" x14ac:dyDescent="0.25">
      <c r="M15835" s="34">
        <f t="shared" si="423"/>
        <v>0</v>
      </c>
    </row>
    <row r="15836" spans="13:13" x14ac:dyDescent="0.25">
      <c r="M15836" s="34">
        <f t="shared" si="423"/>
        <v>0</v>
      </c>
    </row>
    <row r="15837" spans="13:13" x14ac:dyDescent="0.25">
      <c r="M15837" s="34">
        <f t="shared" si="423"/>
        <v>0</v>
      </c>
    </row>
    <row r="15838" spans="13:13" x14ac:dyDescent="0.25">
      <c r="M15838" s="34">
        <f t="shared" si="423"/>
        <v>0</v>
      </c>
    </row>
    <row r="15839" spans="13:13" x14ac:dyDescent="0.25">
      <c r="M15839" s="34">
        <f t="shared" si="423"/>
        <v>0</v>
      </c>
    </row>
    <row r="15840" spans="13:13" x14ac:dyDescent="0.25">
      <c r="M15840" s="34">
        <f t="shared" si="423"/>
        <v>0</v>
      </c>
    </row>
    <row r="15841" spans="13:13" x14ac:dyDescent="0.25">
      <c r="M15841" s="34">
        <f t="shared" si="423"/>
        <v>0</v>
      </c>
    </row>
    <row r="15842" spans="13:13" x14ac:dyDescent="0.25">
      <c r="M15842" s="34">
        <f t="shared" si="423"/>
        <v>0</v>
      </c>
    </row>
    <row r="15843" spans="13:13" x14ac:dyDescent="0.25">
      <c r="M15843" s="34">
        <f t="shared" si="423"/>
        <v>0</v>
      </c>
    </row>
    <row r="15844" spans="13:13" x14ac:dyDescent="0.25">
      <c r="M15844" s="34">
        <f t="shared" si="423"/>
        <v>0</v>
      </c>
    </row>
    <row r="15845" spans="13:13" x14ac:dyDescent="0.25">
      <c r="M15845" s="34">
        <f t="shared" si="423"/>
        <v>0</v>
      </c>
    </row>
    <row r="15846" spans="13:13" x14ac:dyDescent="0.25">
      <c r="M15846" s="34">
        <f t="shared" si="423"/>
        <v>0</v>
      </c>
    </row>
    <row r="15847" spans="13:13" x14ac:dyDescent="0.25">
      <c r="M15847" s="34">
        <f t="shared" si="423"/>
        <v>0</v>
      </c>
    </row>
    <row r="15848" spans="13:13" x14ac:dyDescent="0.25">
      <c r="M15848" s="34">
        <f t="shared" si="423"/>
        <v>0</v>
      </c>
    </row>
    <row r="15849" spans="13:13" x14ac:dyDescent="0.25">
      <c r="M15849" s="34">
        <f t="shared" si="423"/>
        <v>0</v>
      </c>
    </row>
    <row r="15850" spans="13:13" x14ac:dyDescent="0.25">
      <c r="M15850" s="34">
        <f t="shared" si="423"/>
        <v>0</v>
      </c>
    </row>
    <row r="15851" spans="13:13" x14ac:dyDescent="0.25">
      <c r="M15851" s="34">
        <f t="shared" si="423"/>
        <v>0</v>
      </c>
    </row>
    <row r="15852" spans="13:13" x14ac:dyDescent="0.25">
      <c r="M15852" s="34">
        <f t="shared" si="423"/>
        <v>0</v>
      </c>
    </row>
    <row r="15853" spans="13:13" x14ac:dyDescent="0.25">
      <c r="M15853" s="34">
        <f t="shared" si="423"/>
        <v>0</v>
      </c>
    </row>
    <row r="15854" spans="13:13" x14ac:dyDescent="0.25">
      <c r="M15854" s="34">
        <f t="shared" si="423"/>
        <v>0</v>
      </c>
    </row>
    <row r="15855" spans="13:13" x14ac:dyDescent="0.25">
      <c r="M15855" s="34">
        <f t="shared" si="423"/>
        <v>0</v>
      </c>
    </row>
    <row r="15856" spans="13:13" x14ac:dyDescent="0.25">
      <c r="M15856" s="34">
        <f t="shared" si="423"/>
        <v>0</v>
      </c>
    </row>
    <row r="15857" spans="13:13" x14ac:dyDescent="0.25">
      <c r="M15857" s="34">
        <f t="shared" si="423"/>
        <v>0</v>
      </c>
    </row>
    <row r="15858" spans="13:13" x14ac:dyDescent="0.25">
      <c r="M15858" s="34">
        <f t="shared" si="423"/>
        <v>0</v>
      </c>
    </row>
    <row r="15859" spans="13:13" x14ac:dyDescent="0.25">
      <c r="M15859" s="34">
        <f t="shared" si="423"/>
        <v>0</v>
      </c>
    </row>
    <row r="15860" spans="13:13" x14ac:dyDescent="0.25">
      <c r="M15860" s="34">
        <f t="shared" si="423"/>
        <v>0</v>
      </c>
    </row>
    <row r="15861" spans="13:13" x14ac:dyDescent="0.25">
      <c r="M15861" s="34">
        <f t="shared" si="423"/>
        <v>0</v>
      </c>
    </row>
    <row r="15862" spans="13:13" x14ac:dyDescent="0.25">
      <c r="M15862" s="34">
        <f t="shared" si="423"/>
        <v>0</v>
      </c>
    </row>
    <row r="15863" spans="13:13" x14ac:dyDescent="0.25">
      <c r="M15863" s="34">
        <f t="shared" si="423"/>
        <v>0</v>
      </c>
    </row>
    <row r="15864" spans="13:13" x14ac:dyDescent="0.25">
      <c r="M15864" s="34">
        <f t="shared" si="423"/>
        <v>0</v>
      </c>
    </row>
    <row r="15865" spans="13:13" x14ac:dyDescent="0.25">
      <c r="M15865" s="34">
        <f t="shared" si="423"/>
        <v>0</v>
      </c>
    </row>
    <row r="15866" spans="13:13" x14ac:dyDescent="0.25">
      <c r="M15866" s="34">
        <f t="shared" si="423"/>
        <v>0</v>
      </c>
    </row>
    <row r="15867" spans="13:13" x14ac:dyDescent="0.25">
      <c r="M15867" s="34">
        <f t="shared" si="423"/>
        <v>0</v>
      </c>
    </row>
    <row r="15868" spans="13:13" x14ac:dyDescent="0.25">
      <c r="M15868" s="34">
        <f t="shared" si="423"/>
        <v>0</v>
      </c>
    </row>
    <row r="15869" spans="13:13" x14ac:dyDescent="0.25">
      <c r="M15869" s="34">
        <f t="shared" si="423"/>
        <v>0</v>
      </c>
    </row>
    <row r="15870" spans="13:13" x14ac:dyDescent="0.25">
      <c r="M15870" s="34">
        <f t="shared" si="423"/>
        <v>0</v>
      </c>
    </row>
    <row r="15871" spans="13:13" x14ac:dyDescent="0.25">
      <c r="M15871" s="34">
        <f t="shared" si="423"/>
        <v>0</v>
      </c>
    </row>
    <row r="15872" spans="13:13" x14ac:dyDescent="0.25">
      <c r="M15872" s="34">
        <f t="shared" si="423"/>
        <v>0</v>
      </c>
    </row>
    <row r="15873" spans="13:13" x14ac:dyDescent="0.25">
      <c r="M15873" s="34">
        <f t="shared" si="423"/>
        <v>0</v>
      </c>
    </row>
    <row r="15874" spans="13:13" x14ac:dyDescent="0.25">
      <c r="M15874" s="34">
        <f t="shared" si="423"/>
        <v>0</v>
      </c>
    </row>
    <row r="15875" spans="13:13" x14ac:dyDescent="0.25">
      <c r="M15875" s="34">
        <f t="shared" ref="M15875:M15938" si="424">IF(AND(E15875="Chèque",G15875="RECETTE"),F15875,0)</f>
        <v>0</v>
      </c>
    </row>
    <row r="15876" spans="13:13" x14ac:dyDescent="0.25">
      <c r="M15876" s="34">
        <f t="shared" si="424"/>
        <v>0</v>
      </c>
    </row>
    <row r="15877" spans="13:13" x14ac:dyDescent="0.25">
      <c r="M15877" s="34">
        <f t="shared" si="424"/>
        <v>0</v>
      </c>
    </row>
    <row r="15878" spans="13:13" x14ac:dyDescent="0.25">
      <c r="M15878" s="34">
        <f t="shared" si="424"/>
        <v>0</v>
      </c>
    </row>
    <row r="15879" spans="13:13" x14ac:dyDescent="0.25">
      <c r="M15879" s="34">
        <f t="shared" si="424"/>
        <v>0</v>
      </c>
    </row>
    <row r="15880" spans="13:13" x14ac:dyDescent="0.25">
      <c r="M15880" s="34">
        <f t="shared" si="424"/>
        <v>0</v>
      </c>
    </row>
    <row r="15881" spans="13:13" x14ac:dyDescent="0.25">
      <c r="M15881" s="34">
        <f t="shared" si="424"/>
        <v>0</v>
      </c>
    </row>
    <row r="15882" spans="13:13" x14ac:dyDescent="0.25">
      <c r="M15882" s="34">
        <f t="shared" si="424"/>
        <v>0</v>
      </c>
    </row>
    <row r="15883" spans="13:13" x14ac:dyDescent="0.25">
      <c r="M15883" s="34">
        <f t="shared" si="424"/>
        <v>0</v>
      </c>
    </row>
    <row r="15884" spans="13:13" x14ac:dyDescent="0.25">
      <c r="M15884" s="34">
        <f t="shared" si="424"/>
        <v>0</v>
      </c>
    </row>
    <row r="15885" spans="13:13" x14ac:dyDescent="0.25">
      <c r="M15885" s="34">
        <f t="shared" si="424"/>
        <v>0</v>
      </c>
    </row>
    <row r="15886" spans="13:13" x14ac:dyDescent="0.25">
      <c r="M15886" s="34">
        <f t="shared" si="424"/>
        <v>0</v>
      </c>
    </row>
    <row r="15887" spans="13:13" x14ac:dyDescent="0.25">
      <c r="M15887" s="34">
        <f t="shared" si="424"/>
        <v>0</v>
      </c>
    </row>
    <row r="15888" spans="13:13" x14ac:dyDescent="0.25">
      <c r="M15888" s="34">
        <f t="shared" si="424"/>
        <v>0</v>
      </c>
    </row>
    <row r="15889" spans="13:13" x14ac:dyDescent="0.25">
      <c r="M15889" s="34">
        <f t="shared" si="424"/>
        <v>0</v>
      </c>
    </row>
    <row r="15890" spans="13:13" x14ac:dyDescent="0.25">
      <c r="M15890" s="34">
        <f t="shared" si="424"/>
        <v>0</v>
      </c>
    </row>
    <row r="15891" spans="13:13" x14ac:dyDescent="0.25">
      <c r="M15891" s="34">
        <f t="shared" si="424"/>
        <v>0</v>
      </c>
    </row>
    <row r="15892" spans="13:13" x14ac:dyDescent="0.25">
      <c r="M15892" s="34">
        <f t="shared" si="424"/>
        <v>0</v>
      </c>
    </row>
    <row r="15893" spans="13:13" x14ac:dyDescent="0.25">
      <c r="M15893" s="34">
        <f t="shared" si="424"/>
        <v>0</v>
      </c>
    </row>
    <row r="15894" spans="13:13" x14ac:dyDescent="0.25">
      <c r="M15894" s="34">
        <f t="shared" si="424"/>
        <v>0</v>
      </c>
    </row>
    <row r="15895" spans="13:13" x14ac:dyDescent="0.25">
      <c r="M15895" s="34">
        <f t="shared" si="424"/>
        <v>0</v>
      </c>
    </row>
    <row r="15896" spans="13:13" x14ac:dyDescent="0.25">
      <c r="M15896" s="34">
        <f t="shared" si="424"/>
        <v>0</v>
      </c>
    </row>
    <row r="15897" spans="13:13" x14ac:dyDescent="0.25">
      <c r="M15897" s="34">
        <f t="shared" si="424"/>
        <v>0</v>
      </c>
    </row>
    <row r="15898" spans="13:13" x14ac:dyDescent="0.25">
      <c r="M15898" s="34">
        <f t="shared" si="424"/>
        <v>0</v>
      </c>
    </row>
    <row r="15899" spans="13:13" x14ac:dyDescent="0.25">
      <c r="M15899" s="34">
        <f t="shared" si="424"/>
        <v>0</v>
      </c>
    </row>
    <row r="15900" spans="13:13" x14ac:dyDescent="0.25">
      <c r="M15900" s="34">
        <f t="shared" si="424"/>
        <v>0</v>
      </c>
    </row>
    <row r="15901" spans="13:13" x14ac:dyDescent="0.25">
      <c r="M15901" s="34">
        <f t="shared" si="424"/>
        <v>0</v>
      </c>
    </row>
    <row r="15902" spans="13:13" x14ac:dyDescent="0.25">
      <c r="M15902" s="34">
        <f t="shared" si="424"/>
        <v>0</v>
      </c>
    </row>
    <row r="15903" spans="13:13" x14ac:dyDescent="0.25">
      <c r="M15903" s="34">
        <f t="shared" si="424"/>
        <v>0</v>
      </c>
    </row>
    <row r="15904" spans="13:13" x14ac:dyDescent="0.25">
      <c r="M15904" s="34">
        <f t="shared" si="424"/>
        <v>0</v>
      </c>
    </row>
    <row r="15905" spans="13:13" x14ac:dyDescent="0.25">
      <c r="M15905" s="34">
        <f t="shared" si="424"/>
        <v>0</v>
      </c>
    </row>
    <row r="15906" spans="13:13" x14ac:dyDescent="0.25">
      <c r="M15906" s="34">
        <f t="shared" si="424"/>
        <v>0</v>
      </c>
    </row>
    <row r="15907" spans="13:13" x14ac:dyDescent="0.25">
      <c r="M15907" s="34">
        <f t="shared" si="424"/>
        <v>0</v>
      </c>
    </row>
    <row r="15908" spans="13:13" x14ac:dyDescent="0.25">
      <c r="M15908" s="34">
        <f t="shared" si="424"/>
        <v>0</v>
      </c>
    </row>
    <row r="15909" spans="13:13" x14ac:dyDescent="0.25">
      <c r="M15909" s="34">
        <f t="shared" si="424"/>
        <v>0</v>
      </c>
    </row>
    <row r="15910" spans="13:13" x14ac:dyDescent="0.25">
      <c r="M15910" s="34">
        <f t="shared" si="424"/>
        <v>0</v>
      </c>
    </row>
    <row r="15911" spans="13:13" x14ac:dyDescent="0.25">
      <c r="M15911" s="34">
        <f t="shared" si="424"/>
        <v>0</v>
      </c>
    </row>
    <row r="15912" spans="13:13" x14ac:dyDescent="0.25">
      <c r="M15912" s="34">
        <f t="shared" si="424"/>
        <v>0</v>
      </c>
    </row>
    <row r="15913" spans="13:13" x14ac:dyDescent="0.25">
      <c r="M15913" s="34">
        <f t="shared" si="424"/>
        <v>0</v>
      </c>
    </row>
    <row r="15914" spans="13:13" x14ac:dyDescent="0.25">
      <c r="M15914" s="34">
        <f t="shared" si="424"/>
        <v>0</v>
      </c>
    </row>
    <row r="15915" spans="13:13" x14ac:dyDescent="0.25">
      <c r="M15915" s="34">
        <f t="shared" si="424"/>
        <v>0</v>
      </c>
    </row>
    <row r="15916" spans="13:13" x14ac:dyDescent="0.25">
      <c r="M15916" s="34">
        <f t="shared" si="424"/>
        <v>0</v>
      </c>
    </row>
    <row r="15917" spans="13:13" x14ac:dyDescent="0.25">
      <c r="M15917" s="34">
        <f t="shared" si="424"/>
        <v>0</v>
      </c>
    </row>
    <row r="15918" spans="13:13" x14ac:dyDescent="0.25">
      <c r="M15918" s="34">
        <f t="shared" si="424"/>
        <v>0</v>
      </c>
    </row>
    <row r="15919" spans="13:13" x14ac:dyDescent="0.25">
      <c r="M15919" s="34">
        <f t="shared" si="424"/>
        <v>0</v>
      </c>
    </row>
    <row r="15920" spans="13:13" x14ac:dyDescent="0.25">
      <c r="M15920" s="34">
        <f t="shared" si="424"/>
        <v>0</v>
      </c>
    </row>
    <row r="15921" spans="13:13" x14ac:dyDescent="0.25">
      <c r="M15921" s="34">
        <f t="shared" si="424"/>
        <v>0</v>
      </c>
    </row>
    <row r="15922" spans="13:13" x14ac:dyDescent="0.25">
      <c r="M15922" s="34">
        <f t="shared" si="424"/>
        <v>0</v>
      </c>
    </row>
    <row r="15923" spans="13:13" x14ac:dyDescent="0.25">
      <c r="M15923" s="34">
        <f t="shared" si="424"/>
        <v>0</v>
      </c>
    </row>
    <row r="15924" spans="13:13" x14ac:dyDescent="0.25">
      <c r="M15924" s="34">
        <f t="shared" si="424"/>
        <v>0</v>
      </c>
    </row>
    <row r="15925" spans="13:13" x14ac:dyDescent="0.25">
      <c r="M15925" s="34">
        <f t="shared" si="424"/>
        <v>0</v>
      </c>
    </row>
    <row r="15926" spans="13:13" x14ac:dyDescent="0.25">
      <c r="M15926" s="34">
        <f t="shared" si="424"/>
        <v>0</v>
      </c>
    </row>
    <row r="15927" spans="13:13" x14ac:dyDescent="0.25">
      <c r="M15927" s="34">
        <f t="shared" si="424"/>
        <v>0</v>
      </c>
    </row>
    <row r="15928" spans="13:13" x14ac:dyDescent="0.25">
      <c r="M15928" s="34">
        <f t="shared" si="424"/>
        <v>0</v>
      </c>
    </row>
    <row r="15929" spans="13:13" x14ac:dyDescent="0.25">
      <c r="M15929" s="34">
        <f t="shared" si="424"/>
        <v>0</v>
      </c>
    </row>
    <row r="15930" spans="13:13" x14ac:dyDescent="0.25">
      <c r="M15930" s="34">
        <f t="shared" si="424"/>
        <v>0</v>
      </c>
    </row>
    <row r="15931" spans="13:13" x14ac:dyDescent="0.25">
      <c r="M15931" s="34">
        <f t="shared" si="424"/>
        <v>0</v>
      </c>
    </row>
    <row r="15932" spans="13:13" x14ac:dyDescent="0.25">
      <c r="M15932" s="34">
        <f t="shared" si="424"/>
        <v>0</v>
      </c>
    </row>
    <row r="15933" spans="13:13" x14ac:dyDescent="0.25">
      <c r="M15933" s="34">
        <f t="shared" si="424"/>
        <v>0</v>
      </c>
    </row>
    <row r="15934" spans="13:13" x14ac:dyDescent="0.25">
      <c r="M15934" s="34">
        <f t="shared" si="424"/>
        <v>0</v>
      </c>
    </row>
    <row r="15935" spans="13:13" x14ac:dyDescent="0.25">
      <c r="M15935" s="34">
        <f t="shared" si="424"/>
        <v>0</v>
      </c>
    </row>
    <row r="15936" spans="13:13" x14ac:dyDescent="0.25">
      <c r="M15936" s="34">
        <f t="shared" si="424"/>
        <v>0</v>
      </c>
    </row>
    <row r="15937" spans="13:13" x14ac:dyDescent="0.25">
      <c r="M15937" s="34">
        <f t="shared" si="424"/>
        <v>0</v>
      </c>
    </row>
    <row r="15938" spans="13:13" x14ac:dyDescent="0.25">
      <c r="M15938" s="34">
        <f t="shared" si="424"/>
        <v>0</v>
      </c>
    </row>
    <row r="15939" spans="13:13" x14ac:dyDescent="0.25">
      <c r="M15939" s="34">
        <f t="shared" ref="M15939:M16002" si="425">IF(AND(E15939="Chèque",G15939="RECETTE"),F15939,0)</f>
        <v>0</v>
      </c>
    </row>
    <row r="15940" spans="13:13" x14ac:dyDescent="0.25">
      <c r="M15940" s="34">
        <f t="shared" si="425"/>
        <v>0</v>
      </c>
    </row>
    <row r="15941" spans="13:13" x14ac:dyDescent="0.25">
      <c r="M15941" s="34">
        <f t="shared" si="425"/>
        <v>0</v>
      </c>
    </row>
    <row r="15942" spans="13:13" x14ac:dyDescent="0.25">
      <c r="M15942" s="34">
        <f t="shared" si="425"/>
        <v>0</v>
      </c>
    </row>
    <row r="15943" spans="13:13" x14ac:dyDescent="0.25">
      <c r="M15943" s="34">
        <f t="shared" si="425"/>
        <v>0</v>
      </c>
    </row>
    <row r="15944" spans="13:13" x14ac:dyDescent="0.25">
      <c r="M15944" s="34">
        <f t="shared" si="425"/>
        <v>0</v>
      </c>
    </row>
    <row r="15945" spans="13:13" x14ac:dyDescent="0.25">
      <c r="M15945" s="34">
        <f t="shared" si="425"/>
        <v>0</v>
      </c>
    </row>
    <row r="15946" spans="13:13" x14ac:dyDescent="0.25">
      <c r="M15946" s="34">
        <f t="shared" si="425"/>
        <v>0</v>
      </c>
    </row>
    <row r="15947" spans="13:13" x14ac:dyDescent="0.25">
      <c r="M15947" s="34">
        <f t="shared" si="425"/>
        <v>0</v>
      </c>
    </row>
    <row r="15948" spans="13:13" x14ac:dyDescent="0.25">
      <c r="M15948" s="34">
        <f t="shared" si="425"/>
        <v>0</v>
      </c>
    </row>
    <row r="15949" spans="13:13" x14ac:dyDescent="0.25">
      <c r="M15949" s="34">
        <f t="shared" si="425"/>
        <v>0</v>
      </c>
    </row>
    <row r="15950" spans="13:13" x14ac:dyDescent="0.25">
      <c r="M15950" s="34">
        <f t="shared" si="425"/>
        <v>0</v>
      </c>
    </row>
    <row r="15951" spans="13:13" x14ac:dyDescent="0.25">
      <c r="M15951" s="34">
        <f t="shared" si="425"/>
        <v>0</v>
      </c>
    </row>
    <row r="15952" spans="13:13" x14ac:dyDescent="0.25">
      <c r="M15952" s="34">
        <f t="shared" si="425"/>
        <v>0</v>
      </c>
    </row>
    <row r="15953" spans="13:13" x14ac:dyDescent="0.25">
      <c r="M15953" s="34">
        <f t="shared" si="425"/>
        <v>0</v>
      </c>
    </row>
    <row r="15954" spans="13:13" x14ac:dyDescent="0.25">
      <c r="M15954" s="34">
        <f t="shared" si="425"/>
        <v>0</v>
      </c>
    </row>
    <row r="15955" spans="13:13" x14ac:dyDescent="0.25">
      <c r="M15955" s="34">
        <f t="shared" si="425"/>
        <v>0</v>
      </c>
    </row>
    <row r="15956" spans="13:13" x14ac:dyDescent="0.25">
      <c r="M15956" s="34">
        <f t="shared" si="425"/>
        <v>0</v>
      </c>
    </row>
    <row r="15957" spans="13:13" x14ac:dyDescent="0.25">
      <c r="M15957" s="34">
        <f t="shared" si="425"/>
        <v>0</v>
      </c>
    </row>
    <row r="15958" spans="13:13" x14ac:dyDescent="0.25">
      <c r="M15958" s="34">
        <f t="shared" si="425"/>
        <v>0</v>
      </c>
    </row>
    <row r="15959" spans="13:13" x14ac:dyDescent="0.25">
      <c r="M15959" s="34">
        <f t="shared" si="425"/>
        <v>0</v>
      </c>
    </row>
    <row r="15960" spans="13:13" x14ac:dyDescent="0.25">
      <c r="M15960" s="34">
        <f t="shared" si="425"/>
        <v>0</v>
      </c>
    </row>
    <row r="15961" spans="13:13" x14ac:dyDescent="0.25">
      <c r="M15961" s="34">
        <f t="shared" si="425"/>
        <v>0</v>
      </c>
    </row>
    <row r="15962" spans="13:13" x14ac:dyDescent="0.25">
      <c r="M15962" s="34">
        <f t="shared" si="425"/>
        <v>0</v>
      </c>
    </row>
    <row r="15963" spans="13:13" x14ac:dyDescent="0.25">
      <c r="M15963" s="34">
        <f t="shared" si="425"/>
        <v>0</v>
      </c>
    </row>
    <row r="15964" spans="13:13" x14ac:dyDescent="0.25">
      <c r="M15964" s="34">
        <f t="shared" si="425"/>
        <v>0</v>
      </c>
    </row>
    <row r="15965" spans="13:13" x14ac:dyDescent="0.25">
      <c r="M15965" s="34">
        <f t="shared" si="425"/>
        <v>0</v>
      </c>
    </row>
    <row r="15966" spans="13:13" x14ac:dyDescent="0.25">
      <c r="M15966" s="34">
        <f t="shared" si="425"/>
        <v>0</v>
      </c>
    </row>
    <row r="15967" spans="13:13" x14ac:dyDescent="0.25">
      <c r="M15967" s="34">
        <f t="shared" si="425"/>
        <v>0</v>
      </c>
    </row>
    <row r="15968" spans="13:13" x14ac:dyDescent="0.25">
      <c r="M15968" s="34">
        <f t="shared" si="425"/>
        <v>0</v>
      </c>
    </row>
    <row r="15969" spans="13:13" x14ac:dyDescent="0.25">
      <c r="M15969" s="34">
        <f t="shared" si="425"/>
        <v>0</v>
      </c>
    </row>
    <row r="15970" spans="13:13" x14ac:dyDescent="0.25">
      <c r="M15970" s="34">
        <f t="shared" si="425"/>
        <v>0</v>
      </c>
    </row>
    <row r="15971" spans="13:13" x14ac:dyDescent="0.25">
      <c r="M15971" s="34">
        <f t="shared" si="425"/>
        <v>0</v>
      </c>
    </row>
    <row r="15972" spans="13:13" x14ac:dyDescent="0.25">
      <c r="M15972" s="34">
        <f t="shared" si="425"/>
        <v>0</v>
      </c>
    </row>
    <row r="15973" spans="13:13" x14ac:dyDescent="0.25">
      <c r="M15973" s="34">
        <f t="shared" si="425"/>
        <v>0</v>
      </c>
    </row>
    <row r="15974" spans="13:13" x14ac:dyDescent="0.25">
      <c r="M15974" s="34">
        <f t="shared" si="425"/>
        <v>0</v>
      </c>
    </row>
    <row r="15975" spans="13:13" x14ac:dyDescent="0.25">
      <c r="M15975" s="34">
        <f t="shared" si="425"/>
        <v>0</v>
      </c>
    </row>
    <row r="15976" spans="13:13" x14ac:dyDescent="0.25">
      <c r="M15976" s="34">
        <f t="shared" si="425"/>
        <v>0</v>
      </c>
    </row>
    <row r="15977" spans="13:13" x14ac:dyDescent="0.25">
      <c r="M15977" s="34">
        <f t="shared" si="425"/>
        <v>0</v>
      </c>
    </row>
    <row r="15978" spans="13:13" x14ac:dyDescent="0.25">
      <c r="M15978" s="34">
        <f t="shared" si="425"/>
        <v>0</v>
      </c>
    </row>
    <row r="15979" spans="13:13" x14ac:dyDescent="0.25">
      <c r="M15979" s="34">
        <f t="shared" si="425"/>
        <v>0</v>
      </c>
    </row>
    <row r="15980" spans="13:13" x14ac:dyDescent="0.25">
      <c r="M15980" s="34">
        <f t="shared" si="425"/>
        <v>0</v>
      </c>
    </row>
    <row r="15981" spans="13:13" x14ac:dyDescent="0.25">
      <c r="M15981" s="34">
        <f t="shared" si="425"/>
        <v>0</v>
      </c>
    </row>
    <row r="15982" spans="13:13" x14ac:dyDescent="0.25">
      <c r="M15982" s="34">
        <f t="shared" si="425"/>
        <v>0</v>
      </c>
    </row>
    <row r="15983" spans="13:13" x14ac:dyDescent="0.25">
      <c r="M15983" s="34">
        <f t="shared" si="425"/>
        <v>0</v>
      </c>
    </row>
    <row r="15984" spans="13:13" x14ac:dyDescent="0.25">
      <c r="M15984" s="34">
        <f t="shared" si="425"/>
        <v>0</v>
      </c>
    </row>
    <row r="15985" spans="13:13" x14ac:dyDescent="0.25">
      <c r="M15985" s="34">
        <f t="shared" si="425"/>
        <v>0</v>
      </c>
    </row>
    <row r="15986" spans="13:13" x14ac:dyDescent="0.25">
      <c r="M15986" s="34">
        <f t="shared" si="425"/>
        <v>0</v>
      </c>
    </row>
    <row r="15987" spans="13:13" x14ac:dyDescent="0.25">
      <c r="M15987" s="34">
        <f t="shared" si="425"/>
        <v>0</v>
      </c>
    </row>
    <row r="15988" spans="13:13" x14ac:dyDescent="0.25">
      <c r="M15988" s="34">
        <f t="shared" si="425"/>
        <v>0</v>
      </c>
    </row>
    <row r="15989" spans="13:13" x14ac:dyDescent="0.25">
      <c r="M15989" s="34">
        <f t="shared" si="425"/>
        <v>0</v>
      </c>
    </row>
    <row r="15990" spans="13:13" x14ac:dyDescent="0.25">
      <c r="M15990" s="34">
        <f t="shared" si="425"/>
        <v>0</v>
      </c>
    </row>
    <row r="15991" spans="13:13" x14ac:dyDescent="0.25">
      <c r="M15991" s="34">
        <f t="shared" si="425"/>
        <v>0</v>
      </c>
    </row>
    <row r="15992" spans="13:13" x14ac:dyDescent="0.25">
      <c r="M15992" s="34">
        <f t="shared" si="425"/>
        <v>0</v>
      </c>
    </row>
    <row r="15993" spans="13:13" x14ac:dyDescent="0.25">
      <c r="M15993" s="34">
        <f t="shared" si="425"/>
        <v>0</v>
      </c>
    </row>
    <row r="15994" spans="13:13" x14ac:dyDescent="0.25">
      <c r="M15994" s="34">
        <f t="shared" si="425"/>
        <v>0</v>
      </c>
    </row>
    <row r="15995" spans="13:13" x14ac:dyDescent="0.25">
      <c r="M15995" s="34">
        <f t="shared" si="425"/>
        <v>0</v>
      </c>
    </row>
    <row r="15996" spans="13:13" x14ac:dyDescent="0.25">
      <c r="M15996" s="34">
        <f t="shared" si="425"/>
        <v>0</v>
      </c>
    </row>
    <row r="15997" spans="13:13" x14ac:dyDescent="0.25">
      <c r="M15997" s="34">
        <f t="shared" si="425"/>
        <v>0</v>
      </c>
    </row>
    <row r="15998" spans="13:13" x14ac:dyDescent="0.25">
      <c r="M15998" s="34">
        <f t="shared" si="425"/>
        <v>0</v>
      </c>
    </row>
    <row r="15999" spans="13:13" x14ac:dyDescent="0.25">
      <c r="M15999" s="34">
        <f t="shared" si="425"/>
        <v>0</v>
      </c>
    </row>
    <row r="16000" spans="13:13" x14ac:dyDescent="0.25">
      <c r="M16000" s="34">
        <f t="shared" si="425"/>
        <v>0</v>
      </c>
    </row>
    <row r="16001" spans="13:13" x14ac:dyDescent="0.25">
      <c r="M16001" s="34">
        <f t="shared" si="425"/>
        <v>0</v>
      </c>
    </row>
    <row r="16002" spans="13:13" x14ac:dyDescent="0.25">
      <c r="M16002" s="34">
        <f t="shared" si="425"/>
        <v>0</v>
      </c>
    </row>
    <row r="16003" spans="13:13" x14ac:dyDescent="0.25">
      <c r="M16003" s="34">
        <f t="shared" ref="M16003:M16066" si="426">IF(AND(E16003="Chèque",G16003="RECETTE"),F16003,0)</f>
        <v>0</v>
      </c>
    </row>
    <row r="16004" spans="13:13" x14ac:dyDescent="0.25">
      <c r="M16004" s="34">
        <f t="shared" si="426"/>
        <v>0</v>
      </c>
    </row>
    <row r="16005" spans="13:13" x14ac:dyDescent="0.25">
      <c r="M16005" s="34">
        <f t="shared" si="426"/>
        <v>0</v>
      </c>
    </row>
    <row r="16006" spans="13:13" x14ac:dyDescent="0.25">
      <c r="M16006" s="34">
        <f t="shared" si="426"/>
        <v>0</v>
      </c>
    </row>
    <row r="16007" spans="13:13" x14ac:dyDescent="0.25">
      <c r="M16007" s="34">
        <f t="shared" si="426"/>
        <v>0</v>
      </c>
    </row>
    <row r="16008" spans="13:13" x14ac:dyDescent="0.25">
      <c r="M16008" s="34">
        <f t="shared" si="426"/>
        <v>0</v>
      </c>
    </row>
    <row r="16009" spans="13:13" x14ac:dyDescent="0.25">
      <c r="M16009" s="34">
        <f t="shared" si="426"/>
        <v>0</v>
      </c>
    </row>
    <row r="16010" spans="13:13" x14ac:dyDescent="0.25">
      <c r="M16010" s="34">
        <f t="shared" si="426"/>
        <v>0</v>
      </c>
    </row>
    <row r="16011" spans="13:13" x14ac:dyDescent="0.25">
      <c r="M16011" s="34">
        <f t="shared" si="426"/>
        <v>0</v>
      </c>
    </row>
    <row r="16012" spans="13:13" x14ac:dyDescent="0.25">
      <c r="M16012" s="34">
        <f t="shared" si="426"/>
        <v>0</v>
      </c>
    </row>
    <row r="16013" spans="13:13" x14ac:dyDescent="0.25">
      <c r="M16013" s="34">
        <f t="shared" si="426"/>
        <v>0</v>
      </c>
    </row>
    <row r="16014" spans="13:13" x14ac:dyDescent="0.25">
      <c r="M16014" s="34">
        <f t="shared" si="426"/>
        <v>0</v>
      </c>
    </row>
    <row r="16015" spans="13:13" x14ac:dyDescent="0.25">
      <c r="M16015" s="34">
        <f t="shared" si="426"/>
        <v>0</v>
      </c>
    </row>
    <row r="16016" spans="13:13" x14ac:dyDescent="0.25">
      <c r="M16016" s="34">
        <f t="shared" si="426"/>
        <v>0</v>
      </c>
    </row>
    <row r="16017" spans="13:13" x14ac:dyDescent="0.25">
      <c r="M16017" s="34">
        <f t="shared" si="426"/>
        <v>0</v>
      </c>
    </row>
    <row r="16018" spans="13:13" x14ac:dyDescent="0.25">
      <c r="M16018" s="34">
        <f t="shared" si="426"/>
        <v>0</v>
      </c>
    </row>
    <row r="16019" spans="13:13" x14ac:dyDescent="0.25">
      <c r="M16019" s="34">
        <f t="shared" si="426"/>
        <v>0</v>
      </c>
    </row>
    <row r="16020" spans="13:13" x14ac:dyDescent="0.25">
      <c r="M16020" s="34">
        <f t="shared" si="426"/>
        <v>0</v>
      </c>
    </row>
    <row r="16021" spans="13:13" x14ac:dyDescent="0.25">
      <c r="M16021" s="34">
        <f t="shared" si="426"/>
        <v>0</v>
      </c>
    </row>
    <row r="16022" spans="13:13" x14ac:dyDescent="0.25">
      <c r="M16022" s="34">
        <f t="shared" si="426"/>
        <v>0</v>
      </c>
    </row>
    <row r="16023" spans="13:13" x14ac:dyDescent="0.25">
      <c r="M16023" s="34">
        <f t="shared" si="426"/>
        <v>0</v>
      </c>
    </row>
    <row r="16024" spans="13:13" x14ac:dyDescent="0.25">
      <c r="M16024" s="34">
        <f t="shared" si="426"/>
        <v>0</v>
      </c>
    </row>
    <row r="16025" spans="13:13" x14ac:dyDescent="0.25">
      <c r="M16025" s="34">
        <f t="shared" si="426"/>
        <v>0</v>
      </c>
    </row>
    <row r="16026" spans="13:13" x14ac:dyDescent="0.25">
      <c r="M16026" s="34">
        <f t="shared" si="426"/>
        <v>0</v>
      </c>
    </row>
    <row r="16027" spans="13:13" x14ac:dyDescent="0.25">
      <c r="M16027" s="34">
        <f t="shared" si="426"/>
        <v>0</v>
      </c>
    </row>
    <row r="16028" spans="13:13" x14ac:dyDescent="0.25">
      <c r="M16028" s="34">
        <f t="shared" si="426"/>
        <v>0</v>
      </c>
    </row>
    <row r="16029" spans="13:13" x14ac:dyDescent="0.25">
      <c r="M16029" s="34">
        <f t="shared" si="426"/>
        <v>0</v>
      </c>
    </row>
    <row r="16030" spans="13:13" x14ac:dyDescent="0.25">
      <c r="M16030" s="34">
        <f t="shared" si="426"/>
        <v>0</v>
      </c>
    </row>
    <row r="16031" spans="13:13" x14ac:dyDescent="0.25">
      <c r="M16031" s="34">
        <f t="shared" si="426"/>
        <v>0</v>
      </c>
    </row>
    <row r="16032" spans="13:13" x14ac:dyDescent="0.25">
      <c r="M16032" s="34">
        <f t="shared" si="426"/>
        <v>0</v>
      </c>
    </row>
    <row r="16033" spans="13:13" x14ac:dyDescent="0.25">
      <c r="M16033" s="34">
        <f t="shared" si="426"/>
        <v>0</v>
      </c>
    </row>
    <row r="16034" spans="13:13" x14ac:dyDescent="0.25">
      <c r="M16034" s="34">
        <f t="shared" si="426"/>
        <v>0</v>
      </c>
    </row>
    <row r="16035" spans="13:13" x14ac:dyDescent="0.25">
      <c r="M16035" s="34">
        <f t="shared" si="426"/>
        <v>0</v>
      </c>
    </row>
    <row r="16036" spans="13:13" x14ac:dyDescent="0.25">
      <c r="M16036" s="34">
        <f t="shared" si="426"/>
        <v>0</v>
      </c>
    </row>
    <row r="16037" spans="13:13" x14ac:dyDescent="0.25">
      <c r="M16037" s="34">
        <f t="shared" si="426"/>
        <v>0</v>
      </c>
    </row>
    <row r="16038" spans="13:13" x14ac:dyDescent="0.25">
      <c r="M16038" s="34">
        <f t="shared" si="426"/>
        <v>0</v>
      </c>
    </row>
    <row r="16039" spans="13:13" x14ac:dyDescent="0.25">
      <c r="M16039" s="34">
        <f t="shared" si="426"/>
        <v>0</v>
      </c>
    </row>
    <row r="16040" spans="13:13" x14ac:dyDescent="0.25">
      <c r="M16040" s="34">
        <f t="shared" si="426"/>
        <v>0</v>
      </c>
    </row>
    <row r="16041" spans="13:13" x14ac:dyDescent="0.25">
      <c r="M16041" s="34">
        <f t="shared" si="426"/>
        <v>0</v>
      </c>
    </row>
    <row r="16042" spans="13:13" x14ac:dyDescent="0.25">
      <c r="M16042" s="34">
        <f t="shared" si="426"/>
        <v>0</v>
      </c>
    </row>
    <row r="16043" spans="13:13" x14ac:dyDescent="0.25">
      <c r="M16043" s="34">
        <f t="shared" si="426"/>
        <v>0</v>
      </c>
    </row>
    <row r="16044" spans="13:13" x14ac:dyDescent="0.25">
      <c r="M16044" s="34">
        <f t="shared" si="426"/>
        <v>0</v>
      </c>
    </row>
    <row r="16045" spans="13:13" x14ac:dyDescent="0.25">
      <c r="M16045" s="34">
        <f t="shared" si="426"/>
        <v>0</v>
      </c>
    </row>
    <row r="16046" spans="13:13" x14ac:dyDescent="0.25">
      <c r="M16046" s="34">
        <f t="shared" si="426"/>
        <v>0</v>
      </c>
    </row>
    <row r="16047" spans="13:13" x14ac:dyDescent="0.25">
      <c r="M16047" s="34">
        <f t="shared" si="426"/>
        <v>0</v>
      </c>
    </row>
    <row r="16048" spans="13:13" x14ac:dyDescent="0.25">
      <c r="M16048" s="34">
        <f t="shared" si="426"/>
        <v>0</v>
      </c>
    </row>
    <row r="16049" spans="13:13" x14ac:dyDescent="0.25">
      <c r="M16049" s="34">
        <f t="shared" si="426"/>
        <v>0</v>
      </c>
    </row>
    <row r="16050" spans="13:13" x14ac:dyDescent="0.25">
      <c r="M16050" s="34">
        <f t="shared" si="426"/>
        <v>0</v>
      </c>
    </row>
    <row r="16051" spans="13:13" x14ac:dyDescent="0.25">
      <c r="M16051" s="34">
        <f t="shared" si="426"/>
        <v>0</v>
      </c>
    </row>
    <row r="16052" spans="13:13" x14ac:dyDescent="0.25">
      <c r="M16052" s="34">
        <f t="shared" si="426"/>
        <v>0</v>
      </c>
    </row>
    <row r="16053" spans="13:13" x14ac:dyDescent="0.25">
      <c r="M16053" s="34">
        <f t="shared" si="426"/>
        <v>0</v>
      </c>
    </row>
    <row r="16054" spans="13:13" x14ac:dyDescent="0.25">
      <c r="M16054" s="34">
        <f t="shared" si="426"/>
        <v>0</v>
      </c>
    </row>
    <row r="16055" spans="13:13" x14ac:dyDescent="0.25">
      <c r="M16055" s="34">
        <f t="shared" si="426"/>
        <v>0</v>
      </c>
    </row>
    <row r="16056" spans="13:13" x14ac:dyDescent="0.25">
      <c r="M16056" s="34">
        <f t="shared" si="426"/>
        <v>0</v>
      </c>
    </row>
    <row r="16057" spans="13:13" x14ac:dyDescent="0.25">
      <c r="M16057" s="34">
        <f t="shared" si="426"/>
        <v>0</v>
      </c>
    </row>
    <row r="16058" spans="13:13" x14ac:dyDescent="0.25">
      <c r="M16058" s="34">
        <f t="shared" si="426"/>
        <v>0</v>
      </c>
    </row>
    <row r="16059" spans="13:13" x14ac:dyDescent="0.25">
      <c r="M16059" s="34">
        <f t="shared" si="426"/>
        <v>0</v>
      </c>
    </row>
    <row r="16060" spans="13:13" x14ac:dyDescent="0.25">
      <c r="M16060" s="34">
        <f t="shared" si="426"/>
        <v>0</v>
      </c>
    </row>
    <row r="16061" spans="13:13" x14ac:dyDescent="0.25">
      <c r="M16061" s="34">
        <f t="shared" si="426"/>
        <v>0</v>
      </c>
    </row>
    <row r="16062" spans="13:13" x14ac:dyDescent="0.25">
      <c r="M16062" s="34">
        <f t="shared" si="426"/>
        <v>0</v>
      </c>
    </row>
    <row r="16063" spans="13:13" x14ac:dyDescent="0.25">
      <c r="M16063" s="34">
        <f t="shared" si="426"/>
        <v>0</v>
      </c>
    </row>
    <row r="16064" spans="13:13" x14ac:dyDescent="0.25">
      <c r="M16064" s="34">
        <f t="shared" si="426"/>
        <v>0</v>
      </c>
    </row>
    <row r="16065" spans="13:13" x14ac:dyDescent="0.25">
      <c r="M16065" s="34">
        <f t="shared" si="426"/>
        <v>0</v>
      </c>
    </row>
    <row r="16066" spans="13:13" x14ac:dyDescent="0.25">
      <c r="M16066" s="34">
        <f t="shared" si="426"/>
        <v>0</v>
      </c>
    </row>
    <row r="16067" spans="13:13" x14ac:dyDescent="0.25">
      <c r="M16067" s="34">
        <f t="shared" ref="M16067:M16130" si="427">IF(AND(E16067="Chèque",G16067="RECETTE"),F16067,0)</f>
        <v>0</v>
      </c>
    </row>
    <row r="16068" spans="13:13" x14ac:dyDescent="0.25">
      <c r="M16068" s="34">
        <f t="shared" si="427"/>
        <v>0</v>
      </c>
    </row>
    <row r="16069" spans="13:13" x14ac:dyDescent="0.25">
      <c r="M16069" s="34">
        <f t="shared" si="427"/>
        <v>0</v>
      </c>
    </row>
    <row r="16070" spans="13:13" x14ac:dyDescent="0.25">
      <c r="M16070" s="34">
        <f t="shared" si="427"/>
        <v>0</v>
      </c>
    </row>
    <row r="16071" spans="13:13" x14ac:dyDescent="0.25">
      <c r="M16071" s="34">
        <f t="shared" si="427"/>
        <v>0</v>
      </c>
    </row>
    <row r="16072" spans="13:13" x14ac:dyDescent="0.25">
      <c r="M16072" s="34">
        <f t="shared" si="427"/>
        <v>0</v>
      </c>
    </row>
    <row r="16073" spans="13:13" x14ac:dyDescent="0.25">
      <c r="M16073" s="34">
        <f t="shared" si="427"/>
        <v>0</v>
      </c>
    </row>
    <row r="16074" spans="13:13" x14ac:dyDescent="0.25">
      <c r="M16074" s="34">
        <f t="shared" si="427"/>
        <v>0</v>
      </c>
    </row>
    <row r="16075" spans="13:13" x14ac:dyDescent="0.25">
      <c r="M16075" s="34">
        <f t="shared" si="427"/>
        <v>0</v>
      </c>
    </row>
    <row r="16076" spans="13:13" x14ac:dyDescent="0.25">
      <c r="M16076" s="34">
        <f t="shared" si="427"/>
        <v>0</v>
      </c>
    </row>
    <row r="16077" spans="13:13" x14ac:dyDescent="0.25">
      <c r="M16077" s="34">
        <f t="shared" si="427"/>
        <v>0</v>
      </c>
    </row>
    <row r="16078" spans="13:13" x14ac:dyDescent="0.25">
      <c r="M16078" s="34">
        <f t="shared" si="427"/>
        <v>0</v>
      </c>
    </row>
    <row r="16079" spans="13:13" x14ac:dyDescent="0.25">
      <c r="M16079" s="34">
        <f t="shared" si="427"/>
        <v>0</v>
      </c>
    </row>
    <row r="16080" spans="13:13" x14ac:dyDescent="0.25">
      <c r="M16080" s="34">
        <f t="shared" si="427"/>
        <v>0</v>
      </c>
    </row>
    <row r="16081" spans="13:13" x14ac:dyDescent="0.25">
      <c r="M16081" s="34">
        <f t="shared" si="427"/>
        <v>0</v>
      </c>
    </row>
    <row r="16082" spans="13:13" x14ac:dyDescent="0.25">
      <c r="M16082" s="34">
        <f t="shared" si="427"/>
        <v>0</v>
      </c>
    </row>
    <row r="16083" spans="13:13" x14ac:dyDescent="0.25">
      <c r="M16083" s="34">
        <f t="shared" si="427"/>
        <v>0</v>
      </c>
    </row>
    <row r="16084" spans="13:13" x14ac:dyDescent="0.25">
      <c r="M16084" s="34">
        <f t="shared" si="427"/>
        <v>0</v>
      </c>
    </row>
    <row r="16085" spans="13:13" x14ac:dyDescent="0.25">
      <c r="M16085" s="34">
        <f t="shared" si="427"/>
        <v>0</v>
      </c>
    </row>
    <row r="16086" spans="13:13" x14ac:dyDescent="0.25">
      <c r="M16086" s="34">
        <f t="shared" si="427"/>
        <v>0</v>
      </c>
    </row>
    <row r="16087" spans="13:13" x14ac:dyDescent="0.25">
      <c r="M16087" s="34">
        <f t="shared" si="427"/>
        <v>0</v>
      </c>
    </row>
    <row r="16088" spans="13:13" x14ac:dyDescent="0.25">
      <c r="M16088" s="34">
        <f t="shared" si="427"/>
        <v>0</v>
      </c>
    </row>
    <row r="16089" spans="13:13" x14ac:dyDescent="0.25">
      <c r="M16089" s="34">
        <f t="shared" si="427"/>
        <v>0</v>
      </c>
    </row>
    <row r="16090" spans="13:13" x14ac:dyDescent="0.25">
      <c r="M16090" s="34">
        <f t="shared" si="427"/>
        <v>0</v>
      </c>
    </row>
    <row r="16091" spans="13:13" x14ac:dyDescent="0.25">
      <c r="M16091" s="34">
        <f t="shared" si="427"/>
        <v>0</v>
      </c>
    </row>
    <row r="16092" spans="13:13" x14ac:dyDescent="0.25">
      <c r="M16092" s="34">
        <f t="shared" si="427"/>
        <v>0</v>
      </c>
    </row>
    <row r="16093" spans="13:13" x14ac:dyDescent="0.25">
      <c r="M16093" s="34">
        <f t="shared" si="427"/>
        <v>0</v>
      </c>
    </row>
    <row r="16094" spans="13:13" x14ac:dyDescent="0.25">
      <c r="M16094" s="34">
        <f t="shared" si="427"/>
        <v>0</v>
      </c>
    </row>
    <row r="16095" spans="13:13" x14ac:dyDescent="0.25">
      <c r="M16095" s="34">
        <f t="shared" si="427"/>
        <v>0</v>
      </c>
    </row>
    <row r="16096" spans="13:13" x14ac:dyDescent="0.25">
      <c r="M16096" s="34">
        <f t="shared" si="427"/>
        <v>0</v>
      </c>
    </row>
    <row r="16097" spans="13:13" x14ac:dyDescent="0.25">
      <c r="M16097" s="34">
        <f t="shared" si="427"/>
        <v>0</v>
      </c>
    </row>
    <row r="16098" spans="13:13" x14ac:dyDescent="0.25">
      <c r="M16098" s="34">
        <f t="shared" si="427"/>
        <v>0</v>
      </c>
    </row>
    <row r="16099" spans="13:13" x14ac:dyDescent="0.25">
      <c r="M16099" s="34">
        <f t="shared" si="427"/>
        <v>0</v>
      </c>
    </row>
    <row r="16100" spans="13:13" x14ac:dyDescent="0.25">
      <c r="M16100" s="34">
        <f t="shared" si="427"/>
        <v>0</v>
      </c>
    </row>
    <row r="16101" spans="13:13" x14ac:dyDescent="0.25">
      <c r="M16101" s="34">
        <f t="shared" si="427"/>
        <v>0</v>
      </c>
    </row>
    <row r="16102" spans="13:13" x14ac:dyDescent="0.25">
      <c r="M16102" s="34">
        <f t="shared" si="427"/>
        <v>0</v>
      </c>
    </row>
    <row r="16103" spans="13:13" x14ac:dyDescent="0.25">
      <c r="M16103" s="34">
        <f t="shared" si="427"/>
        <v>0</v>
      </c>
    </row>
    <row r="16104" spans="13:13" x14ac:dyDescent="0.25">
      <c r="M16104" s="34">
        <f t="shared" si="427"/>
        <v>0</v>
      </c>
    </row>
    <row r="16105" spans="13:13" x14ac:dyDescent="0.25">
      <c r="M16105" s="34">
        <f t="shared" si="427"/>
        <v>0</v>
      </c>
    </row>
    <row r="16106" spans="13:13" x14ac:dyDescent="0.25">
      <c r="M16106" s="34">
        <f t="shared" si="427"/>
        <v>0</v>
      </c>
    </row>
    <row r="16107" spans="13:13" x14ac:dyDescent="0.25">
      <c r="M16107" s="34">
        <f t="shared" si="427"/>
        <v>0</v>
      </c>
    </row>
    <row r="16108" spans="13:13" x14ac:dyDescent="0.25">
      <c r="M16108" s="34">
        <f t="shared" si="427"/>
        <v>0</v>
      </c>
    </row>
    <row r="16109" spans="13:13" x14ac:dyDescent="0.25">
      <c r="M16109" s="34">
        <f t="shared" si="427"/>
        <v>0</v>
      </c>
    </row>
    <row r="16110" spans="13:13" x14ac:dyDescent="0.25">
      <c r="M16110" s="34">
        <f t="shared" si="427"/>
        <v>0</v>
      </c>
    </row>
    <row r="16111" spans="13:13" x14ac:dyDescent="0.25">
      <c r="M16111" s="34">
        <f t="shared" si="427"/>
        <v>0</v>
      </c>
    </row>
    <row r="16112" spans="13:13" x14ac:dyDescent="0.25">
      <c r="M16112" s="34">
        <f t="shared" si="427"/>
        <v>0</v>
      </c>
    </row>
    <row r="16113" spans="13:13" x14ac:dyDescent="0.25">
      <c r="M16113" s="34">
        <f t="shared" si="427"/>
        <v>0</v>
      </c>
    </row>
    <row r="16114" spans="13:13" x14ac:dyDescent="0.25">
      <c r="M16114" s="34">
        <f t="shared" si="427"/>
        <v>0</v>
      </c>
    </row>
    <row r="16115" spans="13:13" x14ac:dyDescent="0.25">
      <c r="M16115" s="34">
        <f t="shared" si="427"/>
        <v>0</v>
      </c>
    </row>
    <row r="16116" spans="13:13" x14ac:dyDescent="0.25">
      <c r="M16116" s="34">
        <f t="shared" si="427"/>
        <v>0</v>
      </c>
    </row>
    <row r="16117" spans="13:13" x14ac:dyDescent="0.25">
      <c r="M16117" s="34">
        <f t="shared" si="427"/>
        <v>0</v>
      </c>
    </row>
    <row r="16118" spans="13:13" x14ac:dyDescent="0.25">
      <c r="M16118" s="34">
        <f t="shared" si="427"/>
        <v>0</v>
      </c>
    </row>
    <row r="16119" spans="13:13" x14ac:dyDescent="0.25">
      <c r="M16119" s="34">
        <f t="shared" si="427"/>
        <v>0</v>
      </c>
    </row>
    <row r="16120" spans="13:13" x14ac:dyDescent="0.25">
      <c r="M16120" s="34">
        <f t="shared" si="427"/>
        <v>0</v>
      </c>
    </row>
    <row r="16121" spans="13:13" x14ac:dyDescent="0.25">
      <c r="M16121" s="34">
        <f t="shared" si="427"/>
        <v>0</v>
      </c>
    </row>
    <row r="16122" spans="13:13" x14ac:dyDescent="0.25">
      <c r="M16122" s="34">
        <f t="shared" si="427"/>
        <v>0</v>
      </c>
    </row>
    <row r="16123" spans="13:13" x14ac:dyDescent="0.25">
      <c r="M16123" s="34">
        <f t="shared" si="427"/>
        <v>0</v>
      </c>
    </row>
    <row r="16124" spans="13:13" x14ac:dyDescent="0.25">
      <c r="M16124" s="34">
        <f t="shared" si="427"/>
        <v>0</v>
      </c>
    </row>
    <row r="16125" spans="13:13" x14ac:dyDescent="0.25">
      <c r="M16125" s="34">
        <f t="shared" si="427"/>
        <v>0</v>
      </c>
    </row>
    <row r="16126" spans="13:13" x14ac:dyDescent="0.25">
      <c r="M16126" s="34">
        <f t="shared" si="427"/>
        <v>0</v>
      </c>
    </row>
    <row r="16127" spans="13:13" x14ac:dyDescent="0.25">
      <c r="M16127" s="34">
        <f t="shared" si="427"/>
        <v>0</v>
      </c>
    </row>
    <row r="16128" spans="13:13" x14ac:dyDescent="0.25">
      <c r="M16128" s="34">
        <f t="shared" si="427"/>
        <v>0</v>
      </c>
    </row>
    <row r="16129" spans="13:13" x14ac:dyDescent="0.25">
      <c r="M16129" s="34">
        <f t="shared" si="427"/>
        <v>0</v>
      </c>
    </row>
    <row r="16130" spans="13:13" x14ac:dyDescent="0.25">
      <c r="M16130" s="34">
        <f t="shared" si="427"/>
        <v>0</v>
      </c>
    </row>
    <row r="16131" spans="13:13" x14ac:dyDescent="0.25">
      <c r="M16131" s="34">
        <f t="shared" ref="M16131:M16194" si="428">IF(AND(E16131="Chèque",G16131="RECETTE"),F16131,0)</f>
        <v>0</v>
      </c>
    </row>
    <row r="16132" spans="13:13" x14ac:dyDescent="0.25">
      <c r="M16132" s="34">
        <f t="shared" si="428"/>
        <v>0</v>
      </c>
    </row>
    <row r="16133" spans="13:13" x14ac:dyDescent="0.25">
      <c r="M16133" s="34">
        <f t="shared" si="428"/>
        <v>0</v>
      </c>
    </row>
    <row r="16134" spans="13:13" x14ac:dyDescent="0.25">
      <c r="M16134" s="34">
        <f t="shared" si="428"/>
        <v>0</v>
      </c>
    </row>
    <row r="16135" spans="13:13" x14ac:dyDescent="0.25">
      <c r="M16135" s="34">
        <f t="shared" si="428"/>
        <v>0</v>
      </c>
    </row>
    <row r="16136" spans="13:13" x14ac:dyDescent="0.25">
      <c r="M16136" s="34">
        <f t="shared" si="428"/>
        <v>0</v>
      </c>
    </row>
    <row r="16137" spans="13:13" x14ac:dyDescent="0.25">
      <c r="M16137" s="34">
        <f t="shared" si="428"/>
        <v>0</v>
      </c>
    </row>
    <row r="16138" spans="13:13" x14ac:dyDescent="0.25">
      <c r="M16138" s="34">
        <f t="shared" si="428"/>
        <v>0</v>
      </c>
    </row>
    <row r="16139" spans="13:13" x14ac:dyDescent="0.25">
      <c r="M16139" s="34">
        <f t="shared" si="428"/>
        <v>0</v>
      </c>
    </row>
    <row r="16140" spans="13:13" x14ac:dyDescent="0.25">
      <c r="M16140" s="34">
        <f t="shared" si="428"/>
        <v>0</v>
      </c>
    </row>
    <row r="16141" spans="13:13" x14ac:dyDescent="0.25">
      <c r="M16141" s="34">
        <f t="shared" si="428"/>
        <v>0</v>
      </c>
    </row>
    <row r="16142" spans="13:13" x14ac:dyDescent="0.25">
      <c r="M16142" s="34">
        <f t="shared" si="428"/>
        <v>0</v>
      </c>
    </row>
    <row r="16143" spans="13:13" x14ac:dyDescent="0.25">
      <c r="M16143" s="34">
        <f t="shared" si="428"/>
        <v>0</v>
      </c>
    </row>
    <row r="16144" spans="13:13" x14ac:dyDescent="0.25">
      <c r="M16144" s="34">
        <f t="shared" si="428"/>
        <v>0</v>
      </c>
    </row>
    <row r="16145" spans="13:13" x14ac:dyDescent="0.25">
      <c r="M16145" s="34">
        <f t="shared" si="428"/>
        <v>0</v>
      </c>
    </row>
    <row r="16146" spans="13:13" x14ac:dyDescent="0.25">
      <c r="M16146" s="34">
        <f t="shared" si="428"/>
        <v>0</v>
      </c>
    </row>
    <row r="16147" spans="13:13" x14ac:dyDescent="0.25">
      <c r="M16147" s="34">
        <f t="shared" si="428"/>
        <v>0</v>
      </c>
    </row>
    <row r="16148" spans="13:13" x14ac:dyDescent="0.25">
      <c r="M16148" s="34">
        <f t="shared" si="428"/>
        <v>0</v>
      </c>
    </row>
    <row r="16149" spans="13:13" x14ac:dyDescent="0.25">
      <c r="M16149" s="34">
        <f t="shared" si="428"/>
        <v>0</v>
      </c>
    </row>
    <row r="16150" spans="13:13" x14ac:dyDescent="0.25">
      <c r="M16150" s="34">
        <f t="shared" si="428"/>
        <v>0</v>
      </c>
    </row>
    <row r="16151" spans="13:13" x14ac:dyDescent="0.25">
      <c r="M16151" s="34">
        <f t="shared" si="428"/>
        <v>0</v>
      </c>
    </row>
    <row r="16152" spans="13:13" x14ac:dyDescent="0.25">
      <c r="M16152" s="34">
        <f t="shared" si="428"/>
        <v>0</v>
      </c>
    </row>
    <row r="16153" spans="13:13" x14ac:dyDescent="0.25">
      <c r="M16153" s="34">
        <f t="shared" si="428"/>
        <v>0</v>
      </c>
    </row>
    <row r="16154" spans="13:13" x14ac:dyDescent="0.25">
      <c r="M16154" s="34">
        <f t="shared" si="428"/>
        <v>0</v>
      </c>
    </row>
    <row r="16155" spans="13:13" x14ac:dyDescent="0.25">
      <c r="M16155" s="34">
        <f t="shared" si="428"/>
        <v>0</v>
      </c>
    </row>
    <row r="16156" spans="13:13" x14ac:dyDescent="0.25">
      <c r="M16156" s="34">
        <f t="shared" si="428"/>
        <v>0</v>
      </c>
    </row>
    <row r="16157" spans="13:13" x14ac:dyDescent="0.25">
      <c r="M16157" s="34">
        <f t="shared" si="428"/>
        <v>0</v>
      </c>
    </row>
    <row r="16158" spans="13:13" x14ac:dyDescent="0.25">
      <c r="M16158" s="34">
        <f t="shared" si="428"/>
        <v>0</v>
      </c>
    </row>
    <row r="16159" spans="13:13" x14ac:dyDescent="0.25">
      <c r="M16159" s="34">
        <f t="shared" si="428"/>
        <v>0</v>
      </c>
    </row>
    <row r="16160" spans="13:13" x14ac:dyDescent="0.25">
      <c r="M16160" s="34">
        <f t="shared" si="428"/>
        <v>0</v>
      </c>
    </row>
    <row r="16161" spans="13:13" x14ac:dyDescent="0.25">
      <c r="M16161" s="34">
        <f t="shared" si="428"/>
        <v>0</v>
      </c>
    </row>
    <row r="16162" spans="13:13" x14ac:dyDescent="0.25">
      <c r="M16162" s="34">
        <f t="shared" si="428"/>
        <v>0</v>
      </c>
    </row>
    <row r="16163" spans="13:13" x14ac:dyDescent="0.25">
      <c r="M16163" s="34">
        <f t="shared" si="428"/>
        <v>0</v>
      </c>
    </row>
    <row r="16164" spans="13:13" x14ac:dyDescent="0.25">
      <c r="M16164" s="34">
        <f t="shared" si="428"/>
        <v>0</v>
      </c>
    </row>
    <row r="16165" spans="13:13" x14ac:dyDescent="0.25">
      <c r="M16165" s="34">
        <f t="shared" si="428"/>
        <v>0</v>
      </c>
    </row>
    <row r="16166" spans="13:13" x14ac:dyDescent="0.25">
      <c r="M16166" s="34">
        <f t="shared" si="428"/>
        <v>0</v>
      </c>
    </row>
    <row r="16167" spans="13:13" x14ac:dyDescent="0.25">
      <c r="M16167" s="34">
        <f t="shared" si="428"/>
        <v>0</v>
      </c>
    </row>
    <row r="16168" spans="13:13" x14ac:dyDescent="0.25">
      <c r="M16168" s="34">
        <f t="shared" si="428"/>
        <v>0</v>
      </c>
    </row>
    <row r="16169" spans="13:13" x14ac:dyDescent="0.25">
      <c r="M16169" s="34">
        <f t="shared" si="428"/>
        <v>0</v>
      </c>
    </row>
    <row r="16170" spans="13:13" x14ac:dyDescent="0.25">
      <c r="M16170" s="34">
        <f t="shared" si="428"/>
        <v>0</v>
      </c>
    </row>
    <row r="16171" spans="13:13" x14ac:dyDescent="0.25">
      <c r="M16171" s="34">
        <f t="shared" si="428"/>
        <v>0</v>
      </c>
    </row>
    <row r="16172" spans="13:13" x14ac:dyDescent="0.25">
      <c r="M16172" s="34">
        <f t="shared" si="428"/>
        <v>0</v>
      </c>
    </row>
    <row r="16173" spans="13:13" x14ac:dyDescent="0.25">
      <c r="M16173" s="34">
        <f t="shared" si="428"/>
        <v>0</v>
      </c>
    </row>
    <row r="16174" spans="13:13" x14ac:dyDescent="0.25">
      <c r="M16174" s="34">
        <f t="shared" si="428"/>
        <v>0</v>
      </c>
    </row>
    <row r="16175" spans="13:13" x14ac:dyDescent="0.25">
      <c r="M16175" s="34">
        <f t="shared" si="428"/>
        <v>0</v>
      </c>
    </row>
    <row r="16176" spans="13:13" x14ac:dyDescent="0.25">
      <c r="M16176" s="34">
        <f t="shared" si="428"/>
        <v>0</v>
      </c>
    </row>
    <row r="16177" spans="13:13" x14ac:dyDescent="0.25">
      <c r="M16177" s="34">
        <f t="shared" si="428"/>
        <v>0</v>
      </c>
    </row>
    <row r="16178" spans="13:13" x14ac:dyDescent="0.25">
      <c r="M16178" s="34">
        <f t="shared" si="428"/>
        <v>0</v>
      </c>
    </row>
    <row r="16179" spans="13:13" x14ac:dyDescent="0.25">
      <c r="M16179" s="34">
        <f t="shared" si="428"/>
        <v>0</v>
      </c>
    </row>
    <row r="16180" spans="13:13" x14ac:dyDescent="0.25">
      <c r="M16180" s="34">
        <f t="shared" si="428"/>
        <v>0</v>
      </c>
    </row>
    <row r="16181" spans="13:13" x14ac:dyDescent="0.25">
      <c r="M16181" s="34">
        <f t="shared" si="428"/>
        <v>0</v>
      </c>
    </row>
    <row r="16182" spans="13:13" x14ac:dyDescent="0.25">
      <c r="M16182" s="34">
        <f t="shared" si="428"/>
        <v>0</v>
      </c>
    </row>
    <row r="16183" spans="13:13" x14ac:dyDescent="0.25">
      <c r="M16183" s="34">
        <f t="shared" si="428"/>
        <v>0</v>
      </c>
    </row>
    <row r="16184" spans="13:13" x14ac:dyDescent="0.25">
      <c r="M16184" s="34">
        <f t="shared" si="428"/>
        <v>0</v>
      </c>
    </row>
    <row r="16185" spans="13:13" x14ac:dyDescent="0.25">
      <c r="M16185" s="34">
        <f t="shared" si="428"/>
        <v>0</v>
      </c>
    </row>
    <row r="16186" spans="13:13" x14ac:dyDescent="0.25">
      <c r="M16186" s="34">
        <f t="shared" si="428"/>
        <v>0</v>
      </c>
    </row>
    <row r="16187" spans="13:13" x14ac:dyDescent="0.25">
      <c r="M16187" s="34">
        <f t="shared" si="428"/>
        <v>0</v>
      </c>
    </row>
    <row r="16188" spans="13:13" x14ac:dyDescent="0.25">
      <c r="M16188" s="34">
        <f t="shared" si="428"/>
        <v>0</v>
      </c>
    </row>
    <row r="16189" spans="13:13" x14ac:dyDescent="0.25">
      <c r="M16189" s="34">
        <f t="shared" si="428"/>
        <v>0</v>
      </c>
    </row>
    <row r="16190" spans="13:13" x14ac:dyDescent="0.25">
      <c r="M16190" s="34">
        <f t="shared" si="428"/>
        <v>0</v>
      </c>
    </row>
    <row r="16191" spans="13:13" x14ac:dyDescent="0.25">
      <c r="M16191" s="34">
        <f t="shared" si="428"/>
        <v>0</v>
      </c>
    </row>
    <row r="16192" spans="13:13" x14ac:dyDescent="0.25">
      <c r="M16192" s="34">
        <f t="shared" si="428"/>
        <v>0</v>
      </c>
    </row>
    <row r="16193" spans="13:13" x14ac:dyDescent="0.25">
      <c r="M16193" s="34">
        <f t="shared" si="428"/>
        <v>0</v>
      </c>
    </row>
    <row r="16194" spans="13:13" x14ac:dyDescent="0.25">
      <c r="M16194" s="34">
        <f t="shared" si="428"/>
        <v>0</v>
      </c>
    </row>
    <row r="16195" spans="13:13" x14ac:dyDescent="0.25">
      <c r="M16195" s="34">
        <f t="shared" ref="M16195:M16258" si="429">IF(AND(E16195="Chèque",G16195="RECETTE"),F16195,0)</f>
        <v>0</v>
      </c>
    </row>
    <row r="16196" spans="13:13" x14ac:dyDescent="0.25">
      <c r="M16196" s="34">
        <f t="shared" si="429"/>
        <v>0</v>
      </c>
    </row>
    <row r="16197" spans="13:13" x14ac:dyDescent="0.25">
      <c r="M16197" s="34">
        <f t="shared" si="429"/>
        <v>0</v>
      </c>
    </row>
    <row r="16198" spans="13:13" x14ac:dyDescent="0.25">
      <c r="M16198" s="34">
        <f t="shared" si="429"/>
        <v>0</v>
      </c>
    </row>
    <row r="16199" spans="13:13" x14ac:dyDescent="0.25">
      <c r="M16199" s="34">
        <f t="shared" si="429"/>
        <v>0</v>
      </c>
    </row>
    <row r="16200" spans="13:13" x14ac:dyDescent="0.25">
      <c r="M16200" s="34">
        <f t="shared" si="429"/>
        <v>0</v>
      </c>
    </row>
    <row r="16201" spans="13:13" x14ac:dyDescent="0.25">
      <c r="M16201" s="34">
        <f t="shared" si="429"/>
        <v>0</v>
      </c>
    </row>
    <row r="16202" spans="13:13" x14ac:dyDescent="0.25">
      <c r="M16202" s="34">
        <f t="shared" si="429"/>
        <v>0</v>
      </c>
    </row>
    <row r="16203" spans="13:13" x14ac:dyDescent="0.25">
      <c r="M16203" s="34">
        <f t="shared" si="429"/>
        <v>0</v>
      </c>
    </row>
    <row r="16204" spans="13:13" x14ac:dyDescent="0.25">
      <c r="M16204" s="34">
        <f t="shared" si="429"/>
        <v>0</v>
      </c>
    </row>
    <row r="16205" spans="13:13" x14ac:dyDescent="0.25">
      <c r="M16205" s="34">
        <f t="shared" si="429"/>
        <v>0</v>
      </c>
    </row>
    <row r="16206" spans="13:13" x14ac:dyDescent="0.25">
      <c r="M16206" s="34">
        <f t="shared" si="429"/>
        <v>0</v>
      </c>
    </row>
    <row r="16207" spans="13:13" x14ac:dyDescent="0.25">
      <c r="M16207" s="34">
        <f t="shared" si="429"/>
        <v>0</v>
      </c>
    </row>
    <row r="16208" spans="13:13" x14ac:dyDescent="0.25">
      <c r="M16208" s="34">
        <f t="shared" si="429"/>
        <v>0</v>
      </c>
    </row>
    <row r="16209" spans="13:13" x14ac:dyDescent="0.25">
      <c r="M16209" s="34">
        <f t="shared" si="429"/>
        <v>0</v>
      </c>
    </row>
    <row r="16210" spans="13:13" x14ac:dyDescent="0.25">
      <c r="M16210" s="34">
        <f t="shared" si="429"/>
        <v>0</v>
      </c>
    </row>
    <row r="16211" spans="13:13" x14ac:dyDescent="0.25">
      <c r="M16211" s="34">
        <f t="shared" si="429"/>
        <v>0</v>
      </c>
    </row>
    <row r="16212" spans="13:13" x14ac:dyDescent="0.25">
      <c r="M16212" s="34">
        <f t="shared" si="429"/>
        <v>0</v>
      </c>
    </row>
    <row r="16213" spans="13:13" x14ac:dyDescent="0.25">
      <c r="M16213" s="34">
        <f t="shared" si="429"/>
        <v>0</v>
      </c>
    </row>
    <row r="16214" spans="13:13" x14ac:dyDescent="0.25">
      <c r="M16214" s="34">
        <f t="shared" si="429"/>
        <v>0</v>
      </c>
    </row>
    <row r="16215" spans="13:13" x14ac:dyDescent="0.25">
      <c r="M16215" s="34">
        <f t="shared" si="429"/>
        <v>0</v>
      </c>
    </row>
    <row r="16216" spans="13:13" x14ac:dyDescent="0.25">
      <c r="M16216" s="34">
        <f t="shared" si="429"/>
        <v>0</v>
      </c>
    </row>
    <row r="16217" spans="13:13" x14ac:dyDescent="0.25">
      <c r="M16217" s="34">
        <f t="shared" si="429"/>
        <v>0</v>
      </c>
    </row>
    <row r="16218" spans="13:13" x14ac:dyDescent="0.25">
      <c r="M16218" s="34">
        <f t="shared" si="429"/>
        <v>0</v>
      </c>
    </row>
    <row r="16219" spans="13:13" x14ac:dyDescent="0.25">
      <c r="M16219" s="34">
        <f t="shared" si="429"/>
        <v>0</v>
      </c>
    </row>
    <row r="16220" spans="13:13" x14ac:dyDescent="0.25">
      <c r="M16220" s="34">
        <f t="shared" si="429"/>
        <v>0</v>
      </c>
    </row>
    <row r="16221" spans="13:13" x14ac:dyDescent="0.25">
      <c r="M16221" s="34">
        <f t="shared" si="429"/>
        <v>0</v>
      </c>
    </row>
    <row r="16222" spans="13:13" x14ac:dyDescent="0.25">
      <c r="M16222" s="34">
        <f t="shared" si="429"/>
        <v>0</v>
      </c>
    </row>
    <row r="16223" spans="13:13" x14ac:dyDescent="0.25">
      <c r="M16223" s="34">
        <f t="shared" si="429"/>
        <v>0</v>
      </c>
    </row>
    <row r="16224" spans="13:13" x14ac:dyDescent="0.25">
      <c r="M16224" s="34">
        <f t="shared" si="429"/>
        <v>0</v>
      </c>
    </row>
    <row r="16225" spans="13:13" x14ac:dyDescent="0.25">
      <c r="M16225" s="34">
        <f t="shared" si="429"/>
        <v>0</v>
      </c>
    </row>
    <row r="16226" spans="13:13" x14ac:dyDescent="0.25">
      <c r="M16226" s="34">
        <f t="shared" si="429"/>
        <v>0</v>
      </c>
    </row>
    <row r="16227" spans="13:13" x14ac:dyDescent="0.25">
      <c r="M16227" s="34">
        <f t="shared" si="429"/>
        <v>0</v>
      </c>
    </row>
    <row r="16228" spans="13:13" x14ac:dyDescent="0.25">
      <c r="M16228" s="34">
        <f t="shared" si="429"/>
        <v>0</v>
      </c>
    </row>
    <row r="16229" spans="13:13" x14ac:dyDescent="0.25">
      <c r="M16229" s="34">
        <f t="shared" si="429"/>
        <v>0</v>
      </c>
    </row>
    <row r="16230" spans="13:13" x14ac:dyDescent="0.25">
      <c r="M16230" s="34">
        <f t="shared" si="429"/>
        <v>0</v>
      </c>
    </row>
    <row r="16231" spans="13:13" x14ac:dyDescent="0.25">
      <c r="M16231" s="34">
        <f t="shared" si="429"/>
        <v>0</v>
      </c>
    </row>
    <row r="16232" spans="13:13" x14ac:dyDescent="0.25">
      <c r="M16232" s="34">
        <f t="shared" si="429"/>
        <v>0</v>
      </c>
    </row>
    <row r="16233" spans="13:13" x14ac:dyDescent="0.25">
      <c r="M16233" s="34">
        <f t="shared" si="429"/>
        <v>0</v>
      </c>
    </row>
    <row r="16234" spans="13:13" x14ac:dyDescent="0.25">
      <c r="M16234" s="34">
        <f t="shared" si="429"/>
        <v>0</v>
      </c>
    </row>
    <row r="16235" spans="13:13" x14ac:dyDescent="0.25">
      <c r="M16235" s="34">
        <f t="shared" si="429"/>
        <v>0</v>
      </c>
    </row>
    <row r="16236" spans="13:13" x14ac:dyDescent="0.25">
      <c r="M16236" s="34">
        <f t="shared" si="429"/>
        <v>0</v>
      </c>
    </row>
    <row r="16237" spans="13:13" x14ac:dyDescent="0.25">
      <c r="M16237" s="34">
        <f t="shared" si="429"/>
        <v>0</v>
      </c>
    </row>
    <row r="16238" spans="13:13" x14ac:dyDescent="0.25">
      <c r="M16238" s="34">
        <f t="shared" si="429"/>
        <v>0</v>
      </c>
    </row>
    <row r="16239" spans="13:13" x14ac:dyDescent="0.25">
      <c r="M16239" s="34">
        <f t="shared" si="429"/>
        <v>0</v>
      </c>
    </row>
    <row r="16240" spans="13:13" x14ac:dyDescent="0.25">
      <c r="M16240" s="34">
        <f t="shared" si="429"/>
        <v>0</v>
      </c>
    </row>
    <row r="16241" spans="13:13" x14ac:dyDescent="0.25">
      <c r="M16241" s="34">
        <f t="shared" si="429"/>
        <v>0</v>
      </c>
    </row>
    <row r="16242" spans="13:13" x14ac:dyDescent="0.25">
      <c r="M16242" s="34">
        <f t="shared" si="429"/>
        <v>0</v>
      </c>
    </row>
    <row r="16243" spans="13:13" x14ac:dyDescent="0.25">
      <c r="M16243" s="34">
        <f t="shared" si="429"/>
        <v>0</v>
      </c>
    </row>
    <row r="16244" spans="13:13" x14ac:dyDescent="0.25">
      <c r="M16244" s="34">
        <f t="shared" si="429"/>
        <v>0</v>
      </c>
    </row>
    <row r="16245" spans="13:13" x14ac:dyDescent="0.25">
      <c r="M16245" s="34">
        <f t="shared" si="429"/>
        <v>0</v>
      </c>
    </row>
    <row r="16246" spans="13:13" x14ac:dyDescent="0.25">
      <c r="M16246" s="34">
        <f t="shared" si="429"/>
        <v>0</v>
      </c>
    </row>
    <row r="16247" spans="13:13" x14ac:dyDescent="0.25">
      <c r="M16247" s="34">
        <f t="shared" si="429"/>
        <v>0</v>
      </c>
    </row>
    <row r="16248" spans="13:13" x14ac:dyDescent="0.25">
      <c r="M16248" s="34">
        <f t="shared" si="429"/>
        <v>0</v>
      </c>
    </row>
    <row r="16249" spans="13:13" x14ac:dyDescent="0.25">
      <c r="M16249" s="34">
        <f t="shared" si="429"/>
        <v>0</v>
      </c>
    </row>
    <row r="16250" spans="13:13" x14ac:dyDescent="0.25">
      <c r="M16250" s="34">
        <f t="shared" si="429"/>
        <v>0</v>
      </c>
    </row>
    <row r="16251" spans="13:13" x14ac:dyDescent="0.25">
      <c r="M16251" s="34">
        <f t="shared" si="429"/>
        <v>0</v>
      </c>
    </row>
    <row r="16252" spans="13:13" x14ac:dyDescent="0.25">
      <c r="M16252" s="34">
        <f t="shared" si="429"/>
        <v>0</v>
      </c>
    </row>
    <row r="16253" spans="13:13" x14ac:dyDescent="0.25">
      <c r="M16253" s="34">
        <f t="shared" si="429"/>
        <v>0</v>
      </c>
    </row>
    <row r="16254" spans="13:13" x14ac:dyDescent="0.25">
      <c r="M16254" s="34">
        <f t="shared" si="429"/>
        <v>0</v>
      </c>
    </row>
    <row r="16255" spans="13:13" x14ac:dyDescent="0.25">
      <c r="M16255" s="34">
        <f t="shared" si="429"/>
        <v>0</v>
      </c>
    </row>
    <row r="16256" spans="13:13" x14ac:dyDescent="0.25">
      <c r="M16256" s="34">
        <f t="shared" si="429"/>
        <v>0</v>
      </c>
    </row>
    <row r="16257" spans="13:13" x14ac:dyDescent="0.25">
      <c r="M16257" s="34">
        <f t="shared" si="429"/>
        <v>0</v>
      </c>
    </row>
    <row r="16258" spans="13:13" x14ac:dyDescent="0.25">
      <c r="M16258" s="34">
        <f t="shared" si="429"/>
        <v>0</v>
      </c>
    </row>
    <row r="16259" spans="13:13" x14ac:dyDescent="0.25">
      <c r="M16259" s="34">
        <f t="shared" ref="M16259:M16322" si="430">IF(AND(E16259="Chèque",G16259="RECETTE"),F16259,0)</f>
        <v>0</v>
      </c>
    </row>
    <row r="16260" spans="13:13" x14ac:dyDescent="0.25">
      <c r="M16260" s="34">
        <f t="shared" si="430"/>
        <v>0</v>
      </c>
    </row>
    <row r="16261" spans="13:13" x14ac:dyDescent="0.25">
      <c r="M16261" s="34">
        <f t="shared" si="430"/>
        <v>0</v>
      </c>
    </row>
    <row r="16262" spans="13:13" x14ac:dyDescent="0.25">
      <c r="M16262" s="34">
        <f t="shared" si="430"/>
        <v>0</v>
      </c>
    </row>
    <row r="16263" spans="13:13" x14ac:dyDescent="0.25">
      <c r="M16263" s="34">
        <f t="shared" si="430"/>
        <v>0</v>
      </c>
    </row>
    <row r="16264" spans="13:13" x14ac:dyDescent="0.25">
      <c r="M16264" s="34">
        <f t="shared" si="430"/>
        <v>0</v>
      </c>
    </row>
    <row r="16265" spans="13:13" x14ac:dyDescent="0.25">
      <c r="M16265" s="34">
        <f t="shared" si="430"/>
        <v>0</v>
      </c>
    </row>
    <row r="16266" spans="13:13" x14ac:dyDescent="0.25">
      <c r="M16266" s="34">
        <f t="shared" si="430"/>
        <v>0</v>
      </c>
    </row>
    <row r="16267" spans="13:13" x14ac:dyDescent="0.25">
      <c r="M16267" s="34">
        <f t="shared" si="430"/>
        <v>0</v>
      </c>
    </row>
    <row r="16268" spans="13:13" x14ac:dyDescent="0.25">
      <c r="M16268" s="34">
        <f t="shared" si="430"/>
        <v>0</v>
      </c>
    </row>
    <row r="16269" spans="13:13" x14ac:dyDescent="0.25">
      <c r="M16269" s="34">
        <f t="shared" si="430"/>
        <v>0</v>
      </c>
    </row>
    <row r="16270" spans="13:13" x14ac:dyDescent="0.25">
      <c r="M16270" s="34">
        <f t="shared" si="430"/>
        <v>0</v>
      </c>
    </row>
    <row r="16271" spans="13:13" x14ac:dyDescent="0.25">
      <c r="M16271" s="34">
        <f t="shared" si="430"/>
        <v>0</v>
      </c>
    </row>
    <row r="16272" spans="13:13" x14ac:dyDescent="0.25">
      <c r="M16272" s="34">
        <f t="shared" si="430"/>
        <v>0</v>
      </c>
    </row>
    <row r="16273" spans="13:13" x14ac:dyDescent="0.25">
      <c r="M16273" s="34">
        <f t="shared" si="430"/>
        <v>0</v>
      </c>
    </row>
    <row r="16274" spans="13:13" x14ac:dyDescent="0.25">
      <c r="M16274" s="34">
        <f t="shared" si="430"/>
        <v>0</v>
      </c>
    </row>
    <row r="16275" spans="13:13" x14ac:dyDescent="0.25">
      <c r="M16275" s="34">
        <f t="shared" si="430"/>
        <v>0</v>
      </c>
    </row>
    <row r="16276" spans="13:13" x14ac:dyDescent="0.25">
      <c r="M16276" s="34">
        <f t="shared" si="430"/>
        <v>0</v>
      </c>
    </row>
    <row r="16277" spans="13:13" x14ac:dyDescent="0.25">
      <c r="M16277" s="34">
        <f t="shared" si="430"/>
        <v>0</v>
      </c>
    </row>
    <row r="16278" spans="13:13" x14ac:dyDescent="0.25">
      <c r="M16278" s="34">
        <f t="shared" si="430"/>
        <v>0</v>
      </c>
    </row>
    <row r="16279" spans="13:13" x14ac:dyDescent="0.25">
      <c r="M16279" s="34">
        <f t="shared" si="430"/>
        <v>0</v>
      </c>
    </row>
    <row r="16280" spans="13:13" x14ac:dyDescent="0.25">
      <c r="M16280" s="34">
        <f t="shared" si="430"/>
        <v>0</v>
      </c>
    </row>
    <row r="16281" spans="13:13" x14ac:dyDescent="0.25">
      <c r="M16281" s="34">
        <f t="shared" si="430"/>
        <v>0</v>
      </c>
    </row>
    <row r="16282" spans="13:13" x14ac:dyDescent="0.25">
      <c r="M16282" s="34">
        <f t="shared" si="430"/>
        <v>0</v>
      </c>
    </row>
    <row r="16283" spans="13:13" x14ac:dyDescent="0.25">
      <c r="M16283" s="34">
        <f t="shared" si="430"/>
        <v>0</v>
      </c>
    </row>
    <row r="16284" spans="13:13" x14ac:dyDescent="0.25">
      <c r="M16284" s="34">
        <f t="shared" si="430"/>
        <v>0</v>
      </c>
    </row>
    <row r="16285" spans="13:13" x14ac:dyDescent="0.25">
      <c r="M16285" s="34">
        <f t="shared" si="430"/>
        <v>0</v>
      </c>
    </row>
    <row r="16286" spans="13:13" x14ac:dyDescent="0.25">
      <c r="M16286" s="34">
        <f t="shared" si="430"/>
        <v>0</v>
      </c>
    </row>
    <row r="16287" spans="13:13" x14ac:dyDescent="0.25">
      <c r="M16287" s="34">
        <f t="shared" si="430"/>
        <v>0</v>
      </c>
    </row>
    <row r="16288" spans="13:13" x14ac:dyDescent="0.25">
      <c r="M16288" s="34">
        <f t="shared" si="430"/>
        <v>0</v>
      </c>
    </row>
    <row r="16289" spans="13:13" x14ac:dyDescent="0.25">
      <c r="M16289" s="34">
        <f t="shared" si="430"/>
        <v>0</v>
      </c>
    </row>
    <row r="16290" spans="13:13" x14ac:dyDescent="0.25">
      <c r="M16290" s="34">
        <f t="shared" si="430"/>
        <v>0</v>
      </c>
    </row>
    <row r="16291" spans="13:13" x14ac:dyDescent="0.25">
      <c r="M16291" s="34">
        <f t="shared" si="430"/>
        <v>0</v>
      </c>
    </row>
    <row r="16292" spans="13:13" x14ac:dyDescent="0.25">
      <c r="M16292" s="34">
        <f t="shared" si="430"/>
        <v>0</v>
      </c>
    </row>
    <row r="16293" spans="13:13" x14ac:dyDescent="0.25">
      <c r="M16293" s="34">
        <f t="shared" si="430"/>
        <v>0</v>
      </c>
    </row>
    <row r="16294" spans="13:13" x14ac:dyDescent="0.25">
      <c r="M16294" s="34">
        <f t="shared" si="430"/>
        <v>0</v>
      </c>
    </row>
    <row r="16295" spans="13:13" x14ac:dyDescent="0.25">
      <c r="M16295" s="34">
        <f t="shared" si="430"/>
        <v>0</v>
      </c>
    </row>
    <row r="16296" spans="13:13" x14ac:dyDescent="0.25">
      <c r="M16296" s="34">
        <f t="shared" si="430"/>
        <v>0</v>
      </c>
    </row>
    <row r="16297" spans="13:13" x14ac:dyDescent="0.25">
      <c r="M16297" s="34">
        <f t="shared" si="430"/>
        <v>0</v>
      </c>
    </row>
    <row r="16298" spans="13:13" x14ac:dyDescent="0.25">
      <c r="M16298" s="34">
        <f t="shared" si="430"/>
        <v>0</v>
      </c>
    </row>
    <row r="16299" spans="13:13" x14ac:dyDescent="0.25">
      <c r="M16299" s="34">
        <f t="shared" si="430"/>
        <v>0</v>
      </c>
    </row>
    <row r="16300" spans="13:13" x14ac:dyDescent="0.25">
      <c r="M16300" s="34">
        <f t="shared" si="430"/>
        <v>0</v>
      </c>
    </row>
    <row r="16301" spans="13:13" x14ac:dyDescent="0.25">
      <c r="M16301" s="34">
        <f t="shared" si="430"/>
        <v>0</v>
      </c>
    </row>
    <row r="16302" spans="13:13" x14ac:dyDescent="0.25">
      <c r="M16302" s="34">
        <f t="shared" si="430"/>
        <v>0</v>
      </c>
    </row>
    <row r="16303" spans="13:13" x14ac:dyDescent="0.25">
      <c r="M16303" s="34">
        <f t="shared" si="430"/>
        <v>0</v>
      </c>
    </row>
    <row r="16304" spans="13:13" x14ac:dyDescent="0.25">
      <c r="M16304" s="34">
        <f t="shared" si="430"/>
        <v>0</v>
      </c>
    </row>
    <row r="16305" spans="13:13" x14ac:dyDescent="0.25">
      <c r="M16305" s="34">
        <f t="shared" si="430"/>
        <v>0</v>
      </c>
    </row>
    <row r="16306" spans="13:13" x14ac:dyDescent="0.25">
      <c r="M16306" s="34">
        <f t="shared" si="430"/>
        <v>0</v>
      </c>
    </row>
    <row r="16307" spans="13:13" x14ac:dyDescent="0.25">
      <c r="M16307" s="34">
        <f t="shared" si="430"/>
        <v>0</v>
      </c>
    </row>
    <row r="16308" spans="13:13" x14ac:dyDescent="0.25">
      <c r="M16308" s="34">
        <f t="shared" si="430"/>
        <v>0</v>
      </c>
    </row>
    <row r="16309" spans="13:13" x14ac:dyDescent="0.25">
      <c r="M16309" s="34">
        <f t="shared" si="430"/>
        <v>0</v>
      </c>
    </row>
    <row r="16310" spans="13:13" x14ac:dyDescent="0.25">
      <c r="M16310" s="34">
        <f t="shared" si="430"/>
        <v>0</v>
      </c>
    </row>
    <row r="16311" spans="13:13" x14ac:dyDescent="0.25">
      <c r="M16311" s="34">
        <f t="shared" si="430"/>
        <v>0</v>
      </c>
    </row>
    <row r="16312" spans="13:13" x14ac:dyDescent="0.25">
      <c r="M16312" s="34">
        <f t="shared" si="430"/>
        <v>0</v>
      </c>
    </row>
    <row r="16313" spans="13:13" x14ac:dyDescent="0.25">
      <c r="M16313" s="34">
        <f t="shared" si="430"/>
        <v>0</v>
      </c>
    </row>
    <row r="16314" spans="13:13" x14ac:dyDescent="0.25">
      <c r="M16314" s="34">
        <f t="shared" si="430"/>
        <v>0</v>
      </c>
    </row>
    <row r="16315" spans="13:13" x14ac:dyDescent="0.25">
      <c r="M16315" s="34">
        <f t="shared" si="430"/>
        <v>0</v>
      </c>
    </row>
    <row r="16316" spans="13:13" x14ac:dyDescent="0.25">
      <c r="M16316" s="34">
        <f t="shared" si="430"/>
        <v>0</v>
      </c>
    </row>
    <row r="16317" spans="13:13" x14ac:dyDescent="0.25">
      <c r="M16317" s="34">
        <f t="shared" si="430"/>
        <v>0</v>
      </c>
    </row>
    <row r="16318" spans="13:13" x14ac:dyDescent="0.25">
      <c r="M16318" s="34">
        <f t="shared" si="430"/>
        <v>0</v>
      </c>
    </row>
    <row r="16319" spans="13:13" x14ac:dyDescent="0.25">
      <c r="M16319" s="34">
        <f t="shared" si="430"/>
        <v>0</v>
      </c>
    </row>
    <row r="16320" spans="13:13" x14ac:dyDescent="0.25">
      <c r="M16320" s="34">
        <f t="shared" si="430"/>
        <v>0</v>
      </c>
    </row>
    <row r="16321" spans="13:13" x14ac:dyDescent="0.25">
      <c r="M16321" s="34">
        <f t="shared" si="430"/>
        <v>0</v>
      </c>
    </row>
    <row r="16322" spans="13:13" x14ac:dyDescent="0.25">
      <c r="M16322" s="34">
        <f t="shared" si="430"/>
        <v>0</v>
      </c>
    </row>
    <row r="16323" spans="13:13" x14ac:dyDescent="0.25">
      <c r="M16323" s="34">
        <f t="shared" ref="M16323:M16386" si="431">IF(AND(E16323="Chèque",G16323="RECETTE"),F16323,0)</f>
        <v>0</v>
      </c>
    </row>
    <row r="16324" spans="13:13" x14ac:dyDescent="0.25">
      <c r="M16324" s="34">
        <f t="shared" si="431"/>
        <v>0</v>
      </c>
    </row>
    <row r="16325" spans="13:13" x14ac:dyDescent="0.25">
      <c r="M16325" s="34">
        <f t="shared" si="431"/>
        <v>0</v>
      </c>
    </row>
    <row r="16326" spans="13:13" x14ac:dyDescent="0.25">
      <c r="M16326" s="34">
        <f t="shared" si="431"/>
        <v>0</v>
      </c>
    </row>
    <row r="16327" spans="13:13" x14ac:dyDescent="0.25">
      <c r="M16327" s="34">
        <f t="shared" si="431"/>
        <v>0</v>
      </c>
    </row>
    <row r="16328" spans="13:13" x14ac:dyDescent="0.25">
      <c r="M16328" s="34">
        <f t="shared" si="431"/>
        <v>0</v>
      </c>
    </row>
    <row r="16329" spans="13:13" x14ac:dyDescent="0.25">
      <c r="M16329" s="34">
        <f t="shared" si="431"/>
        <v>0</v>
      </c>
    </row>
    <row r="16330" spans="13:13" x14ac:dyDescent="0.25">
      <c r="M16330" s="34">
        <f t="shared" si="431"/>
        <v>0</v>
      </c>
    </row>
    <row r="16331" spans="13:13" x14ac:dyDescent="0.25">
      <c r="M16331" s="34">
        <f t="shared" si="431"/>
        <v>0</v>
      </c>
    </row>
    <row r="16332" spans="13:13" x14ac:dyDescent="0.25">
      <c r="M16332" s="34">
        <f t="shared" si="431"/>
        <v>0</v>
      </c>
    </row>
    <row r="16333" spans="13:13" x14ac:dyDescent="0.25">
      <c r="M16333" s="34">
        <f t="shared" si="431"/>
        <v>0</v>
      </c>
    </row>
    <row r="16334" spans="13:13" x14ac:dyDescent="0.25">
      <c r="M16334" s="34">
        <f t="shared" si="431"/>
        <v>0</v>
      </c>
    </row>
    <row r="16335" spans="13:13" x14ac:dyDescent="0.25">
      <c r="M16335" s="34">
        <f t="shared" si="431"/>
        <v>0</v>
      </c>
    </row>
    <row r="16336" spans="13:13" x14ac:dyDescent="0.25">
      <c r="M16336" s="34">
        <f t="shared" si="431"/>
        <v>0</v>
      </c>
    </row>
    <row r="16337" spans="13:13" x14ac:dyDescent="0.25">
      <c r="M16337" s="34">
        <f t="shared" si="431"/>
        <v>0</v>
      </c>
    </row>
    <row r="16338" spans="13:13" x14ac:dyDescent="0.25">
      <c r="M16338" s="34">
        <f t="shared" si="431"/>
        <v>0</v>
      </c>
    </row>
    <row r="16339" spans="13:13" x14ac:dyDescent="0.25">
      <c r="M16339" s="34">
        <f t="shared" si="431"/>
        <v>0</v>
      </c>
    </row>
    <row r="16340" spans="13:13" x14ac:dyDescent="0.25">
      <c r="M16340" s="34">
        <f t="shared" si="431"/>
        <v>0</v>
      </c>
    </row>
    <row r="16341" spans="13:13" x14ac:dyDescent="0.25">
      <c r="M16341" s="34">
        <f t="shared" si="431"/>
        <v>0</v>
      </c>
    </row>
    <row r="16342" spans="13:13" x14ac:dyDescent="0.25">
      <c r="M16342" s="34">
        <f t="shared" si="431"/>
        <v>0</v>
      </c>
    </row>
    <row r="16343" spans="13:13" x14ac:dyDescent="0.25">
      <c r="M16343" s="34">
        <f t="shared" si="431"/>
        <v>0</v>
      </c>
    </row>
    <row r="16344" spans="13:13" x14ac:dyDescent="0.25">
      <c r="M16344" s="34">
        <f t="shared" si="431"/>
        <v>0</v>
      </c>
    </row>
    <row r="16345" spans="13:13" x14ac:dyDescent="0.25">
      <c r="M16345" s="34">
        <f t="shared" si="431"/>
        <v>0</v>
      </c>
    </row>
    <row r="16346" spans="13:13" x14ac:dyDescent="0.25">
      <c r="M16346" s="34">
        <f t="shared" si="431"/>
        <v>0</v>
      </c>
    </row>
    <row r="16347" spans="13:13" x14ac:dyDescent="0.25">
      <c r="M16347" s="34">
        <f t="shared" si="431"/>
        <v>0</v>
      </c>
    </row>
    <row r="16348" spans="13:13" x14ac:dyDescent="0.25">
      <c r="M16348" s="34">
        <f t="shared" si="431"/>
        <v>0</v>
      </c>
    </row>
    <row r="16349" spans="13:13" x14ac:dyDescent="0.25">
      <c r="M16349" s="34">
        <f t="shared" si="431"/>
        <v>0</v>
      </c>
    </row>
    <row r="16350" spans="13:13" x14ac:dyDescent="0.25">
      <c r="M16350" s="34">
        <f t="shared" si="431"/>
        <v>0</v>
      </c>
    </row>
    <row r="16351" spans="13:13" x14ac:dyDescent="0.25">
      <c r="M16351" s="34">
        <f t="shared" si="431"/>
        <v>0</v>
      </c>
    </row>
    <row r="16352" spans="13:13" x14ac:dyDescent="0.25">
      <c r="M16352" s="34">
        <f t="shared" si="431"/>
        <v>0</v>
      </c>
    </row>
    <row r="16353" spans="13:13" x14ac:dyDescent="0.25">
      <c r="M16353" s="34">
        <f t="shared" si="431"/>
        <v>0</v>
      </c>
    </row>
    <row r="16354" spans="13:13" x14ac:dyDescent="0.25">
      <c r="M16354" s="34">
        <f t="shared" si="431"/>
        <v>0</v>
      </c>
    </row>
    <row r="16355" spans="13:13" x14ac:dyDescent="0.25">
      <c r="M16355" s="34">
        <f t="shared" si="431"/>
        <v>0</v>
      </c>
    </row>
    <row r="16356" spans="13:13" x14ac:dyDescent="0.25">
      <c r="M16356" s="34">
        <f t="shared" si="431"/>
        <v>0</v>
      </c>
    </row>
    <row r="16357" spans="13:13" x14ac:dyDescent="0.25">
      <c r="M16357" s="34">
        <f t="shared" si="431"/>
        <v>0</v>
      </c>
    </row>
    <row r="16358" spans="13:13" x14ac:dyDescent="0.25">
      <c r="M16358" s="34">
        <f t="shared" si="431"/>
        <v>0</v>
      </c>
    </row>
    <row r="16359" spans="13:13" x14ac:dyDescent="0.25">
      <c r="M16359" s="34">
        <f t="shared" si="431"/>
        <v>0</v>
      </c>
    </row>
    <row r="16360" spans="13:13" x14ac:dyDescent="0.25">
      <c r="M16360" s="34">
        <f t="shared" si="431"/>
        <v>0</v>
      </c>
    </row>
    <row r="16361" spans="13:13" x14ac:dyDescent="0.25">
      <c r="M16361" s="34">
        <f t="shared" si="431"/>
        <v>0</v>
      </c>
    </row>
    <row r="16362" spans="13:13" x14ac:dyDescent="0.25">
      <c r="M16362" s="34">
        <f t="shared" si="431"/>
        <v>0</v>
      </c>
    </row>
    <row r="16363" spans="13:13" x14ac:dyDescent="0.25">
      <c r="M16363" s="34">
        <f t="shared" si="431"/>
        <v>0</v>
      </c>
    </row>
    <row r="16364" spans="13:13" x14ac:dyDescent="0.25">
      <c r="M16364" s="34">
        <f t="shared" si="431"/>
        <v>0</v>
      </c>
    </row>
    <row r="16365" spans="13:13" x14ac:dyDescent="0.25">
      <c r="M16365" s="34">
        <f t="shared" si="431"/>
        <v>0</v>
      </c>
    </row>
    <row r="16366" spans="13:13" x14ac:dyDescent="0.25">
      <c r="M16366" s="34">
        <f t="shared" si="431"/>
        <v>0</v>
      </c>
    </row>
    <row r="16367" spans="13:13" x14ac:dyDescent="0.25">
      <c r="M16367" s="34">
        <f t="shared" si="431"/>
        <v>0</v>
      </c>
    </row>
    <row r="16368" spans="13:13" x14ac:dyDescent="0.25">
      <c r="M16368" s="34">
        <f t="shared" si="431"/>
        <v>0</v>
      </c>
    </row>
    <row r="16369" spans="13:13" x14ac:dyDescent="0.25">
      <c r="M16369" s="34">
        <f t="shared" si="431"/>
        <v>0</v>
      </c>
    </row>
    <row r="16370" spans="13:13" x14ac:dyDescent="0.25">
      <c r="M16370" s="34">
        <f t="shared" si="431"/>
        <v>0</v>
      </c>
    </row>
    <row r="16371" spans="13:13" x14ac:dyDescent="0.25">
      <c r="M16371" s="34">
        <f t="shared" si="431"/>
        <v>0</v>
      </c>
    </row>
    <row r="16372" spans="13:13" x14ac:dyDescent="0.25">
      <c r="M16372" s="34">
        <f t="shared" si="431"/>
        <v>0</v>
      </c>
    </row>
    <row r="16373" spans="13:13" x14ac:dyDescent="0.25">
      <c r="M16373" s="34">
        <f t="shared" si="431"/>
        <v>0</v>
      </c>
    </row>
    <row r="16374" spans="13:13" x14ac:dyDescent="0.25">
      <c r="M16374" s="34">
        <f t="shared" si="431"/>
        <v>0</v>
      </c>
    </row>
    <row r="16375" spans="13:13" x14ac:dyDescent="0.25">
      <c r="M16375" s="34">
        <f t="shared" si="431"/>
        <v>0</v>
      </c>
    </row>
    <row r="16376" spans="13:13" x14ac:dyDescent="0.25">
      <c r="M16376" s="34">
        <f t="shared" si="431"/>
        <v>0</v>
      </c>
    </row>
    <row r="16377" spans="13:13" x14ac:dyDescent="0.25">
      <c r="M16377" s="34">
        <f t="shared" si="431"/>
        <v>0</v>
      </c>
    </row>
    <row r="16378" spans="13:13" x14ac:dyDescent="0.25">
      <c r="M16378" s="34">
        <f t="shared" si="431"/>
        <v>0</v>
      </c>
    </row>
    <row r="16379" spans="13:13" x14ac:dyDescent="0.25">
      <c r="M16379" s="34">
        <f t="shared" si="431"/>
        <v>0</v>
      </c>
    </row>
    <row r="16380" spans="13:13" x14ac:dyDescent="0.25">
      <c r="M16380" s="34">
        <f t="shared" si="431"/>
        <v>0</v>
      </c>
    </row>
    <row r="16381" spans="13:13" x14ac:dyDescent="0.25">
      <c r="M16381" s="34">
        <f t="shared" si="431"/>
        <v>0</v>
      </c>
    </row>
    <row r="16382" spans="13:13" x14ac:dyDescent="0.25">
      <c r="M16382" s="34">
        <f t="shared" si="431"/>
        <v>0</v>
      </c>
    </row>
    <row r="16383" spans="13:13" x14ac:dyDescent="0.25">
      <c r="M16383" s="34">
        <f t="shared" si="431"/>
        <v>0</v>
      </c>
    </row>
    <row r="16384" spans="13:13" x14ac:dyDescent="0.25">
      <c r="M16384" s="34">
        <f t="shared" si="431"/>
        <v>0</v>
      </c>
    </row>
    <row r="16385" spans="13:13" x14ac:dyDescent="0.25">
      <c r="M16385" s="34">
        <f t="shared" si="431"/>
        <v>0</v>
      </c>
    </row>
    <row r="16386" spans="13:13" x14ac:dyDescent="0.25">
      <c r="M16386" s="34">
        <f t="shared" si="431"/>
        <v>0</v>
      </c>
    </row>
    <row r="16387" spans="13:13" x14ac:dyDescent="0.25">
      <c r="M16387" s="34">
        <f t="shared" ref="M16387:M16450" si="432">IF(AND(E16387="Chèque",G16387="RECETTE"),F16387,0)</f>
        <v>0</v>
      </c>
    </row>
    <row r="16388" spans="13:13" x14ac:dyDescent="0.25">
      <c r="M16388" s="34">
        <f t="shared" si="432"/>
        <v>0</v>
      </c>
    </row>
    <row r="16389" spans="13:13" x14ac:dyDescent="0.25">
      <c r="M16389" s="34">
        <f t="shared" si="432"/>
        <v>0</v>
      </c>
    </row>
    <row r="16390" spans="13:13" x14ac:dyDescent="0.25">
      <c r="M16390" s="34">
        <f t="shared" si="432"/>
        <v>0</v>
      </c>
    </row>
    <row r="16391" spans="13:13" x14ac:dyDescent="0.25">
      <c r="M16391" s="34">
        <f t="shared" si="432"/>
        <v>0</v>
      </c>
    </row>
    <row r="16392" spans="13:13" x14ac:dyDescent="0.25">
      <c r="M16392" s="34">
        <f t="shared" si="432"/>
        <v>0</v>
      </c>
    </row>
    <row r="16393" spans="13:13" x14ac:dyDescent="0.25">
      <c r="M16393" s="34">
        <f t="shared" si="432"/>
        <v>0</v>
      </c>
    </row>
    <row r="16394" spans="13:13" x14ac:dyDescent="0.25">
      <c r="M16394" s="34">
        <f t="shared" si="432"/>
        <v>0</v>
      </c>
    </row>
    <row r="16395" spans="13:13" x14ac:dyDescent="0.25">
      <c r="M16395" s="34">
        <f t="shared" si="432"/>
        <v>0</v>
      </c>
    </row>
    <row r="16396" spans="13:13" x14ac:dyDescent="0.25">
      <c r="M16396" s="34">
        <f t="shared" si="432"/>
        <v>0</v>
      </c>
    </row>
    <row r="16397" spans="13:13" x14ac:dyDescent="0.25">
      <c r="M16397" s="34">
        <f t="shared" si="432"/>
        <v>0</v>
      </c>
    </row>
    <row r="16398" spans="13:13" x14ac:dyDescent="0.25">
      <c r="M16398" s="34">
        <f t="shared" si="432"/>
        <v>0</v>
      </c>
    </row>
    <row r="16399" spans="13:13" x14ac:dyDescent="0.25">
      <c r="M16399" s="34">
        <f t="shared" si="432"/>
        <v>0</v>
      </c>
    </row>
    <row r="16400" spans="13:13" x14ac:dyDescent="0.25">
      <c r="M16400" s="34">
        <f t="shared" si="432"/>
        <v>0</v>
      </c>
    </row>
    <row r="16401" spans="13:13" x14ac:dyDescent="0.25">
      <c r="M16401" s="34">
        <f t="shared" si="432"/>
        <v>0</v>
      </c>
    </row>
    <row r="16402" spans="13:13" x14ac:dyDescent="0.25">
      <c r="M16402" s="34">
        <f t="shared" si="432"/>
        <v>0</v>
      </c>
    </row>
    <row r="16403" spans="13:13" x14ac:dyDescent="0.25">
      <c r="M16403" s="34">
        <f t="shared" si="432"/>
        <v>0</v>
      </c>
    </row>
    <row r="16404" spans="13:13" x14ac:dyDescent="0.25">
      <c r="M16404" s="34">
        <f t="shared" si="432"/>
        <v>0</v>
      </c>
    </row>
    <row r="16405" spans="13:13" x14ac:dyDescent="0.25">
      <c r="M16405" s="34">
        <f t="shared" si="432"/>
        <v>0</v>
      </c>
    </row>
    <row r="16406" spans="13:13" x14ac:dyDescent="0.25">
      <c r="M16406" s="34">
        <f t="shared" si="432"/>
        <v>0</v>
      </c>
    </row>
    <row r="16407" spans="13:13" x14ac:dyDescent="0.25">
      <c r="M16407" s="34">
        <f t="shared" si="432"/>
        <v>0</v>
      </c>
    </row>
    <row r="16408" spans="13:13" x14ac:dyDescent="0.25">
      <c r="M16408" s="34">
        <f t="shared" si="432"/>
        <v>0</v>
      </c>
    </row>
    <row r="16409" spans="13:13" x14ac:dyDescent="0.25">
      <c r="M16409" s="34">
        <f t="shared" si="432"/>
        <v>0</v>
      </c>
    </row>
    <row r="16410" spans="13:13" x14ac:dyDescent="0.25">
      <c r="M16410" s="34">
        <f t="shared" si="432"/>
        <v>0</v>
      </c>
    </row>
    <row r="16411" spans="13:13" x14ac:dyDescent="0.25">
      <c r="M16411" s="34">
        <f t="shared" si="432"/>
        <v>0</v>
      </c>
    </row>
    <row r="16412" spans="13:13" x14ac:dyDescent="0.25">
      <c r="M16412" s="34">
        <f t="shared" si="432"/>
        <v>0</v>
      </c>
    </row>
    <row r="16413" spans="13:13" x14ac:dyDescent="0.25">
      <c r="M16413" s="34">
        <f t="shared" si="432"/>
        <v>0</v>
      </c>
    </row>
    <row r="16414" spans="13:13" x14ac:dyDescent="0.25">
      <c r="M16414" s="34">
        <f t="shared" si="432"/>
        <v>0</v>
      </c>
    </row>
    <row r="16415" spans="13:13" x14ac:dyDescent="0.25">
      <c r="M16415" s="34">
        <f t="shared" si="432"/>
        <v>0</v>
      </c>
    </row>
    <row r="16416" spans="13:13" x14ac:dyDescent="0.25">
      <c r="M16416" s="34">
        <f t="shared" si="432"/>
        <v>0</v>
      </c>
    </row>
    <row r="16417" spans="13:13" x14ac:dyDescent="0.25">
      <c r="M16417" s="34">
        <f t="shared" si="432"/>
        <v>0</v>
      </c>
    </row>
    <row r="16418" spans="13:13" x14ac:dyDescent="0.25">
      <c r="M16418" s="34">
        <f t="shared" si="432"/>
        <v>0</v>
      </c>
    </row>
    <row r="16419" spans="13:13" x14ac:dyDescent="0.25">
      <c r="M16419" s="34">
        <f t="shared" si="432"/>
        <v>0</v>
      </c>
    </row>
    <row r="16420" spans="13:13" x14ac:dyDescent="0.25">
      <c r="M16420" s="34">
        <f t="shared" si="432"/>
        <v>0</v>
      </c>
    </row>
    <row r="16421" spans="13:13" x14ac:dyDescent="0.25">
      <c r="M16421" s="34">
        <f t="shared" si="432"/>
        <v>0</v>
      </c>
    </row>
    <row r="16422" spans="13:13" x14ac:dyDescent="0.25">
      <c r="M16422" s="34">
        <f t="shared" si="432"/>
        <v>0</v>
      </c>
    </row>
    <row r="16423" spans="13:13" x14ac:dyDescent="0.25">
      <c r="M16423" s="34">
        <f t="shared" si="432"/>
        <v>0</v>
      </c>
    </row>
    <row r="16424" spans="13:13" x14ac:dyDescent="0.25">
      <c r="M16424" s="34">
        <f t="shared" si="432"/>
        <v>0</v>
      </c>
    </row>
    <row r="16425" spans="13:13" x14ac:dyDescent="0.25">
      <c r="M16425" s="34">
        <f t="shared" si="432"/>
        <v>0</v>
      </c>
    </row>
    <row r="16426" spans="13:13" x14ac:dyDescent="0.25">
      <c r="M16426" s="34">
        <f t="shared" si="432"/>
        <v>0</v>
      </c>
    </row>
    <row r="16427" spans="13:13" x14ac:dyDescent="0.25">
      <c r="M16427" s="34">
        <f t="shared" si="432"/>
        <v>0</v>
      </c>
    </row>
    <row r="16428" spans="13:13" x14ac:dyDescent="0.25">
      <c r="M16428" s="34">
        <f t="shared" si="432"/>
        <v>0</v>
      </c>
    </row>
    <row r="16429" spans="13:13" x14ac:dyDescent="0.25">
      <c r="M16429" s="34">
        <f t="shared" si="432"/>
        <v>0</v>
      </c>
    </row>
    <row r="16430" spans="13:13" x14ac:dyDescent="0.25">
      <c r="M16430" s="34">
        <f t="shared" si="432"/>
        <v>0</v>
      </c>
    </row>
    <row r="16431" spans="13:13" x14ac:dyDescent="0.25">
      <c r="M16431" s="34">
        <f t="shared" si="432"/>
        <v>0</v>
      </c>
    </row>
    <row r="16432" spans="13:13" x14ac:dyDescent="0.25">
      <c r="M16432" s="34">
        <f t="shared" si="432"/>
        <v>0</v>
      </c>
    </row>
    <row r="16433" spans="13:13" x14ac:dyDescent="0.25">
      <c r="M16433" s="34">
        <f t="shared" si="432"/>
        <v>0</v>
      </c>
    </row>
    <row r="16434" spans="13:13" x14ac:dyDescent="0.25">
      <c r="M16434" s="34">
        <f t="shared" si="432"/>
        <v>0</v>
      </c>
    </row>
    <row r="16435" spans="13:13" x14ac:dyDescent="0.25">
      <c r="M16435" s="34">
        <f t="shared" si="432"/>
        <v>0</v>
      </c>
    </row>
    <row r="16436" spans="13:13" x14ac:dyDescent="0.25">
      <c r="M16436" s="34">
        <f t="shared" si="432"/>
        <v>0</v>
      </c>
    </row>
    <row r="16437" spans="13:13" x14ac:dyDescent="0.25">
      <c r="M16437" s="34">
        <f t="shared" si="432"/>
        <v>0</v>
      </c>
    </row>
    <row r="16438" spans="13:13" x14ac:dyDescent="0.25">
      <c r="M16438" s="34">
        <f t="shared" si="432"/>
        <v>0</v>
      </c>
    </row>
    <row r="16439" spans="13:13" x14ac:dyDescent="0.25">
      <c r="M16439" s="34">
        <f t="shared" si="432"/>
        <v>0</v>
      </c>
    </row>
    <row r="16440" spans="13:13" x14ac:dyDescent="0.25">
      <c r="M16440" s="34">
        <f t="shared" si="432"/>
        <v>0</v>
      </c>
    </row>
    <row r="16441" spans="13:13" x14ac:dyDescent="0.25">
      <c r="M16441" s="34">
        <f t="shared" si="432"/>
        <v>0</v>
      </c>
    </row>
    <row r="16442" spans="13:13" x14ac:dyDescent="0.25">
      <c r="M16442" s="34">
        <f t="shared" si="432"/>
        <v>0</v>
      </c>
    </row>
    <row r="16443" spans="13:13" x14ac:dyDescent="0.25">
      <c r="M16443" s="34">
        <f t="shared" si="432"/>
        <v>0</v>
      </c>
    </row>
    <row r="16444" spans="13:13" x14ac:dyDescent="0.25">
      <c r="M16444" s="34">
        <f t="shared" si="432"/>
        <v>0</v>
      </c>
    </row>
    <row r="16445" spans="13:13" x14ac:dyDescent="0.25">
      <c r="M16445" s="34">
        <f t="shared" si="432"/>
        <v>0</v>
      </c>
    </row>
    <row r="16446" spans="13:13" x14ac:dyDescent="0.25">
      <c r="M16446" s="34">
        <f t="shared" si="432"/>
        <v>0</v>
      </c>
    </row>
    <row r="16447" spans="13:13" x14ac:dyDescent="0.25">
      <c r="M16447" s="34">
        <f t="shared" si="432"/>
        <v>0</v>
      </c>
    </row>
    <row r="16448" spans="13:13" x14ac:dyDescent="0.25">
      <c r="M16448" s="34">
        <f t="shared" si="432"/>
        <v>0</v>
      </c>
    </row>
    <row r="16449" spans="13:13" x14ac:dyDescent="0.25">
      <c r="M16449" s="34">
        <f t="shared" si="432"/>
        <v>0</v>
      </c>
    </row>
    <row r="16450" spans="13:13" x14ac:dyDescent="0.25">
      <c r="M16450" s="34">
        <f t="shared" si="432"/>
        <v>0</v>
      </c>
    </row>
    <row r="16451" spans="13:13" x14ac:dyDescent="0.25">
      <c r="M16451" s="34">
        <f t="shared" ref="M16451:M16514" si="433">IF(AND(E16451="Chèque",G16451="RECETTE"),F16451,0)</f>
        <v>0</v>
      </c>
    </row>
    <row r="16452" spans="13:13" x14ac:dyDescent="0.25">
      <c r="M16452" s="34">
        <f t="shared" si="433"/>
        <v>0</v>
      </c>
    </row>
    <row r="16453" spans="13:13" x14ac:dyDescent="0.25">
      <c r="M16453" s="34">
        <f t="shared" si="433"/>
        <v>0</v>
      </c>
    </row>
    <row r="16454" spans="13:13" x14ac:dyDescent="0.25">
      <c r="M16454" s="34">
        <f t="shared" si="433"/>
        <v>0</v>
      </c>
    </row>
    <row r="16455" spans="13:13" x14ac:dyDescent="0.25">
      <c r="M16455" s="34">
        <f t="shared" si="433"/>
        <v>0</v>
      </c>
    </row>
    <row r="16456" spans="13:13" x14ac:dyDescent="0.25">
      <c r="M16456" s="34">
        <f t="shared" si="433"/>
        <v>0</v>
      </c>
    </row>
    <row r="16457" spans="13:13" x14ac:dyDescent="0.25">
      <c r="M16457" s="34">
        <f t="shared" si="433"/>
        <v>0</v>
      </c>
    </row>
    <row r="16458" spans="13:13" x14ac:dyDescent="0.25">
      <c r="M16458" s="34">
        <f t="shared" si="433"/>
        <v>0</v>
      </c>
    </row>
    <row r="16459" spans="13:13" x14ac:dyDescent="0.25">
      <c r="M16459" s="34">
        <f t="shared" si="433"/>
        <v>0</v>
      </c>
    </row>
    <row r="16460" spans="13:13" x14ac:dyDescent="0.25">
      <c r="M16460" s="34">
        <f t="shared" si="433"/>
        <v>0</v>
      </c>
    </row>
    <row r="16461" spans="13:13" x14ac:dyDescent="0.25">
      <c r="M16461" s="34">
        <f t="shared" si="433"/>
        <v>0</v>
      </c>
    </row>
    <row r="16462" spans="13:13" x14ac:dyDescent="0.25">
      <c r="M16462" s="34">
        <f t="shared" si="433"/>
        <v>0</v>
      </c>
    </row>
    <row r="16463" spans="13:13" x14ac:dyDescent="0.25">
      <c r="M16463" s="34">
        <f t="shared" si="433"/>
        <v>0</v>
      </c>
    </row>
    <row r="16464" spans="13:13" x14ac:dyDescent="0.25">
      <c r="M16464" s="34">
        <f t="shared" si="433"/>
        <v>0</v>
      </c>
    </row>
    <row r="16465" spans="13:13" x14ac:dyDescent="0.25">
      <c r="M16465" s="34">
        <f t="shared" si="433"/>
        <v>0</v>
      </c>
    </row>
    <row r="16466" spans="13:13" x14ac:dyDescent="0.25">
      <c r="M16466" s="34">
        <f t="shared" si="433"/>
        <v>0</v>
      </c>
    </row>
    <row r="16467" spans="13:13" x14ac:dyDescent="0.25">
      <c r="M16467" s="34">
        <f t="shared" si="433"/>
        <v>0</v>
      </c>
    </row>
    <row r="16468" spans="13:13" x14ac:dyDescent="0.25">
      <c r="M16468" s="34">
        <f t="shared" si="433"/>
        <v>0</v>
      </c>
    </row>
    <row r="16469" spans="13:13" x14ac:dyDescent="0.25">
      <c r="M16469" s="34">
        <f t="shared" si="433"/>
        <v>0</v>
      </c>
    </row>
    <row r="16470" spans="13:13" x14ac:dyDescent="0.25">
      <c r="M16470" s="34">
        <f t="shared" si="433"/>
        <v>0</v>
      </c>
    </row>
    <row r="16471" spans="13:13" x14ac:dyDescent="0.25">
      <c r="M16471" s="34">
        <f t="shared" si="433"/>
        <v>0</v>
      </c>
    </row>
    <row r="16472" spans="13:13" x14ac:dyDescent="0.25">
      <c r="M16472" s="34">
        <f t="shared" si="433"/>
        <v>0</v>
      </c>
    </row>
    <row r="16473" spans="13:13" x14ac:dyDescent="0.25">
      <c r="M16473" s="34">
        <f t="shared" si="433"/>
        <v>0</v>
      </c>
    </row>
    <row r="16474" spans="13:13" x14ac:dyDescent="0.25">
      <c r="M16474" s="34">
        <f t="shared" si="433"/>
        <v>0</v>
      </c>
    </row>
    <row r="16475" spans="13:13" x14ac:dyDescent="0.25">
      <c r="M16475" s="34">
        <f t="shared" si="433"/>
        <v>0</v>
      </c>
    </row>
    <row r="16476" spans="13:13" x14ac:dyDescent="0.25">
      <c r="M16476" s="34">
        <f t="shared" si="433"/>
        <v>0</v>
      </c>
    </row>
    <row r="16477" spans="13:13" x14ac:dyDescent="0.25">
      <c r="M16477" s="34">
        <f t="shared" si="433"/>
        <v>0</v>
      </c>
    </row>
    <row r="16478" spans="13:13" x14ac:dyDescent="0.25">
      <c r="M16478" s="34">
        <f t="shared" si="433"/>
        <v>0</v>
      </c>
    </row>
    <row r="16479" spans="13:13" x14ac:dyDescent="0.25">
      <c r="M16479" s="34">
        <f t="shared" si="433"/>
        <v>0</v>
      </c>
    </row>
    <row r="16480" spans="13:13" x14ac:dyDescent="0.25">
      <c r="M16480" s="34">
        <f t="shared" si="433"/>
        <v>0</v>
      </c>
    </row>
    <row r="16481" spans="13:13" x14ac:dyDescent="0.25">
      <c r="M16481" s="34">
        <f t="shared" si="433"/>
        <v>0</v>
      </c>
    </row>
    <row r="16482" spans="13:13" x14ac:dyDescent="0.25">
      <c r="M16482" s="34">
        <f t="shared" si="433"/>
        <v>0</v>
      </c>
    </row>
    <row r="16483" spans="13:13" x14ac:dyDescent="0.25">
      <c r="M16483" s="34">
        <f t="shared" si="433"/>
        <v>0</v>
      </c>
    </row>
    <row r="16484" spans="13:13" x14ac:dyDescent="0.25">
      <c r="M16484" s="34">
        <f t="shared" si="433"/>
        <v>0</v>
      </c>
    </row>
    <row r="16485" spans="13:13" x14ac:dyDescent="0.25">
      <c r="M16485" s="34">
        <f t="shared" si="433"/>
        <v>0</v>
      </c>
    </row>
    <row r="16486" spans="13:13" x14ac:dyDescent="0.25">
      <c r="M16486" s="34">
        <f t="shared" si="433"/>
        <v>0</v>
      </c>
    </row>
    <row r="16487" spans="13:13" x14ac:dyDescent="0.25">
      <c r="M16487" s="34">
        <f t="shared" si="433"/>
        <v>0</v>
      </c>
    </row>
    <row r="16488" spans="13:13" x14ac:dyDescent="0.25">
      <c r="M16488" s="34">
        <f t="shared" si="433"/>
        <v>0</v>
      </c>
    </row>
    <row r="16489" spans="13:13" x14ac:dyDescent="0.25">
      <c r="M16489" s="34">
        <f t="shared" si="433"/>
        <v>0</v>
      </c>
    </row>
    <row r="16490" spans="13:13" x14ac:dyDescent="0.25">
      <c r="M16490" s="34">
        <f t="shared" si="433"/>
        <v>0</v>
      </c>
    </row>
    <row r="16491" spans="13:13" x14ac:dyDescent="0.25">
      <c r="M16491" s="34">
        <f t="shared" si="433"/>
        <v>0</v>
      </c>
    </row>
    <row r="16492" spans="13:13" x14ac:dyDescent="0.25">
      <c r="M16492" s="34">
        <f t="shared" si="433"/>
        <v>0</v>
      </c>
    </row>
    <row r="16493" spans="13:13" x14ac:dyDescent="0.25">
      <c r="M16493" s="34">
        <f t="shared" si="433"/>
        <v>0</v>
      </c>
    </row>
    <row r="16494" spans="13:13" x14ac:dyDescent="0.25">
      <c r="M16494" s="34">
        <f t="shared" si="433"/>
        <v>0</v>
      </c>
    </row>
    <row r="16495" spans="13:13" x14ac:dyDescent="0.25">
      <c r="M16495" s="34">
        <f t="shared" si="433"/>
        <v>0</v>
      </c>
    </row>
    <row r="16496" spans="13:13" x14ac:dyDescent="0.25">
      <c r="M16496" s="34">
        <f t="shared" si="433"/>
        <v>0</v>
      </c>
    </row>
    <row r="16497" spans="13:13" x14ac:dyDescent="0.25">
      <c r="M16497" s="34">
        <f t="shared" si="433"/>
        <v>0</v>
      </c>
    </row>
    <row r="16498" spans="13:13" x14ac:dyDescent="0.25">
      <c r="M16498" s="34">
        <f t="shared" si="433"/>
        <v>0</v>
      </c>
    </row>
    <row r="16499" spans="13:13" x14ac:dyDescent="0.25">
      <c r="M16499" s="34">
        <f t="shared" si="433"/>
        <v>0</v>
      </c>
    </row>
    <row r="16500" spans="13:13" x14ac:dyDescent="0.25">
      <c r="M16500" s="34">
        <f t="shared" si="433"/>
        <v>0</v>
      </c>
    </row>
    <row r="16501" spans="13:13" x14ac:dyDescent="0.25">
      <c r="M16501" s="34">
        <f t="shared" si="433"/>
        <v>0</v>
      </c>
    </row>
    <row r="16502" spans="13:13" x14ac:dyDescent="0.25">
      <c r="M16502" s="34">
        <f t="shared" si="433"/>
        <v>0</v>
      </c>
    </row>
    <row r="16503" spans="13:13" x14ac:dyDescent="0.25">
      <c r="M16503" s="34">
        <f t="shared" si="433"/>
        <v>0</v>
      </c>
    </row>
    <row r="16504" spans="13:13" x14ac:dyDescent="0.25">
      <c r="M16504" s="34">
        <f t="shared" si="433"/>
        <v>0</v>
      </c>
    </row>
    <row r="16505" spans="13:13" x14ac:dyDescent="0.25">
      <c r="M16505" s="34">
        <f t="shared" si="433"/>
        <v>0</v>
      </c>
    </row>
    <row r="16506" spans="13:13" x14ac:dyDescent="0.25">
      <c r="M16506" s="34">
        <f t="shared" si="433"/>
        <v>0</v>
      </c>
    </row>
    <row r="16507" spans="13:13" x14ac:dyDescent="0.25">
      <c r="M16507" s="34">
        <f t="shared" si="433"/>
        <v>0</v>
      </c>
    </row>
    <row r="16508" spans="13:13" x14ac:dyDescent="0.25">
      <c r="M16508" s="34">
        <f t="shared" si="433"/>
        <v>0</v>
      </c>
    </row>
    <row r="16509" spans="13:13" x14ac:dyDescent="0.25">
      <c r="M16509" s="34">
        <f t="shared" si="433"/>
        <v>0</v>
      </c>
    </row>
    <row r="16510" spans="13:13" x14ac:dyDescent="0.25">
      <c r="M16510" s="34">
        <f t="shared" si="433"/>
        <v>0</v>
      </c>
    </row>
    <row r="16511" spans="13:13" x14ac:dyDescent="0.25">
      <c r="M16511" s="34">
        <f t="shared" si="433"/>
        <v>0</v>
      </c>
    </row>
    <row r="16512" spans="13:13" x14ac:dyDescent="0.25">
      <c r="M16512" s="34">
        <f t="shared" si="433"/>
        <v>0</v>
      </c>
    </row>
    <row r="16513" spans="13:13" x14ac:dyDescent="0.25">
      <c r="M16513" s="34">
        <f t="shared" si="433"/>
        <v>0</v>
      </c>
    </row>
    <row r="16514" spans="13:13" x14ac:dyDescent="0.25">
      <c r="M16514" s="34">
        <f t="shared" si="433"/>
        <v>0</v>
      </c>
    </row>
    <row r="16515" spans="13:13" x14ac:dyDescent="0.25">
      <c r="M16515" s="34">
        <f t="shared" ref="M16515:M16578" si="434">IF(AND(E16515="Chèque",G16515="RECETTE"),F16515,0)</f>
        <v>0</v>
      </c>
    </row>
    <row r="16516" spans="13:13" x14ac:dyDescent="0.25">
      <c r="M16516" s="34">
        <f t="shared" si="434"/>
        <v>0</v>
      </c>
    </row>
    <row r="16517" spans="13:13" x14ac:dyDescent="0.25">
      <c r="M16517" s="34">
        <f t="shared" si="434"/>
        <v>0</v>
      </c>
    </row>
    <row r="16518" spans="13:13" x14ac:dyDescent="0.25">
      <c r="M16518" s="34">
        <f t="shared" si="434"/>
        <v>0</v>
      </c>
    </row>
    <row r="16519" spans="13:13" x14ac:dyDescent="0.25">
      <c r="M16519" s="34">
        <f t="shared" si="434"/>
        <v>0</v>
      </c>
    </row>
    <row r="16520" spans="13:13" x14ac:dyDescent="0.25">
      <c r="M16520" s="34">
        <f t="shared" si="434"/>
        <v>0</v>
      </c>
    </row>
    <row r="16521" spans="13:13" x14ac:dyDescent="0.25">
      <c r="M16521" s="34">
        <f t="shared" si="434"/>
        <v>0</v>
      </c>
    </row>
    <row r="16522" spans="13:13" x14ac:dyDescent="0.25">
      <c r="M16522" s="34">
        <f t="shared" si="434"/>
        <v>0</v>
      </c>
    </row>
    <row r="16523" spans="13:13" x14ac:dyDescent="0.25">
      <c r="M16523" s="34">
        <f t="shared" si="434"/>
        <v>0</v>
      </c>
    </row>
    <row r="16524" spans="13:13" x14ac:dyDescent="0.25">
      <c r="M16524" s="34">
        <f t="shared" si="434"/>
        <v>0</v>
      </c>
    </row>
    <row r="16525" spans="13:13" x14ac:dyDescent="0.25">
      <c r="M16525" s="34">
        <f t="shared" si="434"/>
        <v>0</v>
      </c>
    </row>
    <row r="16526" spans="13:13" x14ac:dyDescent="0.25">
      <c r="M16526" s="34">
        <f t="shared" si="434"/>
        <v>0</v>
      </c>
    </row>
    <row r="16527" spans="13:13" x14ac:dyDescent="0.25">
      <c r="M16527" s="34">
        <f t="shared" si="434"/>
        <v>0</v>
      </c>
    </row>
    <row r="16528" spans="13:13" x14ac:dyDescent="0.25">
      <c r="M16528" s="34">
        <f t="shared" si="434"/>
        <v>0</v>
      </c>
    </row>
    <row r="16529" spans="13:13" x14ac:dyDescent="0.25">
      <c r="M16529" s="34">
        <f t="shared" si="434"/>
        <v>0</v>
      </c>
    </row>
    <row r="16530" spans="13:13" x14ac:dyDescent="0.25">
      <c r="M16530" s="34">
        <f t="shared" si="434"/>
        <v>0</v>
      </c>
    </row>
    <row r="16531" spans="13:13" x14ac:dyDescent="0.25">
      <c r="M16531" s="34">
        <f t="shared" si="434"/>
        <v>0</v>
      </c>
    </row>
    <row r="16532" spans="13:13" x14ac:dyDescent="0.25">
      <c r="M16532" s="34">
        <f t="shared" si="434"/>
        <v>0</v>
      </c>
    </row>
    <row r="16533" spans="13:13" x14ac:dyDescent="0.25">
      <c r="M16533" s="34">
        <f t="shared" si="434"/>
        <v>0</v>
      </c>
    </row>
    <row r="16534" spans="13:13" x14ac:dyDescent="0.25">
      <c r="M16534" s="34">
        <f t="shared" si="434"/>
        <v>0</v>
      </c>
    </row>
    <row r="16535" spans="13:13" x14ac:dyDescent="0.25">
      <c r="M16535" s="34">
        <f t="shared" si="434"/>
        <v>0</v>
      </c>
    </row>
    <row r="16536" spans="13:13" x14ac:dyDescent="0.25">
      <c r="M16536" s="34">
        <f t="shared" si="434"/>
        <v>0</v>
      </c>
    </row>
    <row r="16537" spans="13:13" x14ac:dyDescent="0.25">
      <c r="M16537" s="34">
        <f t="shared" si="434"/>
        <v>0</v>
      </c>
    </row>
    <row r="16538" spans="13:13" x14ac:dyDescent="0.25">
      <c r="M16538" s="34">
        <f t="shared" si="434"/>
        <v>0</v>
      </c>
    </row>
    <row r="16539" spans="13:13" x14ac:dyDescent="0.25">
      <c r="M16539" s="34">
        <f t="shared" si="434"/>
        <v>0</v>
      </c>
    </row>
    <row r="16540" spans="13:13" x14ac:dyDescent="0.25">
      <c r="M16540" s="34">
        <f t="shared" si="434"/>
        <v>0</v>
      </c>
    </row>
    <row r="16541" spans="13:13" x14ac:dyDescent="0.25">
      <c r="M16541" s="34">
        <f t="shared" si="434"/>
        <v>0</v>
      </c>
    </row>
    <row r="16542" spans="13:13" x14ac:dyDescent="0.25">
      <c r="M16542" s="34">
        <f t="shared" si="434"/>
        <v>0</v>
      </c>
    </row>
    <row r="16543" spans="13:13" x14ac:dyDescent="0.25">
      <c r="M16543" s="34">
        <f t="shared" si="434"/>
        <v>0</v>
      </c>
    </row>
    <row r="16544" spans="13:13" x14ac:dyDescent="0.25">
      <c r="M16544" s="34">
        <f t="shared" si="434"/>
        <v>0</v>
      </c>
    </row>
    <row r="16545" spans="13:13" x14ac:dyDescent="0.25">
      <c r="M16545" s="34">
        <f t="shared" si="434"/>
        <v>0</v>
      </c>
    </row>
    <row r="16546" spans="13:13" x14ac:dyDescent="0.25">
      <c r="M16546" s="34">
        <f t="shared" si="434"/>
        <v>0</v>
      </c>
    </row>
    <row r="16547" spans="13:13" x14ac:dyDescent="0.25">
      <c r="M16547" s="34">
        <f t="shared" si="434"/>
        <v>0</v>
      </c>
    </row>
    <row r="16548" spans="13:13" x14ac:dyDescent="0.25">
      <c r="M16548" s="34">
        <f t="shared" si="434"/>
        <v>0</v>
      </c>
    </row>
    <row r="16549" spans="13:13" x14ac:dyDescent="0.25">
      <c r="M16549" s="34">
        <f t="shared" si="434"/>
        <v>0</v>
      </c>
    </row>
    <row r="16550" spans="13:13" x14ac:dyDescent="0.25">
      <c r="M16550" s="34">
        <f t="shared" si="434"/>
        <v>0</v>
      </c>
    </row>
    <row r="16551" spans="13:13" x14ac:dyDescent="0.25">
      <c r="M16551" s="34">
        <f t="shared" si="434"/>
        <v>0</v>
      </c>
    </row>
    <row r="16552" spans="13:13" x14ac:dyDescent="0.25">
      <c r="M16552" s="34">
        <f t="shared" si="434"/>
        <v>0</v>
      </c>
    </row>
    <row r="16553" spans="13:13" x14ac:dyDescent="0.25">
      <c r="M16553" s="34">
        <f t="shared" si="434"/>
        <v>0</v>
      </c>
    </row>
    <row r="16554" spans="13:13" x14ac:dyDescent="0.25">
      <c r="M16554" s="34">
        <f t="shared" si="434"/>
        <v>0</v>
      </c>
    </row>
    <row r="16555" spans="13:13" x14ac:dyDescent="0.25">
      <c r="M16555" s="34">
        <f t="shared" si="434"/>
        <v>0</v>
      </c>
    </row>
    <row r="16556" spans="13:13" x14ac:dyDescent="0.25">
      <c r="M16556" s="34">
        <f t="shared" si="434"/>
        <v>0</v>
      </c>
    </row>
    <row r="16557" spans="13:13" x14ac:dyDescent="0.25">
      <c r="M16557" s="34">
        <f t="shared" si="434"/>
        <v>0</v>
      </c>
    </row>
    <row r="16558" spans="13:13" x14ac:dyDescent="0.25">
      <c r="M16558" s="34">
        <f t="shared" si="434"/>
        <v>0</v>
      </c>
    </row>
    <row r="16559" spans="13:13" x14ac:dyDescent="0.25">
      <c r="M16559" s="34">
        <f t="shared" si="434"/>
        <v>0</v>
      </c>
    </row>
    <row r="16560" spans="13:13" x14ac:dyDescent="0.25">
      <c r="M16560" s="34">
        <f t="shared" si="434"/>
        <v>0</v>
      </c>
    </row>
    <row r="16561" spans="13:13" x14ac:dyDescent="0.25">
      <c r="M16561" s="34">
        <f t="shared" si="434"/>
        <v>0</v>
      </c>
    </row>
    <row r="16562" spans="13:13" x14ac:dyDescent="0.25">
      <c r="M16562" s="34">
        <f t="shared" si="434"/>
        <v>0</v>
      </c>
    </row>
    <row r="16563" spans="13:13" x14ac:dyDescent="0.25">
      <c r="M16563" s="34">
        <f t="shared" si="434"/>
        <v>0</v>
      </c>
    </row>
    <row r="16564" spans="13:13" x14ac:dyDescent="0.25">
      <c r="M16564" s="34">
        <f t="shared" si="434"/>
        <v>0</v>
      </c>
    </row>
    <row r="16565" spans="13:13" x14ac:dyDescent="0.25">
      <c r="M16565" s="34">
        <f t="shared" si="434"/>
        <v>0</v>
      </c>
    </row>
    <row r="16566" spans="13:13" x14ac:dyDescent="0.25">
      <c r="M16566" s="34">
        <f t="shared" si="434"/>
        <v>0</v>
      </c>
    </row>
    <row r="16567" spans="13:13" x14ac:dyDescent="0.25">
      <c r="M16567" s="34">
        <f t="shared" si="434"/>
        <v>0</v>
      </c>
    </row>
    <row r="16568" spans="13:13" x14ac:dyDescent="0.25">
      <c r="M16568" s="34">
        <f t="shared" si="434"/>
        <v>0</v>
      </c>
    </row>
    <row r="16569" spans="13:13" x14ac:dyDescent="0.25">
      <c r="M16569" s="34">
        <f t="shared" si="434"/>
        <v>0</v>
      </c>
    </row>
    <row r="16570" spans="13:13" x14ac:dyDescent="0.25">
      <c r="M16570" s="34">
        <f t="shared" si="434"/>
        <v>0</v>
      </c>
    </row>
    <row r="16571" spans="13:13" x14ac:dyDescent="0.25">
      <c r="M16571" s="34">
        <f t="shared" si="434"/>
        <v>0</v>
      </c>
    </row>
    <row r="16572" spans="13:13" x14ac:dyDescent="0.25">
      <c r="M16572" s="34">
        <f t="shared" si="434"/>
        <v>0</v>
      </c>
    </row>
    <row r="16573" spans="13:13" x14ac:dyDescent="0.25">
      <c r="M16573" s="34">
        <f t="shared" si="434"/>
        <v>0</v>
      </c>
    </row>
    <row r="16574" spans="13:13" x14ac:dyDescent="0.25">
      <c r="M16574" s="34">
        <f t="shared" si="434"/>
        <v>0</v>
      </c>
    </row>
    <row r="16575" spans="13:13" x14ac:dyDescent="0.25">
      <c r="M16575" s="34">
        <f t="shared" si="434"/>
        <v>0</v>
      </c>
    </row>
    <row r="16576" spans="13:13" x14ac:dyDescent="0.25">
      <c r="M16576" s="34">
        <f t="shared" si="434"/>
        <v>0</v>
      </c>
    </row>
    <row r="16577" spans="13:13" x14ac:dyDescent="0.25">
      <c r="M16577" s="34">
        <f t="shared" si="434"/>
        <v>0</v>
      </c>
    </row>
    <row r="16578" spans="13:13" x14ac:dyDescent="0.25">
      <c r="M16578" s="34">
        <f t="shared" si="434"/>
        <v>0</v>
      </c>
    </row>
    <row r="16579" spans="13:13" x14ac:dyDescent="0.25">
      <c r="M16579" s="34">
        <f t="shared" ref="M16579:M16642" si="435">IF(AND(E16579="Chèque",G16579="RECETTE"),F16579,0)</f>
        <v>0</v>
      </c>
    </row>
    <row r="16580" spans="13:13" x14ac:dyDescent="0.25">
      <c r="M16580" s="34">
        <f t="shared" si="435"/>
        <v>0</v>
      </c>
    </row>
    <row r="16581" spans="13:13" x14ac:dyDescent="0.25">
      <c r="M16581" s="34">
        <f t="shared" si="435"/>
        <v>0</v>
      </c>
    </row>
    <row r="16582" spans="13:13" x14ac:dyDescent="0.25">
      <c r="M16582" s="34">
        <f t="shared" si="435"/>
        <v>0</v>
      </c>
    </row>
    <row r="16583" spans="13:13" x14ac:dyDescent="0.25">
      <c r="M16583" s="34">
        <f t="shared" si="435"/>
        <v>0</v>
      </c>
    </row>
    <row r="16584" spans="13:13" x14ac:dyDescent="0.25">
      <c r="M16584" s="34">
        <f t="shared" si="435"/>
        <v>0</v>
      </c>
    </row>
    <row r="16585" spans="13:13" x14ac:dyDescent="0.25">
      <c r="M16585" s="34">
        <f t="shared" si="435"/>
        <v>0</v>
      </c>
    </row>
    <row r="16586" spans="13:13" x14ac:dyDescent="0.25">
      <c r="M16586" s="34">
        <f t="shared" si="435"/>
        <v>0</v>
      </c>
    </row>
    <row r="16587" spans="13:13" x14ac:dyDescent="0.25">
      <c r="M16587" s="34">
        <f t="shared" si="435"/>
        <v>0</v>
      </c>
    </row>
    <row r="16588" spans="13:13" x14ac:dyDescent="0.25">
      <c r="M16588" s="34">
        <f t="shared" si="435"/>
        <v>0</v>
      </c>
    </row>
    <row r="16589" spans="13:13" x14ac:dyDescent="0.25">
      <c r="M16589" s="34">
        <f t="shared" si="435"/>
        <v>0</v>
      </c>
    </row>
    <row r="16590" spans="13:13" x14ac:dyDescent="0.25">
      <c r="M16590" s="34">
        <f t="shared" si="435"/>
        <v>0</v>
      </c>
    </row>
    <row r="16591" spans="13:13" x14ac:dyDescent="0.25">
      <c r="M16591" s="34">
        <f t="shared" si="435"/>
        <v>0</v>
      </c>
    </row>
    <row r="16592" spans="13:13" x14ac:dyDescent="0.25">
      <c r="M16592" s="34">
        <f t="shared" si="435"/>
        <v>0</v>
      </c>
    </row>
    <row r="16593" spans="13:13" x14ac:dyDescent="0.25">
      <c r="M16593" s="34">
        <f t="shared" si="435"/>
        <v>0</v>
      </c>
    </row>
    <row r="16594" spans="13:13" x14ac:dyDescent="0.25">
      <c r="M16594" s="34">
        <f t="shared" si="435"/>
        <v>0</v>
      </c>
    </row>
    <row r="16595" spans="13:13" x14ac:dyDescent="0.25">
      <c r="M16595" s="34">
        <f t="shared" si="435"/>
        <v>0</v>
      </c>
    </row>
    <row r="16596" spans="13:13" x14ac:dyDescent="0.25">
      <c r="M16596" s="34">
        <f t="shared" si="435"/>
        <v>0</v>
      </c>
    </row>
    <row r="16597" spans="13:13" x14ac:dyDescent="0.25">
      <c r="M16597" s="34">
        <f t="shared" si="435"/>
        <v>0</v>
      </c>
    </row>
    <row r="16598" spans="13:13" x14ac:dyDescent="0.25">
      <c r="M16598" s="34">
        <f t="shared" si="435"/>
        <v>0</v>
      </c>
    </row>
    <row r="16599" spans="13:13" x14ac:dyDescent="0.25">
      <c r="M16599" s="34">
        <f t="shared" si="435"/>
        <v>0</v>
      </c>
    </row>
    <row r="16600" spans="13:13" x14ac:dyDescent="0.25">
      <c r="M16600" s="34">
        <f t="shared" si="435"/>
        <v>0</v>
      </c>
    </row>
    <row r="16601" spans="13:13" x14ac:dyDescent="0.25">
      <c r="M16601" s="34">
        <f t="shared" si="435"/>
        <v>0</v>
      </c>
    </row>
    <row r="16602" spans="13:13" x14ac:dyDescent="0.25">
      <c r="M16602" s="34">
        <f t="shared" si="435"/>
        <v>0</v>
      </c>
    </row>
    <row r="16603" spans="13:13" x14ac:dyDescent="0.25">
      <c r="M16603" s="34">
        <f t="shared" si="435"/>
        <v>0</v>
      </c>
    </row>
    <row r="16604" spans="13:13" x14ac:dyDescent="0.25">
      <c r="M16604" s="34">
        <f t="shared" si="435"/>
        <v>0</v>
      </c>
    </row>
    <row r="16605" spans="13:13" x14ac:dyDescent="0.25">
      <c r="M16605" s="34">
        <f t="shared" si="435"/>
        <v>0</v>
      </c>
    </row>
    <row r="16606" spans="13:13" x14ac:dyDescent="0.25">
      <c r="M16606" s="34">
        <f t="shared" si="435"/>
        <v>0</v>
      </c>
    </row>
    <row r="16607" spans="13:13" x14ac:dyDescent="0.25">
      <c r="M16607" s="34">
        <f t="shared" si="435"/>
        <v>0</v>
      </c>
    </row>
    <row r="16608" spans="13:13" x14ac:dyDescent="0.25">
      <c r="M16608" s="34">
        <f t="shared" si="435"/>
        <v>0</v>
      </c>
    </row>
    <row r="16609" spans="13:13" x14ac:dyDescent="0.25">
      <c r="M16609" s="34">
        <f t="shared" si="435"/>
        <v>0</v>
      </c>
    </row>
    <row r="16610" spans="13:13" x14ac:dyDescent="0.25">
      <c r="M16610" s="34">
        <f t="shared" si="435"/>
        <v>0</v>
      </c>
    </row>
    <row r="16611" spans="13:13" x14ac:dyDescent="0.25">
      <c r="M16611" s="34">
        <f t="shared" si="435"/>
        <v>0</v>
      </c>
    </row>
    <row r="16612" spans="13:13" x14ac:dyDescent="0.25">
      <c r="M16612" s="34">
        <f t="shared" si="435"/>
        <v>0</v>
      </c>
    </row>
    <row r="16613" spans="13:13" x14ac:dyDescent="0.25">
      <c r="M16613" s="34">
        <f t="shared" si="435"/>
        <v>0</v>
      </c>
    </row>
    <row r="16614" spans="13:13" x14ac:dyDescent="0.25">
      <c r="M16614" s="34">
        <f t="shared" si="435"/>
        <v>0</v>
      </c>
    </row>
    <row r="16615" spans="13:13" x14ac:dyDescent="0.25">
      <c r="M16615" s="34">
        <f t="shared" si="435"/>
        <v>0</v>
      </c>
    </row>
    <row r="16616" spans="13:13" x14ac:dyDescent="0.25">
      <c r="M16616" s="34">
        <f t="shared" si="435"/>
        <v>0</v>
      </c>
    </row>
    <row r="16617" spans="13:13" x14ac:dyDescent="0.25">
      <c r="M16617" s="34">
        <f t="shared" si="435"/>
        <v>0</v>
      </c>
    </row>
    <row r="16618" spans="13:13" x14ac:dyDescent="0.25">
      <c r="M16618" s="34">
        <f t="shared" si="435"/>
        <v>0</v>
      </c>
    </row>
    <row r="16619" spans="13:13" x14ac:dyDescent="0.25">
      <c r="M16619" s="34">
        <f t="shared" si="435"/>
        <v>0</v>
      </c>
    </row>
    <row r="16620" spans="13:13" x14ac:dyDescent="0.25">
      <c r="M16620" s="34">
        <f t="shared" si="435"/>
        <v>0</v>
      </c>
    </row>
    <row r="16621" spans="13:13" x14ac:dyDescent="0.25">
      <c r="M16621" s="34">
        <f t="shared" si="435"/>
        <v>0</v>
      </c>
    </row>
    <row r="16622" spans="13:13" x14ac:dyDescent="0.25">
      <c r="M16622" s="34">
        <f t="shared" si="435"/>
        <v>0</v>
      </c>
    </row>
    <row r="16623" spans="13:13" x14ac:dyDescent="0.25">
      <c r="M16623" s="34">
        <f t="shared" si="435"/>
        <v>0</v>
      </c>
    </row>
    <row r="16624" spans="13:13" x14ac:dyDescent="0.25">
      <c r="M16624" s="34">
        <f t="shared" si="435"/>
        <v>0</v>
      </c>
    </row>
    <row r="16625" spans="13:13" x14ac:dyDescent="0.25">
      <c r="M16625" s="34">
        <f t="shared" si="435"/>
        <v>0</v>
      </c>
    </row>
    <row r="16626" spans="13:13" x14ac:dyDescent="0.25">
      <c r="M16626" s="34">
        <f t="shared" si="435"/>
        <v>0</v>
      </c>
    </row>
    <row r="16627" spans="13:13" x14ac:dyDescent="0.25">
      <c r="M16627" s="34">
        <f t="shared" si="435"/>
        <v>0</v>
      </c>
    </row>
    <row r="16628" spans="13:13" x14ac:dyDescent="0.25">
      <c r="M16628" s="34">
        <f t="shared" si="435"/>
        <v>0</v>
      </c>
    </row>
    <row r="16629" spans="13:13" x14ac:dyDescent="0.25">
      <c r="M16629" s="34">
        <f t="shared" si="435"/>
        <v>0</v>
      </c>
    </row>
    <row r="16630" spans="13:13" x14ac:dyDescent="0.25">
      <c r="M16630" s="34">
        <f t="shared" si="435"/>
        <v>0</v>
      </c>
    </row>
    <row r="16631" spans="13:13" x14ac:dyDescent="0.25">
      <c r="M16631" s="34">
        <f t="shared" si="435"/>
        <v>0</v>
      </c>
    </row>
    <row r="16632" spans="13:13" x14ac:dyDescent="0.25">
      <c r="M16632" s="34">
        <f t="shared" si="435"/>
        <v>0</v>
      </c>
    </row>
    <row r="16633" spans="13:13" x14ac:dyDescent="0.25">
      <c r="M16633" s="34">
        <f t="shared" si="435"/>
        <v>0</v>
      </c>
    </row>
    <row r="16634" spans="13:13" x14ac:dyDescent="0.25">
      <c r="M16634" s="34">
        <f t="shared" si="435"/>
        <v>0</v>
      </c>
    </row>
    <row r="16635" spans="13:13" x14ac:dyDescent="0.25">
      <c r="M16635" s="34">
        <f t="shared" si="435"/>
        <v>0</v>
      </c>
    </row>
    <row r="16636" spans="13:13" x14ac:dyDescent="0.25">
      <c r="M16636" s="34">
        <f t="shared" si="435"/>
        <v>0</v>
      </c>
    </row>
    <row r="16637" spans="13:13" x14ac:dyDescent="0.25">
      <c r="M16637" s="34">
        <f t="shared" si="435"/>
        <v>0</v>
      </c>
    </row>
    <row r="16638" spans="13:13" x14ac:dyDescent="0.25">
      <c r="M16638" s="34">
        <f t="shared" si="435"/>
        <v>0</v>
      </c>
    </row>
    <row r="16639" spans="13:13" x14ac:dyDescent="0.25">
      <c r="M16639" s="34">
        <f t="shared" si="435"/>
        <v>0</v>
      </c>
    </row>
    <row r="16640" spans="13:13" x14ac:dyDescent="0.25">
      <c r="M16640" s="34">
        <f t="shared" si="435"/>
        <v>0</v>
      </c>
    </row>
    <row r="16641" spans="13:13" x14ac:dyDescent="0.25">
      <c r="M16641" s="34">
        <f t="shared" si="435"/>
        <v>0</v>
      </c>
    </row>
    <row r="16642" spans="13:13" x14ac:dyDescent="0.25">
      <c r="M16642" s="34">
        <f t="shared" si="435"/>
        <v>0</v>
      </c>
    </row>
    <row r="16643" spans="13:13" x14ac:dyDescent="0.25">
      <c r="M16643" s="34">
        <f t="shared" ref="M16643:M16706" si="436">IF(AND(E16643="Chèque",G16643="RECETTE"),F16643,0)</f>
        <v>0</v>
      </c>
    </row>
    <row r="16644" spans="13:13" x14ac:dyDescent="0.25">
      <c r="M16644" s="34">
        <f t="shared" si="436"/>
        <v>0</v>
      </c>
    </row>
    <row r="16645" spans="13:13" x14ac:dyDescent="0.25">
      <c r="M16645" s="34">
        <f t="shared" si="436"/>
        <v>0</v>
      </c>
    </row>
    <row r="16646" spans="13:13" x14ac:dyDescent="0.25">
      <c r="M16646" s="34">
        <f t="shared" si="436"/>
        <v>0</v>
      </c>
    </row>
    <row r="16647" spans="13:13" x14ac:dyDescent="0.25">
      <c r="M16647" s="34">
        <f t="shared" si="436"/>
        <v>0</v>
      </c>
    </row>
    <row r="16648" spans="13:13" x14ac:dyDescent="0.25">
      <c r="M16648" s="34">
        <f t="shared" si="436"/>
        <v>0</v>
      </c>
    </row>
    <row r="16649" spans="13:13" x14ac:dyDescent="0.25">
      <c r="M16649" s="34">
        <f t="shared" si="436"/>
        <v>0</v>
      </c>
    </row>
    <row r="16650" spans="13:13" x14ac:dyDescent="0.25">
      <c r="M16650" s="34">
        <f t="shared" si="436"/>
        <v>0</v>
      </c>
    </row>
    <row r="16651" spans="13:13" x14ac:dyDescent="0.25">
      <c r="M16651" s="34">
        <f t="shared" si="436"/>
        <v>0</v>
      </c>
    </row>
    <row r="16652" spans="13:13" x14ac:dyDescent="0.25">
      <c r="M16652" s="34">
        <f t="shared" si="436"/>
        <v>0</v>
      </c>
    </row>
    <row r="16653" spans="13:13" x14ac:dyDescent="0.25">
      <c r="M16653" s="34">
        <f t="shared" si="436"/>
        <v>0</v>
      </c>
    </row>
    <row r="16654" spans="13:13" x14ac:dyDescent="0.25">
      <c r="M16654" s="34">
        <f t="shared" si="436"/>
        <v>0</v>
      </c>
    </row>
    <row r="16655" spans="13:13" x14ac:dyDescent="0.25">
      <c r="M16655" s="34">
        <f t="shared" si="436"/>
        <v>0</v>
      </c>
    </row>
    <row r="16656" spans="13:13" x14ac:dyDescent="0.25">
      <c r="M16656" s="34">
        <f t="shared" si="436"/>
        <v>0</v>
      </c>
    </row>
    <row r="16657" spans="13:13" x14ac:dyDescent="0.25">
      <c r="M16657" s="34">
        <f t="shared" si="436"/>
        <v>0</v>
      </c>
    </row>
    <row r="16658" spans="13:13" x14ac:dyDescent="0.25">
      <c r="M16658" s="34">
        <f t="shared" si="436"/>
        <v>0</v>
      </c>
    </row>
    <row r="16659" spans="13:13" x14ac:dyDescent="0.25">
      <c r="M16659" s="34">
        <f t="shared" si="436"/>
        <v>0</v>
      </c>
    </row>
    <row r="16660" spans="13:13" x14ac:dyDescent="0.25">
      <c r="M16660" s="34">
        <f t="shared" si="436"/>
        <v>0</v>
      </c>
    </row>
    <row r="16661" spans="13:13" x14ac:dyDescent="0.25">
      <c r="M16661" s="34">
        <f t="shared" si="436"/>
        <v>0</v>
      </c>
    </row>
    <row r="16662" spans="13:13" x14ac:dyDescent="0.25">
      <c r="M16662" s="34">
        <f t="shared" si="436"/>
        <v>0</v>
      </c>
    </row>
    <row r="16663" spans="13:13" x14ac:dyDescent="0.25">
      <c r="M16663" s="34">
        <f t="shared" si="436"/>
        <v>0</v>
      </c>
    </row>
    <row r="16664" spans="13:13" x14ac:dyDescent="0.25">
      <c r="M16664" s="34">
        <f t="shared" si="436"/>
        <v>0</v>
      </c>
    </row>
    <row r="16665" spans="13:13" x14ac:dyDescent="0.25">
      <c r="M16665" s="34">
        <f t="shared" si="436"/>
        <v>0</v>
      </c>
    </row>
    <row r="16666" spans="13:13" x14ac:dyDescent="0.25">
      <c r="M16666" s="34">
        <f t="shared" si="436"/>
        <v>0</v>
      </c>
    </row>
    <row r="16667" spans="13:13" x14ac:dyDescent="0.25">
      <c r="M16667" s="34">
        <f t="shared" si="436"/>
        <v>0</v>
      </c>
    </row>
    <row r="16668" spans="13:13" x14ac:dyDescent="0.25">
      <c r="M16668" s="34">
        <f t="shared" si="436"/>
        <v>0</v>
      </c>
    </row>
    <row r="16669" spans="13:13" x14ac:dyDescent="0.25">
      <c r="M16669" s="34">
        <f t="shared" si="436"/>
        <v>0</v>
      </c>
    </row>
    <row r="16670" spans="13:13" x14ac:dyDescent="0.25">
      <c r="M16670" s="34">
        <f t="shared" si="436"/>
        <v>0</v>
      </c>
    </row>
    <row r="16671" spans="13:13" x14ac:dyDescent="0.25">
      <c r="M16671" s="34">
        <f t="shared" si="436"/>
        <v>0</v>
      </c>
    </row>
    <row r="16672" spans="13:13" x14ac:dyDescent="0.25">
      <c r="M16672" s="34">
        <f t="shared" si="436"/>
        <v>0</v>
      </c>
    </row>
    <row r="16673" spans="13:13" x14ac:dyDescent="0.25">
      <c r="M16673" s="34">
        <f t="shared" si="436"/>
        <v>0</v>
      </c>
    </row>
    <row r="16674" spans="13:13" x14ac:dyDescent="0.25">
      <c r="M16674" s="34">
        <f t="shared" si="436"/>
        <v>0</v>
      </c>
    </row>
    <row r="16675" spans="13:13" x14ac:dyDescent="0.25">
      <c r="M16675" s="34">
        <f t="shared" si="436"/>
        <v>0</v>
      </c>
    </row>
    <row r="16676" spans="13:13" x14ac:dyDescent="0.25">
      <c r="M16676" s="34">
        <f t="shared" si="436"/>
        <v>0</v>
      </c>
    </row>
    <row r="16677" spans="13:13" x14ac:dyDescent="0.25">
      <c r="M16677" s="34">
        <f t="shared" si="436"/>
        <v>0</v>
      </c>
    </row>
    <row r="16678" spans="13:13" x14ac:dyDescent="0.25">
      <c r="M16678" s="34">
        <f t="shared" si="436"/>
        <v>0</v>
      </c>
    </row>
    <row r="16679" spans="13:13" x14ac:dyDescent="0.25">
      <c r="M16679" s="34">
        <f t="shared" si="436"/>
        <v>0</v>
      </c>
    </row>
    <row r="16680" spans="13:13" x14ac:dyDescent="0.25">
      <c r="M16680" s="34">
        <f t="shared" si="436"/>
        <v>0</v>
      </c>
    </row>
    <row r="16681" spans="13:13" x14ac:dyDescent="0.25">
      <c r="M16681" s="34">
        <f t="shared" si="436"/>
        <v>0</v>
      </c>
    </row>
    <row r="16682" spans="13:13" x14ac:dyDescent="0.25">
      <c r="M16682" s="34">
        <f t="shared" si="436"/>
        <v>0</v>
      </c>
    </row>
    <row r="16683" spans="13:13" x14ac:dyDescent="0.25">
      <c r="M16683" s="34">
        <f t="shared" si="436"/>
        <v>0</v>
      </c>
    </row>
    <row r="16684" spans="13:13" x14ac:dyDescent="0.25">
      <c r="M16684" s="34">
        <f t="shared" si="436"/>
        <v>0</v>
      </c>
    </row>
    <row r="16685" spans="13:13" x14ac:dyDescent="0.25">
      <c r="M16685" s="34">
        <f t="shared" si="436"/>
        <v>0</v>
      </c>
    </row>
    <row r="16686" spans="13:13" x14ac:dyDescent="0.25">
      <c r="M16686" s="34">
        <f t="shared" si="436"/>
        <v>0</v>
      </c>
    </row>
    <row r="16687" spans="13:13" x14ac:dyDescent="0.25">
      <c r="M16687" s="34">
        <f t="shared" si="436"/>
        <v>0</v>
      </c>
    </row>
    <row r="16688" spans="13:13" x14ac:dyDescent="0.25">
      <c r="M16688" s="34">
        <f t="shared" si="436"/>
        <v>0</v>
      </c>
    </row>
    <row r="16689" spans="13:13" x14ac:dyDescent="0.25">
      <c r="M16689" s="34">
        <f t="shared" si="436"/>
        <v>0</v>
      </c>
    </row>
    <row r="16690" spans="13:13" x14ac:dyDescent="0.25">
      <c r="M16690" s="34">
        <f t="shared" si="436"/>
        <v>0</v>
      </c>
    </row>
    <row r="16691" spans="13:13" x14ac:dyDescent="0.25">
      <c r="M16691" s="34">
        <f t="shared" si="436"/>
        <v>0</v>
      </c>
    </row>
    <row r="16692" spans="13:13" x14ac:dyDescent="0.25">
      <c r="M16692" s="34">
        <f t="shared" si="436"/>
        <v>0</v>
      </c>
    </row>
    <row r="16693" spans="13:13" x14ac:dyDescent="0.25">
      <c r="M16693" s="34">
        <f t="shared" si="436"/>
        <v>0</v>
      </c>
    </row>
    <row r="16694" spans="13:13" x14ac:dyDescent="0.25">
      <c r="M16694" s="34">
        <f t="shared" si="436"/>
        <v>0</v>
      </c>
    </row>
    <row r="16695" spans="13:13" x14ac:dyDescent="0.25">
      <c r="M16695" s="34">
        <f t="shared" si="436"/>
        <v>0</v>
      </c>
    </row>
    <row r="16696" spans="13:13" x14ac:dyDescent="0.25">
      <c r="M16696" s="34">
        <f t="shared" si="436"/>
        <v>0</v>
      </c>
    </row>
    <row r="16697" spans="13:13" x14ac:dyDescent="0.25">
      <c r="M16697" s="34">
        <f t="shared" si="436"/>
        <v>0</v>
      </c>
    </row>
    <row r="16698" spans="13:13" x14ac:dyDescent="0.25">
      <c r="M16698" s="34">
        <f t="shared" si="436"/>
        <v>0</v>
      </c>
    </row>
    <row r="16699" spans="13:13" x14ac:dyDescent="0.25">
      <c r="M16699" s="34">
        <f t="shared" si="436"/>
        <v>0</v>
      </c>
    </row>
    <row r="16700" spans="13:13" x14ac:dyDescent="0.25">
      <c r="M16700" s="34">
        <f t="shared" si="436"/>
        <v>0</v>
      </c>
    </row>
    <row r="16701" spans="13:13" x14ac:dyDescent="0.25">
      <c r="M16701" s="34">
        <f t="shared" si="436"/>
        <v>0</v>
      </c>
    </row>
    <row r="16702" spans="13:13" x14ac:dyDescent="0.25">
      <c r="M16702" s="34">
        <f t="shared" si="436"/>
        <v>0</v>
      </c>
    </row>
    <row r="16703" spans="13:13" x14ac:dyDescent="0.25">
      <c r="M16703" s="34">
        <f t="shared" si="436"/>
        <v>0</v>
      </c>
    </row>
    <row r="16704" spans="13:13" x14ac:dyDescent="0.25">
      <c r="M16704" s="34">
        <f t="shared" si="436"/>
        <v>0</v>
      </c>
    </row>
    <row r="16705" spans="13:13" x14ac:dyDescent="0.25">
      <c r="M16705" s="34">
        <f t="shared" si="436"/>
        <v>0</v>
      </c>
    </row>
    <row r="16706" spans="13:13" x14ac:dyDescent="0.25">
      <c r="M16706" s="34">
        <f t="shared" si="436"/>
        <v>0</v>
      </c>
    </row>
    <row r="16707" spans="13:13" x14ac:dyDescent="0.25">
      <c r="M16707" s="34">
        <f t="shared" ref="M16707:M16770" si="437">IF(AND(E16707="Chèque",G16707="RECETTE"),F16707,0)</f>
        <v>0</v>
      </c>
    </row>
    <row r="16708" spans="13:13" x14ac:dyDescent="0.25">
      <c r="M16708" s="34">
        <f t="shared" si="437"/>
        <v>0</v>
      </c>
    </row>
    <row r="16709" spans="13:13" x14ac:dyDescent="0.25">
      <c r="M16709" s="34">
        <f t="shared" si="437"/>
        <v>0</v>
      </c>
    </row>
    <row r="16710" spans="13:13" x14ac:dyDescent="0.25">
      <c r="M16710" s="34">
        <f t="shared" si="437"/>
        <v>0</v>
      </c>
    </row>
    <row r="16711" spans="13:13" x14ac:dyDescent="0.25">
      <c r="M16711" s="34">
        <f t="shared" si="437"/>
        <v>0</v>
      </c>
    </row>
    <row r="16712" spans="13:13" x14ac:dyDescent="0.25">
      <c r="M16712" s="34">
        <f t="shared" si="437"/>
        <v>0</v>
      </c>
    </row>
    <row r="16713" spans="13:13" x14ac:dyDescent="0.25">
      <c r="M16713" s="34">
        <f t="shared" si="437"/>
        <v>0</v>
      </c>
    </row>
    <row r="16714" spans="13:13" x14ac:dyDescent="0.25">
      <c r="M16714" s="34">
        <f t="shared" si="437"/>
        <v>0</v>
      </c>
    </row>
    <row r="16715" spans="13:13" x14ac:dyDescent="0.25">
      <c r="M16715" s="34">
        <f t="shared" si="437"/>
        <v>0</v>
      </c>
    </row>
    <row r="16716" spans="13:13" x14ac:dyDescent="0.25">
      <c r="M16716" s="34">
        <f t="shared" si="437"/>
        <v>0</v>
      </c>
    </row>
    <row r="16717" spans="13:13" x14ac:dyDescent="0.25">
      <c r="M16717" s="34">
        <f t="shared" si="437"/>
        <v>0</v>
      </c>
    </row>
    <row r="16718" spans="13:13" x14ac:dyDescent="0.25">
      <c r="M16718" s="34">
        <f t="shared" si="437"/>
        <v>0</v>
      </c>
    </row>
    <row r="16719" spans="13:13" x14ac:dyDescent="0.25">
      <c r="M16719" s="34">
        <f t="shared" si="437"/>
        <v>0</v>
      </c>
    </row>
    <row r="16720" spans="13:13" x14ac:dyDescent="0.25">
      <c r="M16720" s="34">
        <f t="shared" si="437"/>
        <v>0</v>
      </c>
    </row>
    <row r="16721" spans="13:13" x14ac:dyDescent="0.25">
      <c r="M16721" s="34">
        <f t="shared" si="437"/>
        <v>0</v>
      </c>
    </row>
    <row r="16722" spans="13:13" x14ac:dyDescent="0.25">
      <c r="M16722" s="34">
        <f t="shared" si="437"/>
        <v>0</v>
      </c>
    </row>
    <row r="16723" spans="13:13" x14ac:dyDescent="0.25">
      <c r="M16723" s="34">
        <f t="shared" si="437"/>
        <v>0</v>
      </c>
    </row>
    <row r="16724" spans="13:13" x14ac:dyDescent="0.25">
      <c r="M16724" s="34">
        <f t="shared" si="437"/>
        <v>0</v>
      </c>
    </row>
    <row r="16725" spans="13:13" x14ac:dyDescent="0.25">
      <c r="M16725" s="34">
        <f t="shared" si="437"/>
        <v>0</v>
      </c>
    </row>
    <row r="16726" spans="13:13" x14ac:dyDescent="0.25">
      <c r="M16726" s="34">
        <f t="shared" si="437"/>
        <v>0</v>
      </c>
    </row>
    <row r="16727" spans="13:13" x14ac:dyDescent="0.25">
      <c r="M16727" s="34">
        <f t="shared" si="437"/>
        <v>0</v>
      </c>
    </row>
    <row r="16728" spans="13:13" x14ac:dyDescent="0.25">
      <c r="M16728" s="34">
        <f t="shared" si="437"/>
        <v>0</v>
      </c>
    </row>
    <row r="16729" spans="13:13" x14ac:dyDescent="0.25">
      <c r="M16729" s="34">
        <f t="shared" si="437"/>
        <v>0</v>
      </c>
    </row>
    <row r="16730" spans="13:13" x14ac:dyDescent="0.25">
      <c r="M16730" s="34">
        <f t="shared" si="437"/>
        <v>0</v>
      </c>
    </row>
    <row r="16731" spans="13:13" x14ac:dyDescent="0.25">
      <c r="M16731" s="34">
        <f t="shared" si="437"/>
        <v>0</v>
      </c>
    </row>
    <row r="16732" spans="13:13" x14ac:dyDescent="0.25">
      <c r="M16732" s="34">
        <f t="shared" si="437"/>
        <v>0</v>
      </c>
    </row>
    <row r="16733" spans="13:13" x14ac:dyDescent="0.25">
      <c r="M16733" s="34">
        <f t="shared" si="437"/>
        <v>0</v>
      </c>
    </row>
    <row r="16734" spans="13:13" x14ac:dyDescent="0.25">
      <c r="M16734" s="34">
        <f t="shared" si="437"/>
        <v>0</v>
      </c>
    </row>
    <row r="16735" spans="13:13" x14ac:dyDescent="0.25">
      <c r="M16735" s="34">
        <f t="shared" si="437"/>
        <v>0</v>
      </c>
    </row>
    <row r="16736" spans="13:13" x14ac:dyDescent="0.25">
      <c r="M16736" s="34">
        <f t="shared" si="437"/>
        <v>0</v>
      </c>
    </row>
    <row r="16737" spans="13:13" x14ac:dyDescent="0.25">
      <c r="M16737" s="34">
        <f t="shared" si="437"/>
        <v>0</v>
      </c>
    </row>
    <row r="16738" spans="13:13" x14ac:dyDescent="0.25">
      <c r="M16738" s="34">
        <f t="shared" si="437"/>
        <v>0</v>
      </c>
    </row>
    <row r="16739" spans="13:13" x14ac:dyDescent="0.25">
      <c r="M16739" s="34">
        <f t="shared" si="437"/>
        <v>0</v>
      </c>
    </row>
    <row r="16740" spans="13:13" x14ac:dyDescent="0.25">
      <c r="M16740" s="34">
        <f t="shared" si="437"/>
        <v>0</v>
      </c>
    </row>
    <row r="16741" spans="13:13" x14ac:dyDescent="0.25">
      <c r="M16741" s="34">
        <f t="shared" si="437"/>
        <v>0</v>
      </c>
    </row>
    <row r="16742" spans="13:13" x14ac:dyDescent="0.25">
      <c r="M16742" s="34">
        <f t="shared" si="437"/>
        <v>0</v>
      </c>
    </row>
    <row r="16743" spans="13:13" x14ac:dyDescent="0.25">
      <c r="M16743" s="34">
        <f t="shared" si="437"/>
        <v>0</v>
      </c>
    </row>
    <row r="16744" spans="13:13" x14ac:dyDescent="0.25">
      <c r="M16744" s="34">
        <f t="shared" si="437"/>
        <v>0</v>
      </c>
    </row>
    <row r="16745" spans="13:13" x14ac:dyDescent="0.25">
      <c r="M16745" s="34">
        <f t="shared" si="437"/>
        <v>0</v>
      </c>
    </row>
    <row r="16746" spans="13:13" x14ac:dyDescent="0.25">
      <c r="M16746" s="34">
        <f t="shared" si="437"/>
        <v>0</v>
      </c>
    </row>
    <row r="16747" spans="13:13" x14ac:dyDescent="0.25">
      <c r="M16747" s="34">
        <f t="shared" si="437"/>
        <v>0</v>
      </c>
    </row>
    <row r="16748" spans="13:13" x14ac:dyDescent="0.25">
      <c r="M16748" s="34">
        <f t="shared" si="437"/>
        <v>0</v>
      </c>
    </row>
    <row r="16749" spans="13:13" x14ac:dyDescent="0.25">
      <c r="M16749" s="34">
        <f t="shared" si="437"/>
        <v>0</v>
      </c>
    </row>
    <row r="16750" spans="13:13" x14ac:dyDescent="0.25">
      <c r="M16750" s="34">
        <f t="shared" si="437"/>
        <v>0</v>
      </c>
    </row>
    <row r="16751" spans="13:13" x14ac:dyDescent="0.25">
      <c r="M16751" s="34">
        <f t="shared" si="437"/>
        <v>0</v>
      </c>
    </row>
    <row r="16752" spans="13:13" x14ac:dyDescent="0.25">
      <c r="M16752" s="34">
        <f t="shared" si="437"/>
        <v>0</v>
      </c>
    </row>
    <row r="16753" spans="13:13" x14ac:dyDescent="0.25">
      <c r="M16753" s="34">
        <f t="shared" si="437"/>
        <v>0</v>
      </c>
    </row>
    <row r="16754" spans="13:13" x14ac:dyDescent="0.25">
      <c r="M16754" s="34">
        <f t="shared" si="437"/>
        <v>0</v>
      </c>
    </row>
    <row r="16755" spans="13:13" x14ac:dyDescent="0.25">
      <c r="M16755" s="34">
        <f t="shared" si="437"/>
        <v>0</v>
      </c>
    </row>
    <row r="16756" spans="13:13" x14ac:dyDescent="0.25">
      <c r="M16756" s="34">
        <f t="shared" si="437"/>
        <v>0</v>
      </c>
    </row>
    <row r="16757" spans="13:13" x14ac:dyDescent="0.25">
      <c r="M16757" s="34">
        <f t="shared" si="437"/>
        <v>0</v>
      </c>
    </row>
    <row r="16758" spans="13:13" x14ac:dyDescent="0.25">
      <c r="M16758" s="34">
        <f t="shared" si="437"/>
        <v>0</v>
      </c>
    </row>
    <row r="16759" spans="13:13" x14ac:dyDescent="0.25">
      <c r="M16759" s="34">
        <f t="shared" si="437"/>
        <v>0</v>
      </c>
    </row>
    <row r="16760" spans="13:13" x14ac:dyDescent="0.25">
      <c r="M16760" s="34">
        <f t="shared" si="437"/>
        <v>0</v>
      </c>
    </row>
    <row r="16761" spans="13:13" x14ac:dyDescent="0.25">
      <c r="M16761" s="34">
        <f t="shared" si="437"/>
        <v>0</v>
      </c>
    </row>
    <row r="16762" spans="13:13" x14ac:dyDescent="0.25">
      <c r="M16762" s="34">
        <f t="shared" si="437"/>
        <v>0</v>
      </c>
    </row>
    <row r="16763" spans="13:13" x14ac:dyDescent="0.25">
      <c r="M16763" s="34">
        <f t="shared" si="437"/>
        <v>0</v>
      </c>
    </row>
    <row r="16764" spans="13:13" x14ac:dyDescent="0.25">
      <c r="M16764" s="34">
        <f t="shared" si="437"/>
        <v>0</v>
      </c>
    </row>
    <row r="16765" spans="13:13" x14ac:dyDescent="0.25">
      <c r="M16765" s="34">
        <f t="shared" si="437"/>
        <v>0</v>
      </c>
    </row>
    <row r="16766" spans="13:13" x14ac:dyDescent="0.25">
      <c r="M16766" s="34">
        <f t="shared" si="437"/>
        <v>0</v>
      </c>
    </row>
    <row r="16767" spans="13:13" x14ac:dyDescent="0.25">
      <c r="M16767" s="34">
        <f t="shared" si="437"/>
        <v>0</v>
      </c>
    </row>
    <row r="16768" spans="13:13" x14ac:dyDescent="0.25">
      <c r="M16768" s="34">
        <f t="shared" si="437"/>
        <v>0</v>
      </c>
    </row>
    <row r="16769" spans="13:13" x14ac:dyDescent="0.25">
      <c r="M16769" s="34">
        <f t="shared" si="437"/>
        <v>0</v>
      </c>
    </row>
    <row r="16770" spans="13:13" x14ac:dyDescent="0.25">
      <c r="M16770" s="34">
        <f t="shared" si="437"/>
        <v>0</v>
      </c>
    </row>
    <row r="16771" spans="13:13" x14ac:dyDescent="0.25">
      <c r="M16771" s="34">
        <f t="shared" ref="M16771:M16834" si="438">IF(AND(E16771="Chèque",G16771="RECETTE"),F16771,0)</f>
        <v>0</v>
      </c>
    </row>
    <row r="16772" spans="13:13" x14ac:dyDescent="0.25">
      <c r="M16772" s="34">
        <f t="shared" si="438"/>
        <v>0</v>
      </c>
    </row>
    <row r="16773" spans="13:13" x14ac:dyDescent="0.25">
      <c r="M16773" s="34">
        <f t="shared" si="438"/>
        <v>0</v>
      </c>
    </row>
    <row r="16774" spans="13:13" x14ac:dyDescent="0.25">
      <c r="M16774" s="34">
        <f t="shared" si="438"/>
        <v>0</v>
      </c>
    </row>
    <row r="16775" spans="13:13" x14ac:dyDescent="0.25">
      <c r="M16775" s="34">
        <f t="shared" si="438"/>
        <v>0</v>
      </c>
    </row>
    <row r="16776" spans="13:13" x14ac:dyDescent="0.25">
      <c r="M16776" s="34">
        <f t="shared" si="438"/>
        <v>0</v>
      </c>
    </row>
    <row r="16777" spans="13:13" x14ac:dyDescent="0.25">
      <c r="M16777" s="34">
        <f t="shared" si="438"/>
        <v>0</v>
      </c>
    </row>
    <row r="16778" spans="13:13" x14ac:dyDescent="0.25">
      <c r="M16778" s="34">
        <f t="shared" si="438"/>
        <v>0</v>
      </c>
    </row>
    <row r="16779" spans="13:13" x14ac:dyDescent="0.25">
      <c r="M16779" s="34">
        <f t="shared" si="438"/>
        <v>0</v>
      </c>
    </row>
    <row r="16780" spans="13:13" x14ac:dyDescent="0.25">
      <c r="M16780" s="34">
        <f t="shared" si="438"/>
        <v>0</v>
      </c>
    </row>
    <row r="16781" spans="13:13" x14ac:dyDescent="0.25">
      <c r="M16781" s="34">
        <f t="shared" si="438"/>
        <v>0</v>
      </c>
    </row>
    <row r="16782" spans="13:13" x14ac:dyDescent="0.25">
      <c r="M16782" s="34">
        <f t="shared" si="438"/>
        <v>0</v>
      </c>
    </row>
    <row r="16783" spans="13:13" x14ac:dyDescent="0.25">
      <c r="M16783" s="34">
        <f t="shared" si="438"/>
        <v>0</v>
      </c>
    </row>
    <row r="16784" spans="13:13" x14ac:dyDescent="0.25">
      <c r="M16784" s="34">
        <f t="shared" si="438"/>
        <v>0</v>
      </c>
    </row>
    <row r="16785" spans="13:13" x14ac:dyDescent="0.25">
      <c r="M16785" s="34">
        <f t="shared" si="438"/>
        <v>0</v>
      </c>
    </row>
    <row r="16786" spans="13:13" x14ac:dyDescent="0.25">
      <c r="M16786" s="34">
        <f t="shared" si="438"/>
        <v>0</v>
      </c>
    </row>
    <row r="16787" spans="13:13" x14ac:dyDescent="0.25">
      <c r="M16787" s="34">
        <f t="shared" si="438"/>
        <v>0</v>
      </c>
    </row>
    <row r="16788" spans="13:13" x14ac:dyDescent="0.25">
      <c r="M16788" s="34">
        <f t="shared" si="438"/>
        <v>0</v>
      </c>
    </row>
    <row r="16789" spans="13:13" x14ac:dyDescent="0.25">
      <c r="M16789" s="34">
        <f t="shared" si="438"/>
        <v>0</v>
      </c>
    </row>
    <row r="16790" spans="13:13" x14ac:dyDescent="0.25">
      <c r="M16790" s="34">
        <f t="shared" si="438"/>
        <v>0</v>
      </c>
    </row>
    <row r="16791" spans="13:13" x14ac:dyDescent="0.25">
      <c r="M16791" s="34">
        <f t="shared" si="438"/>
        <v>0</v>
      </c>
    </row>
    <row r="16792" spans="13:13" x14ac:dyDescent="0.25">
      <c r="M16792" s="34">
        <f t="shared" si="438"/>
        <v>0</v>
      </c>
    </row>
    <row r="16793" spans="13:13" x14ac:dyDescent="0.25">
      <c r="M16793" s="34">
        <f t="shared" si="438"/>
        <v>0</v>
      </c>
    </row>
    <row r="16794" spans="13:13" x14ac:dyDescent="0.25">
      <c r="M16794" s="34">
        <f t="shared" si="438"/>
        <v>0</v>
      </c>
    </row>
    <row r="16795" spans="13:13" x14ac:dyDescent="0.25">
      <c r="M16795" s="34">
        <f t="shared" si="438"/>
        <v>0</v>
      </c>
    </row>
    <row r="16796" spans="13:13" x14ac:dyDescent="0.25">
      <c r="M16796" s="34">
        <f t="shared" si="438"/>
        <v>0</v>
      </c>
    </row>
    <row r="16797" spans="13:13" x14ac:dyDescent="0.25">
      <c r="M16797" s="34">
        <f t="shared" si="438"/>
        <v>0</v>
      </c>
    </row>
    <row r="16798" spans="13:13" x14ac:dyDescent="0.25">
      <c r="M16798" s="34">
        <f t="shared" si="438"/>
        <v>0</v>
      </c>
    </row>
    <row r="16799" spans="13:13" x14ac:dyDescent="0.25">
      <c r="M16799" s="34">
        <f t="shared" si="438"/>
        <v>0</v>
      </c>
    </row>
    <row r="16800" spans="13:13" x14ac:dyDescent="0.25">
      <c r="M16800" s="34">
        <f t="shared" si="438"/>
        <v>0</v>
      </c>
    </row>
    <row r="16801" spans="13:13" x14ac:dyDescent="0.25">
      <c r="M16801" s="34">
        <f t="shared" si="438"/>
        <v>0</v>
      </c>
    </row>
    <row r="16802" spans="13:13" x14ac:dyDescent="0.25">
      <c r="M16802" s="34">
        <f t="shared" si="438"/>
        <v>0</v>
      </c>
    </row>
    <row r="16803" spans="13:13" x14ac:dyDescent="0.25">
      <c r="M16803" s="34">
        <f t="shared" si="438"/>
        <v>0</v>
      </c>
    </row>
    <row r="16804" spans="13:13" x14ac:dyDescent="0.25">
      <c r="M16804" s="34">
        <f t="shared" si="438"/>
        <v>0</v>
      </c>
    </row>
    <row r="16805" spans="13:13" x14ac:dyDescent="0.25">
      <c r="M16805" s="34">
        <f t="shared" si="438"/>
        <v>0</v>
      </c>
    </row>
    <row r="16806" spans="13:13" x14ac:dyDescent="0.25">
      <c r="M16806" s="34">
        <f t="shared" si="438"/>
        <v>0</v>
      </c>
    </row>
    <row r="16807" spans="13:13" x14ac:dyDescent="0.25">
      <c r="M16807" s="34">
        <f t="shared" si="438"/>
        <v>0</v>
      </c>
    </row>
    <row r="16808" spans="13:13" x14ac:dyDescent="0.25">
      <c r="M16808" s="34">
        <f t="shared" si="438"/>
        <v>0</v>
      </c>
    </row>
    <row r="16809" spans="13:13" x14ac:dyDescent="0.25">
      <c r="M16809" s="34">
        <f t="shared" si="438"/>
        <v>0</v>
      </c>
    </row>
    <row r="16810" spans="13:13" x14ac:dyDescent="0.25">
      <c r="M16810" s="34">
        <f t="shared" si="438"/>
        <v>0</v>
      </c>
    </row>
    <row r="16811" spans="13:13" x14ac:dyDescent="0.25">
      <c r="M16811" s="34">
        <f t="shared" si="438"/>
        <v>0</v>
      </c>
    </row>
    <row r="16812" spans="13:13" x14ac:dyDescent="0.25">
      <c r="M16812" s="34">
        <f t="shared" si="438"/>
        <v>0</v>
      </c>
    </row>
    <row r="16813" spans="13:13" x14ac:dyDescent="0.25">
      <c r="M16813" s="34">
        <f t="shared" si="438"/>
        <v>0</v>
      </c>
    </row>
    <row r="16814" spans="13:13" x14ac:dyDescent="0.25">
      <c r="M16814" s="34">
        <f t="shared" si="438"/>
        <v>0</v>
      </c>
    </row>
    <row r="16815" spans="13:13" x14ac:dyDescent="0.25">
      <c r="M16815" s="34">
        <f t="shared" si="438"/>
        <v>0</v>
      </c>
    </row>
    <row r="16816" spans="13:13" x14ac:dyDescent="0.25">
      <c r="M16816" s="34">
        <f t="shared" si="438"/>
        <v>0</v>
      </c>
    </row>
    <row r="16817" spans="13:13" x14ac:dyDescent="0.25">
      <c r="M16817" s="34">
        <f t="shared" si="438"/>
        <v>0</v>
      </c>
    </row>
    <row r="16818" spans="13:13" x14ac:dyDescent="0.25">
      <c r="M16818" s="34">
        <f t="shared" si="438"/>
        <v>0</v>
      </c>
    </row>
    <row r="16819" spans="13:13" x14ac:dyDescent="0.25">
      <c r="M16819" s="34">
        <f t="shared" si="438"/>
        <v>0</v>
      </c>
    </row>
    <row r="16820" spans="13:13" x14ac:dyDescent="0.25">
      <c r="M16820" s="34">
        <f t="shared" si="438"/>
        <v>0</v>
      </c>
    </row>
    <row r="16821" spans="13:13" x14ac:dyDescent="0.25">
      <c r="M16821" s="34">
        <f t="shared" si="438"/>
        <v>0</v>
      </c>
    </row>
    <row r="16822" spans="13:13" x14ac:dyDescent="0.25">
      <c r="M16822" s="34">
        <f t="shared" si="438"/>
        <v>0</v>
      </c>
    </row>
    <row r="16823" spans="13:13" x14ac:dyDescent="0.25">
      <c r="M16823" s="34">
        <f t="shared" si="438"/>
        <v>0</v>
      </c>
    </row>
    <row r="16824" spans="13:13" x14ac:dyDescent="0.25">
      <c r="M16824" s="34">
        <f t="shared" si="438"/>
        <v>0</v>
      </c>
    </row>
    <row r="16825" spans="13:13" x14ac:dyDescent="0.25">
      <c r="M16825" s="34">
        <f t="shared" si="438"/>
        <v>0</v>
      </c>
    </row>
    <row r="16826" spans="13:13" x14ac:dyDescent="0.25">
      <c r="M16826" s="34">
        <f t="shared" si="438"/>
        <v>0</v>
      </c>
    </row>
    <row r="16827" spans="13:13" x14ac:dyDescent="0.25">
      <c r="M16827" s="34">
        <f t="shared" si="438"/>
        <v>0</v>
      </c>
    </row>
    <row r="16828" spans="13:13" x14ac:dyDescent="0.25">
      <c r="M16828" s="34">
        <f t="shared" si="438"/>
        <v>0</v>
      </c>
    </row>
    <row r="16829" spans="13:13" x14ac:dyDescent="0.25">
      <c r="M16829" s="34">
        <f t="shared" si="438"/>
        <v>0</v>
      </c>
    </row>
    <row r="16830" spans="13:13" x14ac:dyDescent="0.25">
      <c r="M16830" s="34">
        <f t="shared" si="438"/>
        <v>0</v>
      </c>
    </row>
    <row r="16831" spans="13:13" x14ac:dyDescent="0.25">
      <c r="M16831" s="34">
        <f t="shared" si="438"/>
        <v>0</v>
      </c>
    </row>
    <row r="16832" spans="13:13" x14ac:dyDescent="0.25">
      <c r="M16832" s="34">
        <f t="shared" si="438"/>
        <v>0</v>
      </c>
    </row>
    <row r="16833" spans="13:13" x14ac:dyDescent="0.25">
      <c r="M16833" s="34">
        <f t="shared" si="438"/>
        <v>0</v>
      </c>
    </row>
    <row r="16834" spans="13:13" x14ac:dyDescent="0.25">
      <c r="M16834" s="34">
        <f t="shared" si="438"/>
        <v>0</v>
      </c>
    </row>
    <row r="16835" spans="13:13" x14ac:dyDescent="0.25">
      <c r="M16835" s="34">
        <f t="shared" ref="M16835:M16898" si="439">IF(AND(E16835="Chèque",G16835="RECETTE"),F16835,0)</f>
        <v>0</v>
      </c>
    </row>
    <row r="16836" spans="13:13" x14ac:dyDescent="0.25">
      <c r="M16836" s="34">
        <f t="shared" si="439"/>
        <v>0</v>
      </c>
    </row>
    <row r="16837" spans="13:13" x14ac:dyDescent="0.25">
      <c r="M16837" s="34">
        <f t="shared" si="439"/>
        <v>0</v>
      </c>
    </row>
    <row r="16838" spans="13:13" x14ac:dyDescent="0.25">
      <c r="M16838" s="34">
        <f t="shared" si="439"/>
        <v>0</v>
      </c>
    </row>
    <row r="16839" spans="13:13" x14ac:dyDescent="0.25">
      <c r="M16839" s="34">
        <f t="shared" si="439"/>
        <v>0</v>
      </c>
    </row>
    <row r="16840" spans="13:13" x14ac:dyDescent="0.25">
      <c r="M16840" s="34">
        <f t="shared" si="439"/>
        <v>0</v>
      </c>
    </row>
    <row r="16841" spans="13:13" x14ac:dyDescent="0.25">
      <c r="M16841" s="34">
        <f t="shared" si="439"/>
        <v>0</v>
      </c>
    </row>
    <row r="16842" spans="13:13" x14ac:dyDescent="0.25">
      <c r="M16842" s="34">
        <f t="shared" si="439"/>
        <v>0</v>
      </c>
    </row>
    <row r="16843" spans="13:13" x14ac:dyDescent="0.25">
      <c r="M16843" s="34">
        <f t="shared" si="439"/>
        <v>0</v>
      </c>
    </row>
    <row r="16844" spans="13:13" x14ac:dyDescent="0.25">
      <c r="M16844" s="34">
        <f t="shared" si="439"/>
        <v>0</v>
      </c>
    </row>
    <row r="16845" spans="13:13" x14ac:dyDescent="0.25">
      <c r="M16845" s="34">
        <f t="shared" si="439"/>
        <v>0</v>
      </c>
    </row>
    <row r="16846" spans="13:13" x14ac:dyDescent="0.25">
      <c r="M16846" s="34">
        <f t="shared" si="439"/>
        <v>0</v>
      </c>
    </row>
    <row r="16847" spans="13:13" x14ac:dyDescent="0.25">
      <c r="M16847" s="34">
        <f t="shared" si="439"/>
        <v>0</v>
      </c>
    </row>
    <row r="16848" spans="13:13" x14ac:dyDescent="0.25">
      <c r="M16848" s="34">
        <f t="shared" si="439"/>
        <v>0</v>
      </c>
    </row>
    <row r="16849" spans="13:13" x14ac:dyDescent="0.25">
      <c r="M16849" s="34">
        <f t="shared" si="439"/>
        <v>0</v>
      </c>
    </row>
    <row r="16850" spans="13:13" x14ac:dyDescent="0.25">
      <c r="M16850" s="34">
        <f t="shared" si="439"/>
        <v>0</v>
      </c>
    </row>
    <row r="16851" spans="13:13" x14ac:dyDescent="0.25">
      <c r="M16851" s="34">
        <f t="shared" si="439"/>
        <v>0</v>
      </c>
    </row>
    <row r="16852" spans="13:13" x14ac:dyDescent="0.25">
      <c r="M16852" s="34">
        <f t="shared" si="439"/>
        <v>0</v>
      </c>
    </row>
    <row r="16853" spans="13:13" x14ac:dyDescent="0.25">
      <c r="M16853" s="34">
        <f t="shared" si="439"/>
        <v>0</v>
      </c>
    </row>
    <row r="16854" spans="13:13" x14ac:dyDescent="0.25">
      <c r="M16854" s="34">
        <f t="shared" si="439"/>
        <v>0</v>
      </c>
    </row>
    <row r="16855" spans="13:13" x14ac:dyDescent="0.25">
      <c r="M16855" s="34">
        <f t="shared" si="439"/>
        <v>0</v>
      </c>
    </row>
    <row r="16856" spans="13:13" x14ac:dyDescent="0.25">
      <c r="M16856" s="34">
        <f t="shared" si="439"/>
        <v>0</v>
      </c>
    </row>
    <row r="16857" spans="13:13" x14ac:dyDescent="0.25">
      <c r="M16857" s="34">
        <f t="shared" si="439"/>
        <v>0</v>
      </c>
    </row>
    <row r="16858" spans="13:13" x14ac:dyDescent="0.25">
      <c r="M16858" s="34">
        <f t="shared" si="439"/>
        <v>0</v>
      </c>
    </row>
    <row r="16859" spans="13:13" x14ac:dyDescent="0.25">
      <c r="M16859" s="34">
        <f t="shared" si="439"/>
        <v>0</v>
      </c>
    </row>
    <row r="16860" spans="13:13" x14ac:dyDescent="0.25">
      <c r="M16860" s="34">
        <f t="shared" si="439"/>
        <v>0</v>
      </c>
    </row>
    <row r="16861" spans="13:13" x14ac:dyDescent="0.25">
      <c r="M16861" s="34">
        <f t="shared" si="439"/>
        <v>0</v>
      </c>
    </row>
    <row r="16862" spans="13:13" x14ac:dyDescent="0.25">
      <c r="M16862" s="34">
        <f t="shared" si="439"/>
        <v>0</v>
      </c>
    </row>
    <row r="16863" spans="13:13" x14ac:dyDescent="0.25">
      <c r="M16863" s="34">
        <f t="shared" si="439"/>
        <v>0</v>
      </c>
    </row>
    <row r="16864" spans="13:13" x14ac:dyDescent="0.25">
      <c r="M16864" s="34">
        <f t="shared" si="439"/>
        <v>0</v>
      </c>
    </row>
    <row r="16865" spans="13:13" x14ac:dyDescent="0.25">
      <c r="M16865" s="34">
        <f t="shared" si="439"/>
        <v>0</v>
      </c>
    </row>
    <row r="16866" spans="13:13" x14ac:dyDescent="0.25">
      <c r="M16866" s="34">
        <f t="shared" si="439"/>
        <v>0</v>
      </c>
    </row>
    <row r="16867" spans="13:13" x14ac:dyDescent="0.25">
      <c r="M16867" s="34">
        <f t="shared" si="439"/>
        <v>0</v>
      </c>
    </row>
    <row r="16868" spans="13:13" x14ac:dyDescent="0.25">
      <c r="M16868" s="34">
        <f t="shared" si="439"/>
        <v>0</v>
      </c>
    </row>
    <row r="16869" spans="13:13" x14ac:dyDescent="0.25">
      <c r="M16869" s="34">
        <f t="shared" si="439"/>
        <v>0</v>
      </c>
    </row>
    <row r="16870" spans="13:13" x14ac:dyDescent="0.25">
      <c r="M16870" s="34">
        <f t="shared" si="439"/>
        <v>0</v>
      </c>
    </row>
    <row r="16871" spans="13:13" x14ac:dyDescent="0.25">
      <c r="M16871" s="34">
        <f t="shared" si="439"/>
        <v>0</v>
      </c>
    </row>
    <row r="16872" spans="13:13" x14ac:dyDescent="0.25">
      <c r="M16872" s="34">
        <f t="shared" si="439"/>
        <v>0</v>
      </c>
    </row>
    <row r="16873" spans="13:13" x14ac:dyDescent="0.25">
      <c r="M16873" s="34">
        <f t="shared" si="439"/>
        <v>0</v>
      </c>
    </row>
    <row r="16874" spans="13:13" x14ac:dyDescent="0.25">
      <c r="M16874" s="34">
        <f t="shared" si="439"/>
        <v>0</v>
      </c>
    </row>
    <row r="16875" spans="13:13" x14ac:dyDescent="0.25">
      <c r="M16875" s="34">
        <f t="shared" si="439"/>
        <v>0</v>
      </c>
    </row>
    <row r="16876" spans="13:13" x14ac:dyDescent="0.25">
      <c r="M16876" s="34">
        <f t="shared" si="439"/>
        <v>0</v>
      </c>
    </row>
    <row r="16877" spans="13:13" x14ac:dyDescent="0.25">
      <c r="M16877" s="34">
        <f t="shared" si="439"/>
        <v>0</v>
      </c>
    </row>
    <row r="16878" spans="13:13" x14ac:dyDescent="0.25">
      <c r="M16878" s="34">
        <f t="shared" si="439"/>
        <v>0</v>
      </c>
    </row>
    <row r="16879" spans="13:13" x14ac:dyDescent="0.25">
      <c r="M16879" s="34">
        <f t="shared" si="439"/>
        <v>0</v>
      </c>
    </row>
    <row r="16880" spans="13:13" x14ac:dyDescent="0.25">
      <c r="M16880" s="34">
        <f t="shared" si="439"/>
        <v>0</v>
      </c>
    </row>
    <row r="16881" spans="13:13" x14ac:dyDescent="0.25">
      <c r="M16881" s="34">
        <f t="shared" si="439"/>
        <v>0</v>
      </c>
    </row>
    <row r="16882" spans="13:13" x14ac:dyDescent="0.25">
      <c r="M16882" s="34">
        <f t="shared" si="439"/>
        <v>0</v>
      </c>
    </row>
    <row r="16883" spans="13:13" x14ac:dyDescent="0.25">
      <c r="M16883" s="34">
        <f t="shared" si="439"/>
        <v>0</v>
      </c>
    </row>
    <row r="16884" spans="13:13" x14ac:dyDescent="0.25">
      <c r="M16884" s="34">
        <f t="shared" si="439"/>
        <v>0</v>
      </c>
    </row>
    <row r="16885" spans="13:13" x14ac:dyDescent="0.25">
      <c r="M16885" s="34">
        <f t="shared" si="439"/>
        <v>0</v>
      </c>
    </row>
    <row r="16886" spans="13:13" x14ac:dyDescent="0.25">
      <c r="M16886" s="34">
        <f t="shared" si="439"/>
        <v>0</v>
      </c>
    </row>
    <row r="16887" spans="13:13" x14ac:dyDescent="0.25">
      <c r="M16887" s="34">
        <f t="shared" si="439"/>
        <v>0</v>
      </c>
    </row>
    <row r="16888" spans="13:13" x14ac:dyDescent="0.25">
      <c r="M16888" s="34">
        <f t="shared" si="439"/>
        <v>0</v>
      </c>
    </row>
    <row r="16889" spans="13:13" x14ac:dyDescent="0.25">
      <c r="M16889" s="34">
        <f t="shared" si="439"/>
        <v>0</v>
      </c>
    </row>
    <row r="16890" spans="13:13" x14ac:dyDescent="0.25">
      <c r="M16890" s="34">
        <f t="shared" si="439"/>
        <v>0</v>
      </c>
    </row>
    <row r="16891" spans="13:13" x14ac:dyDescent="0.25">
      <c r="M16891" s="34">
        <f t="shared" si="439"/>
        <v>0</v>
      </c>
    </row>
    <row r="16892" spans="13:13" x14ac:dyDescent="0.25">
      <c r="M16892" s="34">
        <f t="shared" si="439"/>
        <v>0</v>
      </c>
    </row>
    <row r="16893" spans="13:13" x14ac:dyDescent="0.25">
      <c r="M16893" s="34">
        <f t="shared" si="439"/>
        <v>0</v>
      </c>
    </row>
    <row r="16894" spans="13:13" x14ac:dyDescent="0.25">
      <c r="M16894" s="34">
        <f t="shared" si="439"/>
        <v>0</v>
      </c>
    </row>
    <row r="16895" spans="13:13" x14ac:dyDescent="0.25">
      <c r="M16895" s="34">
        <f t="shared" si="439"/>
        <v>0</v>
      </c>
    </row>
    <row r="16896" spans="13:13" x14ac:dyDescent="0.25">
      <c r="M16896" s="34">
        <f t="shared" si="439"/>
        <v>0</v>
      </c>
    </row>
    <row r="16897" spans="13:13" x14ac:dyDescent="0.25">
      <c r="M16897" s="34">
        <f t="shared" si="439"/>
        <v>0</v>
      </c>
    </row>
    <row r="16898" spans="13:13" x14ac:dyDescent="0.25">
      <c r="M16898" s="34">
        <f t="shared" si="439"/>
        <v>0</v>
      </c>
    </row>
    <row r="16899" spans="13:13" x14ac:dyDescent="0.25">
      <c r="M16899" s="34">
        <f t="shared" ref="M16899:M16962" si="440">IF(AND(E16899="Chèque",G16899="RECETTE"),F16899,0)</f>
        <v>0</v>
      </c>
    </row>
    <row r="16900" spans="13:13" x14ac:dyDescent="0.25">
      <c r="M16900" s="34">
        <f t="shared" si="440"/>
        <v>0</v>
      </c>
    </row>
    <row r="16901" spans="13:13" x14ac:dyDescent="0.25">
      <c r="M16901" s="34">
        <f t="shared" si="440"/>
        <v>0</v>
      </c>
    </row>
    <row r="16902" spans="13:13" x14ac:dyDescent="0.25">
      <c r="M16902" s="34">
        <f t="shared" si="440"/>
        <v>0</v>
      </c>
    </row>
    <row r="16903" spans="13:13" x14ac:dyDescent="0.25">
      <c r="M16903" s="34">
        <f t="shared" si="440"/>
        <v>0</v>
      </c>
    </row>
    <row r="16904" spans="13:13" x14ac:dyDescent="0.25">
      <c r="M16904" s="34">
        <f t="shared" si="440"/>
        <v>0</v>
      </c>
    </row>
    <row r="16905" spans="13:13" x14ac:dyDescent="0.25">
      <c r="M16905" s="34">
        <f t="shared" si="440"/>
        <v>0</v>
      </c>
    </row>
    <row r="16906" spans="13:13" x14ac:dyDescent="0.25">
      <c r="M16906" s="34">
        <f t="shared" si="440"/>
        <v>0</v>
      </c>
    </row>
    <row r="16907" spans="13:13" x14ac:dyDescent="0.25">
      <c r="M16907" s="34">
        <f t="shared" si="440"/>
        <v>0</v>
      </c>
    </row>
    <row r="16908" spans="13:13" x14ac:dyDescent="0.25">
      <c r="M16908" s="34">
        <f t="shared" si="440"/>
        <v>0</v>
      </c>
    </row>
    <row r="16909" spans="13:13" x14ac:dyDescent="0.25">
      <c r="M16909" s="34">
        <f t="shared" si="440"/>
        <v>0</v>
      </c>
    </row>
    <row r="16910" spans="13:13" x14ac:dyDescent="0.25">
      <c r="M16910" s="34">
        <f t="shared" si="440"/>
        <v>0</v>
      </c>
    </row>
    <row r="16911" spans="13:13" x14ac:dyDescent="0.25">
      <c r="M16911" s="34">
        <f t="shared" si="440"/>
        <v>0</v>
      </c>
    </row>
    <row r="16912" spans="13:13" x14ac:dyDescent="0.25">
      <c r="M16912" s="34">
        <f t="shared" si="440"/>
        <v>0</v>
      </c>
    </row>
    <row r="16913" spans="13:13" x14ac:dyDescent="0.25">
      <c r="M16913" s="34">
        <f t="shared" si="440"/>
        <v>0</v>
      </c>
    </row>
    <row r="16914" spans="13:13" x14ac:dyDescent="0.25">
      <c r="M16914" s="34">
        <f t="shared" si="440"/>
        <v>0</v>
      </c>
    </row>
    <row r="16915" spans="13:13" x14ac:dyDescent="0.25">
      <c r="M16915" s="34">
        <f t="shared" si="440"/>
        <v>0</v>
      </c>
    </row>
    <row r="16916" spans="13:13" x14ac:dyDescent="0.25">
      <c r="M16916" s="34">
        <f t="shared" si="440"/>
        <v>0</v>
      </c>
    </row>
    <row r="16917" spans="13:13" x14ac:dyDescent="0.25">
      <c r="M16917" s="34">
        <f t="shared" si="440"/>
        <v>0</v>
      </c>
    </row>
    <row r="16918" spans="13:13" x14ac:dyDescent="0.25">
      <c r="M16918" s="34">
        <f t="shared" si="440"/>
        <v>0</v>
      </c>
    </row>
    <row r="16919" spans="13:13" x14ac:dyDescent="0.25">
      <c r="M16919" s="34">
        <f t="shared" si="440"/>
        <v>0</v>
      </c>
    </row>
    <row r="16920" spans="13:13" x14ac:dyDescent="0.25">
      <c r="M16920" s="34">
        <f t="shared" si="440"/>
        <v>0</v>
      </c>
    </row>
    <row r="16921" spans="13:13" x14ac:dyDescent="0.25">
      <c r="M16921" s="34">
        <f t="shared" si="440"/>
        <v>0</v>
      </c>
    </row>
    <row r="16922" spans="13:13" x14ac:dyDescent="0.25">
      <c r="M16922" s="34">
        <f t="shared" si="440"/>
        <v>0</v>
      </c>
    </row>
    <row r="16923" spans="13:13" x14ac:dyDescent="0.25">
      <c r="M16923" s="34">
        <f t="shared" si="440"/>
        <v>0</v>
      </c>
    </row>
    <row r="16924" spans="13:13" x14ac:dyDescent="0.25">
      <c r="M16924" s="34">
        <f t="shared" si="440"/>
        <v>0</v>
      </c>
    </row>
    <row r="16925" spans="13:13" x14ac:dyDescent="0.25">
      <c r="M16925" s="34">
        <f t="shared" si="440"/>
        <v>0</v>
      </c>
    </row>
    <row r="16926" spans="13:13" x14ac:dyDescent="0.25">
      <c r="M16926" s="34">
        <f t="shared" si="440"/>
        <v>0</v>
      </c>
    </row>
    <row r="16927" spans="13:13" x14ac:dyDescent="0.25">
      <c r="M16927" s="34">
        <f t="shared" si="440"/>
        <v>0</v>
      </c>
    </row>
    <row r="16928" spans="13:13" x14ac:dyDescent="0.25">
      <c r="M16928" s="34">
        <f t="shared" si="440"/>
        <v>0</v>
      </c>
    </row>
    <row r="16929" spans="13:13" x14ac:dyDescent="0.25">
      <c r="M16929" s="34">
        <f t="shared" si="440"/>
        <v>0</v>
      </c>
    </row>
    <row r="16930" spans="13:13" x14ac:dyDescent="0.25">
      <c r="M16930" s="34">
        <f t="shared" si="440"/>
        <v>0</v>
      </c>
    </row>
    <row r="16931" spans="13:13" x14ac:dyDescent="0.25">
      <c r="M16931" s="34">
        <f t="shared" si="440"/>
        <v>0</v>
      </c>
    </row>
    <row r="16932" spans="13:13" x14ac:dyDescent="0.25">
      <c r="M16932" s="34">
        <f t="shared" si="440"/>
        <v>0</v>
      </c>
    </row>
    <row r="16933" spans="13:13" x14ac:dyDescent="0.25">
      <c r="M16933" s="34">
        <f t="shared" si="440"/>
        <v>0</v>
      </c>
    </row>
    <row r="16934" spans="13:13" x14ac:dyDescent="0.25">
      <c r="M16934" s="34">
        <f t="shared" si="440"/>
        <v>0</v>
      </c>
    </row>
    <row r="16935" spans="13:13" x14ac:dyDescent="0.25">
      <c r="M16935" s="34">
        <f t="shared" si="440"/>
        <v>0</v>
      </c>
    </row>
    <row r="16936" spans="13:13" x14ac:dyDescent="0.25">
      <c r="M16936" s="34">
        <f t="shared" si="440"/>
        <v>0</v>
      </c>
    </row>
    <row r="16937" spans="13:13" x14ac:dyDescent="0.25">
      <c r="M16937" s="34">
        <f t="shared" si="440"/>
        <v>0</v>
      </c>
    </row>
    <row r="16938" spans="13:13" x14ac:dyDescent="0.25">
      <c r="M16938" s="34">
        <f t="shared" si="440"/>
        <v>0</v>
      </c>
    </row>
    <row r="16939" spans="13:13" x14ac:dyDescent="0.25">
      <c r="M16939" s="34">
        <f t="shared" si="440"/>
        <v>0</v>
      </c>
    </row>
    <row r="16940" spans="13:13" x14ac:dyDescent="0.25">
      <c r="M16940" s="34">
        <f t="shared" si="440"/>
        <v>0</v>
      </c>
    </row>
    <row r="16941" spans="13:13" x14ac:dyDescent="0.25">
      <c r="M16941" s="34">
        <f t="shared" si="440"/>
        <v>0</v>
      </c>
    </row>
    <row r="16942" spans="13:13" x14ac:dyDescent="0.25">
      <c r="M16942" s="34">
        <f t="shared" si="440"/>
        <v>0</v>
      </c>
    </row>
    <row r="16943" spans="13:13" x14ac:dyDescent="0.25">
      <c r="M16943" s="34">
        <f t="shared" si="440"/>
        <v>0</v>
      </c>
    </row>
    <row r="16944" spans="13:13" x14ac:dyDescent="0.25">
      <c r="M16944" s="34">
        <f t="shared" si="440"/>
        <v>0</v>
      </c>
    </row>
    <row r="16945" spans="13:13" x14ac:dyDescent="0.25">
      <c r="M16945" s="34">
        <f t="shared" si="440"/>
        <v>0</v>
      </c>
    </row>
    <row r="16946" spans="13:13" x14ac:dyDescent="0.25">
      <c r="M16946" s="34">
        <f t="shared" si="440"/>
        <v>0</v>
      </c>
    </row>
    <row r="16947" spans="13:13" x14ac:dyDescent="0.25">
      <c r="M16947" s="34">
        <f t="shared" si="440"/>
        <v>0</v>
      </c>
    </row>
    <row r="16948" spans="13:13" x14ac:dyDescent="0.25">
      <c r="M16948" s="34">
        <f t="shared" si="440"/>
        <v>0</v>
      </c>
    </row>
    <row r="16949" spans="13:13" x14ac:dyDescent="0.25">
      <c r="M16949" s="34">
        <f t="shared" si="440"/>
        <v>0</v>
      </c>
    </row>
    <row r="16950" spans="13:13" x14ac:dyDescent="0.25">
      <c r="M16950" s="34">
        <f t="shared" si="440"/>
        <v>0</v>
      </c>
    </row>
    <row r="16951" spans="13:13" x14ac:dyDescent="0.25">
      <c r="M16951" s="34">
        <f t="shared" si="440"/>
        <v>0</v>
      </c>
    </row>
    <row r="16952" spans="13:13" x14ac:dyDescent="0.25">
      <c r="M16952" s="34">
        <f t="shared" si="440"/>
        <v>0</v>
      </c>
    </row>
    <row r="16953" spans="13:13" x14ac:dyDescent="0.25">
      <c r="M16953" s="34">
        <f t="shared" si="440"/>
        <v>0</v>
      </c>
    </row>
    <row r="16954" spans="13:13" x14ac:dyDescent="0.25">
      <c r="M16954" s="34">
        <f t="shared" si="440"/>
        <v>0</v>
      </c>
    </row>
    <row r="16955" spans="13:13" x14ac:dyDescent="0.25">
      <c r="M16955" s="34">
        <f t="shared" si="440"/>
        <v>0</v>
      </c>
    </row>
    <row r="16956" spans="13:13" x14ac:dyDescent="0.25">
      <c r="M16956" s="34">
        <f t="shared" si="440"/>
        <v>0</v>
      </c>
    </row>
    <row r="16957" spans="13:13" x14ac:dyDescent="0.25">
      <c r="M16957" s="34">
        <f t="shared" si="440"/>
        <v>0</v>
      </c>
    </row>
    <row r="16958" spans="13:13" x14ac:dyDescent="0.25">
      <c r="M16958" s="34">
        <f t="shared" si="440"/>
        <v>0</v>
      </c>
    </row>
    <row r="16959" spans="13:13" x14ac:dyDescent="0.25">
      <c r="M16959" s="34">
        <f t="shared" si="440"/>
        <v>0</v>
      </c>
    </row>
    <row r="16960" spans="13:13" x14ac:dyDescent="0.25">
      <c r="M16960" s="34">
        <f t="shared" si="440"/>
        <v>0</v>
      </c>
    </row>
    <row r="16961" spans="13:13" x14ac:dyDescent="0.25">
      <c r="M16961" s="34">
        <f t="shared" si="440"/>
        <v>0</v>
      </c>
    </row>
    <row r="16962" spans="13:13" x14ac:dyDescent="0.25">
      <c r="M16962" s="34">
        <f t="shared" si="440"/>
        <v>0</v>
      </c>
    </row>
    <row r="16963" spans="13:13" x14ac:dyDescent="0.25">
      <c r="M16963" s="34">
        <f t="shared" ref="M16963:M17026" si="441">IF(AND(E16963="Chèque",G16963="RECETTE"),F16963,0)</f>
        <v>0</v>
      </c>
    </row>
    <row r="16964" spans="13:13" x14ac:dyDescent="0.25">
      <c r="M16964" s="34">
        <f t="shared" si="441"/>
        <v>0</v>
      </c>
    </row>
    <row r="16965" spans="13:13" x14ac:dyDescent="0.25">
      <c r="M16965" s="34">
        <f t="shared" si="441"/>
        <v>0</v>
      </c>
    </row>
    <row r="16966" spans="13:13" x14ac:dyDescent="0.25">
      <c r="M16966" s="34">
        <f t="shared" si="441"/>
        <v>0</v>
      </c>
    </row>
    <row r="16967" spans="13:13" x14ac:dyDescent="0.25">
      <c r="M16967" s="34">
        <f t="shared" si="441"/>
        <v>0</v>
      </c>
    </row>
    <row r="16968" spans="13:13" x14ac:dyDescent="0.25">
      <c r="M16968" s="34">
        <f t="shared" si="441"/>
        <v>0</v>
      </c>
    </row>
    <row r="16969" spans="13:13" x14ac:dyDescent="0.25">
      <c r="M16969" s="34">
        <f t="shared" si="441"/>
        <v>0</v>
      </c>
    </row>
    <row r="16970" spans="13:13" x14ac:dyDescent="0.25">
      <c r="M16970" s="34">
        <f t="shared" si="441"/>
        <v>0</v>
      </c>
    </row>
    <row r="16971" spans="13:13" x14ac:dyDescent="0.25">
      <c r="M16971" s="34">
        <f t="shared" si="441"/>
        <v>0</v>
      </c>
    </row>
    <row r="16972" spans="13:13" x14ac:dyDescent="0.25">
      <c r="M16972" s="34">
        <f t="shared" si="441"/>
        <v>0</v>
      </c>
    </row>
    <row r="16973" spans="13:13" x14ac:dyDescent="0.25">
      <c r="M16973" s="34">
        <f t="shared" si="441"/>
        <v>0</v>
      </c>
    </row>
    <row r="16974" spans="13:13" x14ac:dyDescent="0.25">
      <c r="M16974" s="34">
        <f t="shared" si="441"/>
        <v>0</v>
      </c>
    </row>
    <row r="16975" spans="13:13" x14ac:dyDescent="0.25">
      <c r="M16975" s="34">
        <f t="shared" si="441"/>
        <v>0</v>
      </c>
    </row>
    <row r="16976" spans="13:13" x14ac:dyDescent="0.25">
      <c r="M16976" s="34">
        <f t="shared" si="441"/>
        <v>0</v>
      </c>
    </row>
    <row r="16977" spans="13:13" x14ac:dyDescent="0.25">
      <c r="M16977" s="34">
        <f t="shared" si="441"/>
        <v>0</v>
      </c>
    </row>
    <row r="16978" spans="13:13" x14ac:dyDescent="0.25">
      <c r="M16978" s="34">
        <f t="shared" si="441"/>
        <v>0</v>
      </c>
    </row>
    <row r="16979" spans="13:13" x14ac:dyDescent="0.25">
      <c r="M16979" s="34">
        <f t="shared" si="441"/>
        <v>0</v>
      </c>
    </row>
    <row r="16980" spans="13:13" x14ac:dyDescent="0.25">
      <c r="M16980" s="34">
        <f t="shared" si="441"/>
        <v>0</v>
      </c>
    </row>
    <row r="16981" spans="13:13" x14ac:dyDescent="0.25">
      <c r="M16981" s="34">
        <f t="shared" si="441"/>
        <v>0</v>
      </c>
    </row>
    <row r="16982" spans="13:13" x14ac:dyDescent="0.25">
      <c r="M16982" s="34">
        <f t="shared" si="441"/>
        <v>0</v>
      </c>
    </row>
    <row r="16983" spans="13:13" x14ac:dyDescent="0.25">
      <c r="M16983" s="34">
        <f t="shared" si="441"/>
        <v>0</v>
      </c>
    </row>
    <row r="16984" spans="13:13" x14ac:dyDescent="0.25">
      <c r="M16984" s="34">
        <f t="shared" si="441"/>
        <v>0</v>
      </c>
    </row>
    <row r="16985" spans="13:13" x14ac:dyDescent="0.25">
      <c r="M16985" s="34">
        <f t="shared" si="441"/>
        <v>0</v>
      </c>
    </row>
    <row r="16986" spans="13:13" x14ac:dyDescent="0.25">
      <c r="M16986" s="34">
        <f t="shared" si="441"/>
        <v>0</v>
      </c>
    </row>
    <row r="16987" spans="13:13" x14ac:dyDescent="0.25">
      <c r="M16987" s="34">
        <f t="shared" si="441"/>
        <v>0</v>
      </c>
    </row>
    <row r="16988" spans="13:13" x14ac:dyDescent="0.25">
      <c r="M16988" s="34">
        <f t="shared" si="441"/>
        <v>0</v>
      </c>
    </row>
    <row r="16989" spans="13:13" x14ac:dyDescent="0.25">
      <c r="M16989" s="34">
        <f t="shared" si="441"/>
        <v>0</v>
      </c>
    </row>
    <row r="16990" spans="13:13" x14ac:dyDescent="0.25">
      <c r="M16990" s="34">
        <f t="shared" si="441"/>
        <v>0</v>
      </c>
    </row>
    <row r="16991" spans="13:13" x14ac:dyDescent="0.25">
      <c r="M16991" s="34">
        <f t="shared" si="441"/>
        <v>0</v>
      </c>
    </row>
    <row r="16992" spans="13:13" x14ac:dyDescent="0.25">
      <c r="M16992" s="34">
        <f t="shared" si="441"/>
        <v>0</v>
      </c>
    </row>
    <row r="16993" spans="13:13" x14ac:dyDescent="0.25">
      <c r="M16993" s="34">
        <f t="shared" si="441"/>
        <v>0</v>
      </c>
    </row>
    <row r="16994" spans="13:13" x14ac:dyDescent="0.25">
      <c r="M16994" s="34">
        <f t="shared" si="441"/>
        <v>0</v>
      </c>
    </row>
    <row r="16995" spans="13:13" x14ac:dyDescent="0.25">
      <c r="M16995" s="34">
        <f t="shared" si="441"/>
        <v>0</v>
      </c>
    </row>
    <row r="16996" spans="13:13" x14ac:dyDescent="0.25">
      <c r="M16996" s="34">
        <f t="shared" si="441"/>
        <v>0</v>
      </c>
    </row>
    <row r="16997" spans="13:13" x14ac:dyDescent="0.25">
      <c r="M16997" s="34">
        <f t="shared" si="441"/>
        <v>0</v>
      </c>
    </row>
    <row r="16998" spans="13:13" x14ac:dyDescent="0.25">
      <c r="M16998" s="34">
        <f t="shared" si="441"/>
        <v>0</v>
      </c>
    </row>
    <row r="16999" spans="13:13" x14ac:dyDescent="0.25">
      <c r="M16999" s="34">
        <f t="shared" si="441"/>
        <v>0</v>
      </c>
    </row>
    <row r="17000" spans="13:13" x14ac:dyDescent="0.25">
      <c r="M17000" s="34">
        <f t="shared" si="441"/>
        <v>0</v>
      </c>
    </row>
    <row r="17001" spans="13:13" x14ac:dyDescent="0.25">
      <c r="M17001" s="34">
        <f t="shared" si="441"/>
        <v>0</v>
      </c>
    </row>
    <row r="17002" spans="13:13" x14ac:dyDescent="0.25">
      <c r="M17002" s="34">
        <f t="shared" si="441"/>
        <v>0</v>
      </c>
    </row>
    <row r="17003" spans="13:13" x14ac:dyDescent="0.25">
      <c r="M17003" s="34">
        <f t="shared" si="441"/>
        <v>0</v>
      </c>
    </row>
    <row r="17004" spans="13:13" x14ac:dyDescent="0.25">
      <c r="M17004" s="34">
        <f t="shared" si="441"/>
        <v>0</v>
      </c>
    </row>
    <row r="17005" spans="13:13" x14ac:dyDescent="0.25">
      <c r="M17005" s="34">
        <f t="shared" si="441"/>
        <v>0</v>
      </c>
    </row>
    <row r="17006" spans="13:13" x14ac:dyDescent="0.25">
      <c r="M17006" s="34">
        <f t="shared" si="441"/>
        <v>0</v>
      </c>
    </row>
    <row r="17007" spans="13:13" x14ac:dyDescent="0.25">
      <c r="M17007" s="34">
        <f t="shared" si="441"/>
        <v>0</v>
      </c>
    </row>
    <row r="17008" spans="13:13" x14ac:dyDescent="0.25">
      <c r="M17008" s="34">
        <f t="shared" si="441"/>
        <v>0</v>
      </c>
    </row>
    <row r="17009" spans="13:13" x14ac:dyDescent="0.25">
      <c r="M17009" s="34">
        <f t="shared" si="441"/>
        <v>0</v>
      </c>
    </row>
    <row r="17010" spans="13:13" x14ac:dyDescent="0.25">
      <c r="M17010" s="34">
        <f t="shared" si="441"/>
        <v>0</v>
      </c>
    </row>
    <row r="17011" spans="13:13" x14ac:dyDescent="0.25">
      <c r="M17011" s="34">
        <f t="shared" si="441"/>
        <v>0</v>
      </c>
    </row>
    <row r="17012" spans="13:13" x14ac:dyDescent="0.25">
      <c r="M17012" s="34">
        <f t="shared" si="441"/>
        <v>0</v>
      </c>
    </row>
    <row r="17013" spans="13:13" x14ac:dyDescent="0.25">
      <c r="M17013" s="34">
        <f t="shared" si="441"/>
        <v>0</v>
      </c>
    </row>
    <row r="17014" spans="13:13" x14ac:dyDescent="0.25">
      <c r="M17014" s="34">
        <f t="shared" si="441"/>
        <v>0</v>
      </c>
    </row>
    <row r="17015" spans="13:13" x14ac:dyDescent="0.25">
      <c r="M17015" s="34">
        <f t="shared" si="441"/>
        <v>0</v>
      </c>
    </row>
    <row r="17016" spans="13:13" x14ac:dyDescent="0.25">
      <c r="M17016" s="34">
        <f t="shared" si="441"/>
        <v>0</v>
      </c>
    </row>
    <row r="17017" spans="13:13" x14ac:dyDescent="0.25">
      <c r="M17017" s="34">
        <f t="shared" si="441"/>
        <v>0</v>
      </c>
    </row>
    <row r="17018" spans="13:13" x14ac:dyDescent="0.25">
      <c r="M17018" s="34">
        <f t="shared" si="441"/>
        <v>0</v>
      </c>
    </row>
    <row r="17019" spans="13:13" x14ac:dyDescent="0.25">
      <c r="M17019" s="34">
        <f t="shared" si="441"/>
        <v>0</v>
      </c>
    </row>
    <row r="17020" spans="13:13" x14ac:dyDescent="0.25">
      <c r="M17020" s="34">
        <f t="shared" si="441"/>
        <v>0</v>
      </c>
    </row>
    <row r="17021" spans="13:13" x14ac:dyDescent="0.25">
      <c r="M17021" s="34">
        <f t="shared" si="441"/>
        <v>0</v>
      </c>
    </row>
    <row r="17022" spans="13:13" x14ac:dyDescent="0.25">
      <c r="M17022" s="34">
        <f t="shared" si="441"/>
        <v>0</v>
      </c>
    </row>
    <row r="17023" spans="13:13" x14ac:dyDescent="0.25">
      <c r="M17023" s="34">
        <f t="shared" si="441"/>
        <v>0</v>
      </c>
    </row>
    <row r="17024" spans="13:13" x14ac:dyDescent="0.25">
      <c r="M17024" s="34">
        <f t="shared" si="441"/>
        <v>0</v>
      </c>
    </row>
    <row r="17025" spans="13:13" x14ac:dyDescent="0.25">
      <c r="M17025" s="34">
        <f t="shared" si="441"/>
        <v>0</v>
      </c>
    </row>
    <row r="17026" spans="13:13" x14ac:dyDescent="0.25">
      <c r="M17026" s="34">
        <f t="shared" si="441"/>
        <v>0</v>
      </c>
    </row>
    <row r="17027" spans="13:13" x14ac:dyDescent="0.25">
      <c r="M17027" s="34">
        <f t="shared" ref="M17027:M17090" si="442">IF(AND(E17027="Chèque",G17027="RECETTE"),F17027,0)</f>
        <v>0</v>
      </c>
    </row>
    <row r="17028" spans="13:13" x14ac:dyDescent="0.25">
      <c r="M17028" s="34">
        <f t="shared" si="442"/>
        <v>0</v>
      </c>
    </row>
    <row r="17029" spans="13:13" x14ac:dyDescent="0.25">
      <c r="M17029" s="34">
        <f t="shared" si="442"/>
        <v>0</v>
      </c>
    </row>
    <row r="17030" spans="13:13" x14ac:dyDescent="0.25">
      <c r="M17030" s="34">
        <f t="shared" si="442"/>
        <v>0</v>
      </c>
    </row>
    <row r="17031" spans="13:13" x14ac:dyDescent="0.25">
      <c r="M17031" s="34">
        <f t="shared" si="442"/>
        <v>0</v>
      </c>
    </row>
    <row r="17032" spans="13:13" x14ac:dyDescent="0.25">
      <c r="M17032" s="34">
        <f t="shared" si="442"/>
        <v>0</v>
      </c>
    </row>
    <row r="17033" spans="13:13" x14ac:dyDescent="0.25">
      <c r="M17033" s="34">
        <f t="shared" si="442"/>
        <v>0</v>
      </c>
    </row>
    <row r="17034" spans="13:13" x14ac:dyDescent="0.25">
      <c r="M17034" s="34">
        <f t="shared" si="442"/>
        <v>0</v>
      </c>
    </row>
    <row r="17035" spans="13:13" x14ac:dyDescent="0.25">
      <c r="M17035" s="34">
        <f t="shared" si="442"/>
        <v>0</v>
      </c>
    </row>
    <row r="17036" spans="13:13" x14ac:dyDescent="0.25">
      <c r="M17036" s="34">
        <f t="shared" si="442"/>
        <v>0</v>
      </c>
    </row>
    <row r="17037" spans="13:13" x14ac:dyDescent="0.25">
      <c r="M17037" s="34">
        <f t="shared" si="442"/>
        <v>0</v>
      </c>
    </row>
    <row r="17038" spans="13:13" x14ac:dyDescent="0.25">
      <c r="M17038" s="34">
        <f t="shared" si="442"/>
        <v>0</v>
      </c>
    </row>
    <row r="17039" spans="13:13" x14ac:dyDescent="0.25">
      <c r="M17039" s="34">
        <f t="shared" si="442"/>
        <v>0</v>
      </c>
    </row>
    <row r="17040" spans="13:13" x14ac:dyDescent="0.25">
      <c r="M17040" s="34">
        <f t="shared" si="442"/>
        <v>0</v>
      </c>
    </row>
    <row r="17041" spans="13:13" x14ac:dyDescent="0.25">
      <c r="M17041" s="34">
        <f t="shared" si="442"/>
        <v>0</v>
      </c>
    </row>
    <row r="17042" spans="13:13" x14ac:dyDescent="0.25">
      <c r="M17042" s="34">
        <f t="shared" si="442"/>
        <v>0</v>
      </c>
    </row>
    <row r="17043" spans="13:13" x14ac:dyDescent="0.25">
      <c r="M17043" s="34">
        <f t="shared" si="442"/>
        <v>0</v>
      </c>
    </row>
    <row r="17044" spans="13:13" x14ac:dyDescent="0.25">
      <c r="M17044" s="34">
        <f t="shared" si="442"/>
        <v>0</v>
      </c>
    </row>
    <row r="17045" spans="13:13" x14ac:dyDescent="0.25">
      <c r="M17045" s="34">
        <f t="shared" si="442"/>
        <v>0</v>
      </c>
    </row>
    <row r="17046" spans="13:13" x14ac:dyDescent="0.25">
      <c r="M17046" s="34">
        <f t="shared" si="442"/>
        <v>0</v>
      </c>
    </row>
    <row r="17047" spans="13:13" x14ac:dyDescent="0.25">
      <c r="M17047" s="34">
        <f t="shared" si="442"/>
        <v>0</v>
      </c>
    </row>
    <row r="17048" spans="13:13" x14ac:dyDescent="0.25">
      <c r="M17048" s="34">
        <f t="shared" si="442"/>
        <v>0</v>
      </c>
    </row>
    <row r="17049" spans="13:13" x14ac:dyDescent="0.25">
      <c r="M17049" s="34">
        <f t="shared" si="442"/>
        <v>0</v>
      </c>
    </row>
    <row r="17050" spans="13:13" x14ac:dyDescent="0.25">
      <c r="M17050" s="34">
        <f t="shared" si="442"/>
        <v>0</v>
      </c>
    </row>
    <row r="17051" spans="13:13" x14ac:dyDescent="0.25">
      <c r="M17051" s="34">
        <f t="shared" si="442"/>
        <v>0</v>
      </c>
    </row>
    <row r="17052" spans="13:13" x14ac:dyDescent="0.25">
      <c r="M17052" s="34">
        <f t="shared" si="442"/>
        <v>0</v>
      </c>
    </row>
    <row r="17053" spans="13:13" x14ac:dyDescent="0.25">
      <c r="M17053" s="34">
        <f t="shared" si="442"/>
        <v>0</v>
      </c>
    </row>
    <row r="17054" spans="13:13" x14ac:dyDescent="0.25">
      <c r="M17054" s="34">
        <f t="shared" si="442"/>
        <v>0</v>
      </c>
    </row>
    <row r="17055" spans="13:13" x14ac:dyDescent="0.25">
      <c r="M17055" s="34">
        <f t="shared" si="442"/>
        <v>0</v>
      </c>
    </row>
    <row r="17056" spans="13:13" x14ac:dyDescent="0.25">
      <c r="M17056" s="34">
        <f t="shared" si="442"/>
        <v>0</v>
      </c>
    </row>
    <row r="17057" spans="13:13" x14ac:dyDescent="0.25">
      <c r="M17057" s="34">
        <f t="shared" si="442"/>
        <v>0</v>
      </c>
    </row>
    <row r="17058" spans="13:13" x14ac:dyDescent="0.25">
      <c r="M17058" s="34">
        <f t="shared" si="442"/>
        <v>0</v>
      </c>
    </row>
    <row r="17059" spans="13:13" x14ac:dyDescent="0.25">
      <c r="M17059" s="34">
        <f t="shared" si="442"/>
        <v>0</v>
      </c>
    </row>
    <row r="17060" spans="13:13" x14ac:dyDescent="0.25">
      <c r="M17060" s="34">
        <f t="shared" si="442"/>
        <v>0</v>
      </c>
    </row>
    <row r="17061" spans="13:13" x14ac:dyDescent="0.25">
      <c r="M17061" s="34">
        <f t="shared" si="442"/>
        <v>0</v>
      </c>
    </row>
    <row r="17062" spans="13:13" x14ac:dyDescent="0.25">
      <c r="M17062" s="34">
        <f t="shared" si="442"/>
        <v>0</v>
      </c>
    </row>
    <row r="17063" spans="13:13" x14ac:dyDescent="0.25">
      <c r="M17063" s="34">
        <f t="shared" si="442"/>
        <v>0</v>
      </c>
    </row>
    <row r="17064" spans="13:13" x14ac:dyDescent="0.25">
      <c r="M17064" s="34">
        <f t="shared" si="442"/>
        <v>0</v>
      </c>
    </row>
    <row r="17065" spans="13:13" x14ac:dyDescent="0.25">
      <c r="M17065" s="34">
        <f t="shared" si="442"/>
        <v>0</v>
      </c>
    </row>
    <row r="17066" spans="13:13" x14ac:dyDescent="0.25">
      <c r="M17066" s="34">
        <f t="shared" si="442"/>
        <v>0</v>
      </c>
    </row>
    <row r="17067" spans="13:13" x14ac:dyDescent="0.25">
      <c r="M17067" s="34">
        <f t="shared" si="442"/>
        <v>0</v>
      </c>
    </row>
    <row r="17068" spans="13:13" x14ac:dyDescent="0.25">
      <c r="M17068" s="34">
        <f t="shared" si="442"/>
        <v>0</v>
      </c>
    </row>
    <row r="17069" spans="13:13" x14ac:dyDescent="0.25">
      <c r="M17069" s="34">
        <f t="shared" si="442"/>
        <v>0</v>
      </c>
    </row>
    <row r="17070" spans="13:13" x14ac:dyDescent="0.25">
      <c r="M17070" s="34">
        <f t="shared" si="442"/>
        <v>0</v>
      </c>
    </row>
    <row r="17071" spans="13:13" x14ac:dyDescent="0.25">
      <c r="M17071" s="34">
        <f t="shared" si="442"/>
        <v>0</v>
      </c>
    </row>
    <row r="17072" spans="13:13" x14ac:dyDescent="0.25">
      <c r="M17072" s="34">
        <f t="shared" si="442"/>
        <v>0</v>
      </c>
    </row>
    <row r="17073" spans="13:13" x14ac:dyDescent="0.25">
      <c r="M17073" s="34">
        <f t="shared" si="442"/>
        <v>0</v>
      </c>
    </row>
    <row r="17074" spans="13:13" x14ac:dyDescent="0.25">
      <c r="M17074" s="34">
        <f t="shared" si="442"/>
        <v>0</v>
      </c>
    </row>
    <row r="17075" spans="13:13" x14ac:dyDescent="0.25">
      <c r="M17075" s="34">
        <f t="shared" si="442"/>
        <v>0</v>
      </c>
    </row>
    <row r="17076" spans="13:13" x14ac:dyDescent="0.25">
      <c r="M17076" s="34">
        <f t="shared" si="442"/>
        <v>0</v>
      </c>
    </row>
    <row r="17077" spans="13:13" x14ac:dyDescent="0.25">
      <c r="M17077" s="34">
        <f t="shared" si="442"/>
        <v>0</v>
      </c>
    </row>
    <row r="17078" spans="13:13" x14ac:dyDescent="0.25">
      <c r="M17078" s="34">
        <f t="shared" si="442"/>
        <v>0</v>
      </c>
    </row>
    <row r="17079" spans="13:13" x14ac:dyDescent="0.25">
      <c r="M17079" s="34">
        <f t="shared" si="442"/>
        <v>0</v>
      </c>
    </row>
    <row r="17080" spans="13:13" x14ac:dyDescent="0.25">
      <c r="M17080" s="34">
        <f t="shared" si="442"/>
        <v>0</v>
      </c>
    </row>
    <row r="17081" spans="13:13" x14ac:dyDescent="0.25">
      <c r="M17081" s="34">
        <f t="shared" si="442"/>
        <v>0</v>
      </c>
    </row>
    <row r="17082" spans="13:13" x14ac:dyDescent="0.25">
      <c r="M17082" s="34">
        <f t="shared" si="442"/>
        <v>0</v>
      </c>
    </row>
    <row r="17083" spans="13:13" x14ac:dyDescent="0.25">
      <c r="M17083" s="34">
        <f t="shared" si="442"/>
        <v>0</v>
      </c>
    </row>
    <row r="17084" spans="13:13" x14ac:dyDescent="0.25">
      <c r="M17084" s="34">
        <f t="shared" si="442"/>
        <v>0</v>
      </c>
    </row>
    <row r="17085" spans="13:13" x14ac:dyDescent="0.25">
      <c r="M17085" s="34">
        <f t="shared" si="442"/>
        <v>0</v>
      </c>
    </row>
    <row r="17086" spans="13:13" x14ac:dyDescent="0.25">
      <c r="M17086" s="34">
        <f t="shared" si="442"/>
        <v>0</v>
      </c>
    </row>
    <row r="17087" spans="13:13" x14ac:dyDescent="0.25">
      <c r="M17087" s="34">
        <f t="shared" si="442"/>
        <v>0</v>
      </c>
    </row>
    <row r="17088" spans="13:13" x14ac:dyDescent="0.25">
      <c r="M17088" s="34">
        <f t="shared" si="442"/>
        <v>0</v>
      </c>
    </row>
    <row r="17089" spans="13:13" x14ac:dyDescent="0.25">
      <c r="M17089" s="34">
        <f t="shared" si="442"/>
        <v>0</v>
      </c>
    </row>
    <row r="17090" spans="13:13" x14ac:dyDescent="0.25">
      <c r="M17090" s="34">
        <f t="shared" si="442"/>
        <v>0</v>
      </c>
    </row>
    <row r="17091" spans="13:13" x14ac:dyDescent="0.25">
      <c r="M17091" s="34">
        <f t="shared" ref="M17091:M17154" si="443">IF(AND(E17091="Chèque",G17091="RECETTE"),F17091,0)</f>
        <v>0</v>
      </c>
    </row>
    <row r="17092" spans="13:13" x14ac:dyDescent="0.25">
      <c r="M17092" s="34">
        <f t="shared" si="443"/>
        <v>0</v>
      </c>
    </row>
    <row r="17093" spans="13:13" x14ac:dyDescent="0.25">
      <c r="M17093" s="34">
        <f t="shared" si="443"/>
        <v>0</v>
      </c>
    </row>
    <row r="17094" spans="13:13" x14ac:dyDescent="0.25">
      <c r="M17094" s="34">
        <f t="shared" si="443"/>
        <v>0</v>
      </c>
    </row>
    <row r="17095" spans="13:13" x14ac:dyDescent="0.25">
      <c r="M17095" s="34">
        <f t="shared" si="443"/>
        <v>0</v>
      </c>
    </row>
    <row r="17096" spans="13:13" x14ac:dyDescent="0.25">
      <c r="M17096" s="34">
        <f t="shared" si="443"/>
        <v>0</v>
      </c>
    </row>
    <row r="17097" spans="13:13" x14ac:dyDescent="0.25">
      <c r="M17097" s="34">
        <f t="shared" si="443"/>
        <v>0</v>
      </c>
    </row>
    <row r="17098" spans="13:13" x14ac:dyDescent="0.25">
      <c r="M17098" s="34">
        <f t="shared" si="443"/>
        <v>0</v>
      </c>
    </row>
    <row r="17099" spans="13:13" x14ac:dyDescent="0.25">
      <c r="M17099" s="34">
        <f t="shared" si="443"/>
        <v>0</v>
      </c>
    </row>
    <row r="17100" spans="13:13" x14ac:dyDescent="0.25">
      <c r="M17100" s="34">
        <f t="shared" si="443"/>
        <v>0</v>
      </c>
    </row>
    <row r="17101" spans="13:13" x14ac:dyDescent="0.25">
      <c r="M17101" s="34">
        <f t="shared" si="443"/>
        <v>0</v>
      </c>
    </row>
    <row r="17102" spans="13:13" x14ac:dyDescent="0.25">
      <c r="M17102" s="34">
        <f t="shared" si="443"/>
        <v>0</v>
      </c>
    </row>
    <row r="17103" spans="13:13" x14ac:dyDescent="0.25">
      <c r="M17103" s="34">
        <f t="shared" si="443"/>
        <v>0</v>
      </c>
    </row>
    <row r="17104" spans="13:13" x14ac:dyDescent="0.25">
      <c r="M17104" s="34">
        <f t="shared" si="443"/>
        <v>0</v>
      </c>
    </row>
    <row r="17105" spans="13:13" x14ac:dyDescent="0.25">
      <c r="M17105" s="34">
        <f t="shared" si="443"/>
        <v>0</v>
      </c>
    </row>
    <row r="17106" spans="13:13" x14ac:dyDescent="0.25">
      <c r="M17106" s="34">
        <f t="shared" si="443"/>
        <v>0</v>
      </c>
    </row>
    <row r="17107" spans="13:13" x14ac:dyDescent="0.25">
      <c r="M17107" s="34">
        <f t="shared" si="443"/>
        <v>0</v>
      </c>
    </row>
    <row r="17108" spans="13:13" x14ac:dyDescent="0.25">
      <c r="M17108" s="34">
        <f t="shared" si="443"/>
        <v>0</v>
      </c>
    </row>
    <row r="17109" spans="13:13" x14ac:dyDescent="0.25">
      <c r="M17109" s="34">
        <f t="shared" si="443"/>
        <v>0</v>
      </c>
    </row>
    <row r="17110" spans="13:13" x14ac:dyDescent="0.25">
      <c r="M17110" s="34">
        <f t="shared" si="443"/>
        <v>0</v>
      </c>
    </row>
    <row r="17111" spans="13:13" x14ac:dyDescent="0.25">
      <c r="M17111" s="34">
        <f t="shared" si="443"/>
        <v>0</v>
      </c>
    </row>
    <row r="17112" spans="13:13" x14ac:dyDescent="0.25">
      <c r="M17112" s="34">
        <f t="shared" si="443"/>
        <v>0</v>
      </c>
    </row>
    <row r="17113" spans="13:13" x14ac:dyDescent="0.25">
      <c r="M17113" s="34">
        <f t="shared" si="443"/>
        <v>0</v>
      </c>
    </row>
    <row r="17114" spans="13:13" x14ac:dyDescent="0.25">
      <c r="M17114" s="34">
        <f t="shared" si="443"/>
        <v>0</v>
      </c>
    </row>
    <row r="17115" spans="13:13" x14ac:dyDescent="0.25">
      <c r="M17115" s="34">
        <f t="shared" si="443"/>
        <v>0</v>
      </c>
    </row>
    <row r="17116" spans="13:13" x14ac:dyDescent="0.25">
      <c r="M17116" s="34">
        <f t="shared" si="443"/>
        <v>0</v>
      </c>
    </row>
    <row r="17117" spans="13:13" x14ac:dyDescent="0.25">
      <c r="M17117" s="34">
        <f t="shared" si="443"/>
        <v>0</v>
      </c>
    </row>
    <row r="17118" spans="13:13" x14ac:dyDescent="0.25">
      <c r="M17118" s="34">
        <f t="shared" si="443"/>
        <v>0</v>
      </c>
    </row>
    <row r="17119" spans="13:13" x14ac:dyDescent="0.25">
      <c r="M17119" s="34">
        <f t="shared" si="443"/>
        <v>0</v>
      </c>
    </row>
    <row r="17120" spans="13:13" x14ac:dyDescent="0.25">
      <c r="M17120" s="34">
        <f t="shared" si="443"/>
        <v>0</v>
      </c>
    </row>
    <row r="17121" spans="13:13" x14ac:dyDescent="0.25">
      <c r="M17121" s="34">
        <f t="shared" si="443"/>
        <v>0</v>
      </c>
    </row>
    <row r="17122" spans="13:13" x14ac:dyDescent="0.25">
      <c r="M17122" s="34">
        <f t="shared" si="443"/>
        <v>0</v>
      </c>
    </row>
    <row r="17123" spans="13:13" x14ac:dyDescent="0.25">
      <c r="M17123" s="34">
        <f t="shared" si="443"/>
        <v>0</v>
      </c>
    </row>
    <row r="17124" spans="13:13" x14ac:dyDescent="0.25">
      <c r="M17124" s="34">
        <f t="shared" si="443"/>
        <v>0</v>
      </c>
    </row>
    <row r="17125" spans="13:13" x14ac:dyDescent="0.25">
      <c r="M17125" s="34">
        <f t="shared" si="443"/>
        <v>0</v>
      </c>
    </row>
    <row r="17126" spans="13:13" x14ac:dyDescent="0.25">
      <c r="M17126" s="34">
        <f t="shared" si="443"/>
        <v>0</v>
      </c>
    </row>
    <row r="17127" spans="13:13" x14ac:dyDescent="0.25">
      <c r="M17127" s="34">
        <f t="shared" si="443"/>
        <v>0</v>
      </c>
    </row>
    <row r="17128" spans="13:13" x14ac:dyDescent="0.25">
      <c r="M17128" s="34">
        <f t="shared" si="443"/>
        <v>0</v>
      </c>
    </row>
    <row r="17129" spans="13:13" x14ac:dyDescent="0.25">
      <c r="M17129" s="34">
        <f t="shared" si="443"/>
        <v>0</v>
      </c>
    </row>
    <row r="17130" spans="13:13" x14ac:dyDescent="0.25">
      <c r="M17130" s="34">
        <f t="shared" si="443"/>
        <v>0</v>
      </c>
    </row>
    <row r="17131" spans="13:13" x14ac:dyDescent="0.25">
      <c r="M17131" s="34">
        <f t="shared" si="443"/>
        <v>0</v>
      </c>
    </row>
    <row r="17132" spans="13:13" x14ac:dyDescent="0.25">
      <c r="M17132" s="34">
        <f t="shared" si="443"/>
        <v>0</v>
      </c>
    </row>
    <row r="17133" spans="13:13" x14ac:dyDescent="0.25">
      <c r="M17133" s="34">
        <f t="shared" si="443"/>
        <v>0</v>
      </c>
    </row>
    <row r="17134" spans="13:13" x14ac:dyDescent="0.25">
      <c r="M17134" s="34">
        <f t="shared" si="443"/>
        <v>0</v>
      </c>
    </row>
    <row r="17135" spans="13:13" x14ac:dyDescent="0.25">
      <c r="M17135" s="34">
        <f t="shared" si="443"/>
        <v>0</v>
      </c>
    </row>
    <row r="17136" spans="13:13" x14ac:dyDescent="0.25">
      <c r="M17136" s="34">
        <f t="shared" si="443"/>
        <v>0</v>
      </c>
    </row>
    <row r="17137" spans="13:13" x14ac:dyDescent="0.25">
      <c r="M17137" s="34">
        <f t="shared" si="443"/>
        <v>0</v>
      </c>
    </row>
    <row r="17138" spans="13:13" x14ac:dyDescent="0.25">
      <c r="M17138" s="34">
        <f t="shared" si="443"/>
        <v>0</v>
      </c>
    </row>
    <row r="17139" spans="13:13" x14ac:dyDescent="0.25">
      <c r="M17139" s="34">
        <f t="shared" si="443"/>
        <v>0</v>
      </c>
    </row>
    <row r="17140" spans="13:13" x14ac:dyDescent="0.25">
      <c r="M17140" s="34">
        <f t="shared" si="443"/>
        <v>0</v>
      </c>
    </row>
    <row r="17141" spans="13:13" x14ac:dyDescent="0.25">
      <c r="M17141" s="34">
        <f t="shared" si="443"/>
        <v>0</v>
      </c>
    </row>
    <row r="17142" spans="13:13" x14ac:dyDescent="0.25">
      <c r="M17142" s="34">
        <f t="shared" si="443"/>
        <v>0</v>
      </c>
    </row>
    <row r="17143" spans="13:13" x14ac:dyDescent="0.25">
      <c r="M17143" s="34">
        <f t="shared" si="443"/>
        <v>0</v>
      </c>
    </row>
    <row r="17144" spans="13:13" x14ac:dyDescent="0.25">
      <c r="M17144" s="34">
        <f t="shared" si="443"/>
        <v>0</v>
      </c>
    </row>
    <row r="17145" spans="13:13" x14ac:dyDescent="0.25">
      <c r="M17145" s="34">
        <f t="shared" si="443"/>
        <v>0</v>
      </c>
    </row>
    <row r="17146" spans="13:13" x14ac:dyDescent="0.25">
      <c r="M17146" s="34">
        <f t="shared" si="443"/>
        <v>0</v>
      </c>
    </row>
    <row r="17147" spans="13:13" x14ac:dyDescent="0.25">
      <c r="M17147" s="34">
        <f t="shared" si="443"/>
        <v>0</v>
      </c>
    </row>
    <row r="17148" spans="13:13" x14ac:dyDescent="0.25">
      <c r="M17148" s="34">
        <f t="shared" si="443"/>
        <v>0</v>
      </c>
    </row>
    <row r="17149" spans="13:13" x14ac:dyDescent="0.25">
      <c r="M17149" s="34">
        <f t="shared" si="443"/>
        <v>0</v>
      </c>
    </row>
    <row r="17150" spans="13:13" x14ac:dyDescent="0.25">
      <c r="M17150" s="34">
        <f t="shared" si="443"/>
        <v>0</v>
      </c>
    </row>
    <row r="17151" spans="13:13" x14ac:dyDescent="0.25">
      <c r="M17151" s="34">
        <f t="shared" si="443"/>
        <v>0</v>
      </c>
    </row>
    <row r="17152" spans="13:13" x14ac:dyDescent="0.25">
      <c r="M17152" s="34">
        <f t="shared" si="443"/>
        <v>0</v>
      </c>
    </row>
    <row r="17153" spans="13:13" x14ac:dyDescent="0.25">
      <c r="M17153" s="34">
        <f t="shared" si="443"/>
        <v>0</v>
      </c>
    </row>
    <row r="17154" spans="13:13" x14ac:dyDescent="0.25">
      <c r="M17154" s="34">
        <f t="shared" si="443"/>
        <v>0</v>
      </c>
    </row>
    <row r="17155" spans="13:13" x14ac:dyDescent="0.25">
      <c r="M17155" s="34">
        <f t="shared" ref="M17155:M17218" si="444">IF(AND(E17155="Chèque",G17155="RECETTE"),F17155,0)</f>
        <v>0</v>
      </c>
    </row>
    <row r="17156" spans="13:13" x14ac:dyDescent="0.25">
      <c r="M17156" s="34">
        <f t="shared" si="444"/>
        <v>0</v>
      </c>
    </row>
    <row r="17157" spans="13:13" x14ac:dyDescent="0.25">
      <c r="M17157" s="34">
        <f t="shared" si="444"/>
        <v>0</v>
      </c>
    </row>
    <row r="17158" spans="13:13" x14ac:dyDescent="0.25">
      <c r="M17158" s="34">
        <f t="shared" si="444"/>
        <v>0</v>
      </c>
    </row>
    <row r="17159" spans="13:13" x14ac:dyDescent="0.25">
      <c r="M17159" s="34">
        <f t="shared" si="444"/>
        <v>0</v>
      </c>
    </row>
    <row r="17160" spans="13:13" x14ac:dyDescent="0.25">
      <c r="M17160" s="34">
        <f t="shared" si="444"/>
        <v>0</v>
      </c>
    </row>
    <row r="17161" spans="13:13" x14ac:dyDescent="0.25">
      <c r="M17161" s="34">
        <f t="shared" si="444"/>
        <v>0</v>
      </c>
    </row>
    <row r="17162" spans="13:13" x14ac:dyDescent="0.25">
      <c r="M17162" s="34">
        <f t="shared" si="444"/>
        <v>0</v>
      </c>
    </row>
    <row r="17163" spans="13:13" x14ac:dyDescent="0.25">
      <c r="M17163" s="34">
        <f t="shared" si="444"/>
        <v>0</v>
      </c>
    </row>
    <row r="17164" spans="13:13" x14ac:dyDescent="0.25">
      <c r="M17164" s="34">
        <f t="shared" si="444"/>
        <v>0</v>
      </c>
    </row>
    <row r="17165" spans="13:13" x14ac:dyDescent="0.25">
      <c r="M17165" s="34">
        <f t="shared" si="444"/>
        <v>0</v>
      </c>
    </row>
    <row r="17166" spans="13:13" x14ac:dyDescent="0.25">
      <c r="M17166" s="34">
        <f t="shared" si="444"/>
        <v>0</v>
      </c>
    </row>
    <row r="17167" spans="13:13" x14ac:dyDescent="0.25">
      <c r="M17167" s="34">
        <f t="shared" si="444"/>
        <v>0</v>
      </c>
    </row>
    <row r="17168" spans="13:13" x14ac:dyDescent="0.25">
      <c r="M17168" s="34">
        <f t="shared" si="444"/>
        <v>0</v>
      </c>
    </row>
    <row r="17169" spans="13:13" x14ac:dyDescent="0.25">
      <c r="M17169" s="34">
        <f t="shared" si="444"/>
        <v>0</v>
      </c>
    </row>
    <row r="17170" spans="13:13" x14ac:dyDescent="0.25">
      <c r="M17170" s="34">
        <f t="shared" si="444"/>
        <v>0</v>
      </c>
    </row>
    <row r="17171" spans="13:13" x14ac:dyDescent="0.25">
      <c r="M17171" s="34">
        <f t="shared" si="444"/>
        <v>0</v>
      </c>
    </row>
    <row r="17172" spans="13:13" x14ac:dyDescent="0.25">
      <c r="M17172" s="34">
        <f t="shared" si="444"/>
        <v>0</v>
      </c>
    </row>
    <row r="17173" spans="13:13" x14ac:dyDescent="0.25">
      <c r="M17173" s="34">
        <f t="shared" si="444"/>
        <v>0</v>
      </c>
    </row>
    <row r="17174" spans="13:13" x14ac:dyDescent="0.25">
      <c r="M17174" s="34">
        <f t="shared" si="444"/>
        <v>0</v>
      </c>
    </row>
    <row r="17175" spans="13:13" x14ac:dyDescent="0.25">
      <c r="M17175" s="34">
        <f t="shared" si="444"/>
        <v>0</v>
      </c>
    </row>
    <row r="17176" spans="13:13" x14ac:dyDescent="0.25">
      <c r="M17176" s="34">
        <f t="shared" si="444"/>
        <v>0</v>
      </c>
    </row>
    <row r="17177" spans="13:13" x14ac:dyDescent="0.25">
      <c r="M17177" s="34">
        <f t="shared" si="444"/>
        <v>0</v>
      </c>
    </row>
    <row r="17178" spans="13:13" x14ac:dyDescent="0.25">
      <c r="M17178" s="34">
        <f t="shared" si="444"/>
        <v>0</v>
      </c>
    </row>
    <row r="17179" spans="13:13" x14ac:dyDescent="0.25">
      <c r="M17179" s="34">
        <f t="shared" si="444"/>
        <v>0</v>
      </c>
    </row>
    <row r="17180" spans="13:13" x14ac:dyDescent="0.25">
      <c r="M17180" s="34">
        <f t="shared" si="444"/>
        <v>0</v>
      </c>
    </row>
    <row r="17181" spans="13:13" x14ac:dyDescent="0.25">
      <c r="M17181" s="34">
        <f t="shared" si="444"/>
        <v>0</v>
      </c>
    </row>
    <row r="17182" spans="13:13" x14ac:dyDescent="0.25">
      <c r="M17182" s="34">
        <f t="shared" si="444"/>
        <v>0</v>
      </c>
    </row>
    <row r="17183" spans="13:13" x14ac:dyDescent="0.25">
      <c r="M17183" s="34">
        <f t="shared" si="444"/>
        <v>0</v>
      </c>
    </row>
    <row r="17184" spans="13:13" x14ac:dyDescent="0.25">
      <c r="M17184" s="34">
        <f t="shared" si="444"/>
        <v>0</v>
      </c>
    </row>
    <row r="17185" spans="13:13" x14ac:dyDescent="0.25">
      <c r="M17185" s="34">
        <f t="shared" si="444"/>
        <v>0</v>
      </c>
    </row>
    <row r="17186" spans="13:13" x14ac:dyDescent="0.25">
      <c r="M17186" s="34">
        <f t="shared" si="444"/>
        <v>0</v>
      </c>
    </row>
    <row r="17187" spans="13:13" x14ac:dyDescent="0.25">
      <c r="M17187" s="34">
        <f t="shared" si="444"/>
        <v>0</v>
      </c>
    </row>
    <row r="17188" spans="13:13" x14ac:dyDescent="0.25">
      <c r="M17188" s="34">
        <f t="shared" si="444"/>
        <v>0</v>
      </c>
    </row>
    <row r="17189" spans="13:13" x14ac:dyDescent="0.25">
      <c r="M17189" s="34">
        <f t="shared" si="444"/>
        <v>0</v>
      </c>
    </row>
    <row r="17190" spans="13:13" x14ac:dyDescent="0.25">
      <c r="M17190" s="34">
        <f t="shared" si="444"/>
        <v>0</v>
      </c>
    </row>
    <row r="17191" spans="13:13" x14ac:dyDescent="0.25">
      <c r="M17191" s="34">
        <f t="shared" si="444"/>
        <v>0</v>
      </c>
    </row>
    <row r="17192" spans="13:13" x14ac:dyDescent="0.25">
      <c r="M17192" s="34">
        <f t="shared" si="444"/>
        <v>0</v>
      </c>
    </row>
    <row r="17193" spans="13:13" x14ac:dyDescent="0.25">
      <c r="M17193" s="34">
        <f t="shared" si="444"/>
        <v>0</v>
      </c>
    </row>
    <row r="17194" spans="13:13" x14ac:dyDescent="0.25">
      <c r="M17194" s="34">
        <f t="shared" si="444"/>
        <v>0</v>
      </c>
    </row>
    <row r="17195" spans="13:13" x14ac:dyDescent="0.25">
      <c r="M17195" s="34">
        <f t="shared" si="444"/>
        <v>0</v>
      </c>
    </row>
    <row r="17196" spans="13:13" x14ac:dyDescent="0.25">
      <c r="M17196" s="34">
        <f t="shared" si="444"/>
        <v>0</v>
      </c>
    </row>
    <row r="17197" spans="13:13" x14ac:dyDescent="0.25">
      <c r="M17197" s="34">
        <f t="shared" si="444"/>
        <v>0</v>
      </c>
    </row>
    <row r="17198" spans="13:13" x14ac:dyDescent="0.25">
      <c r="M17198" s="34">
        <f t="shared" si="444"/>
        <v>0</v>
      </c>
    </row>
    <row r="17199" spans="13:13" x14ac:dyDescent="0.25">
      <c r="M17199" s="34">
        <f t="shared" si="444"/>
        <v>0</v>
      </c>
    </row>
    <row r="17200" spans="13:13" x14ac:dyDescent="0.25">
      <c r="M17200" s="34">
        <f t="shared" si="444"/>
        <v>0</v>
      </c>
    </row>
    <row r="17201" spans="13:13" x14ac:dyDescent="0.25">
      <c r="M17201" s="34">
        <f t="shared" si="444"/>
        <v>0</v>
      </c>
    </row>
    <row r="17202" spans="13:13" x14ac:dyDescent="0.25">
      <c r="M17202" s="34">
        <f t="shared" si="444"/>
        <v>0</v>
      </c>
    </row>
    <row r="17203" spans="13:13" x14ac:dyDescent="0.25">
      <c r="M17203" s="34">
        <f t="shared" si="444"/>
        <v>0</v>
      </c>
    </row>
    <row r="17204" spans="13:13" x14ac:dyDescent="0.25">
      <c r="M17204" s="34">
        <f t="shared" si="444"/>
        <v>0</v>
      </c>
    </row>
    <row r="17205" spans="13:13" x14ac:dyDescent="0.25">
      <c r="M17205" s="34">
        <f t="shared" si="444"/>
        <v>0</v>
      </c>
    </row>
    <row r="17206" spans="13:13" x14ac:dyDescent="0.25">
      <c r="M17206" s="34">
        <f t="shared" si="444"/>
        <v>0</v>
      </c>
    </row>
    <row r="17207" spans="13:13" x14ac:dyDescent="0.25">
      <c r="M17207" s="34">
        <f t="shared" si="444"/>
        <v>0</v>
      </c>
    </row>
    <row r="17208" spans="13:13" x14ac:dyDescent="0.25">
      <c r="M17208" s="34">
        <f t="shared" si="444"/>
        <v>0</v>
      </c>
    </row>
    <row r="17209" spans="13:13" x14ac:dyDescent="0.25">
      <c r="M17209" s="34">
        <f t="shared" si="444"/>
        <v>0</v>
      </c>
    </row>
    <row r="17210" spans="13:13" x14ac:dyDescent="0.25">
      <c r="M17210" s="34">
        <f t="shared" si="444"/>
        <v>0</v>
      </c>
    </row>
    <row r="17211" spans="13:13" x14ac:dyDescent="0.25">
      <c r="M17211" s="34">
        <f t="shared" si="444"/>
        <v>0</v>
      </c>
    </row>
    <row r="17212" spans="13:13" x14ac:dyDescent="0.25">
      <c r="M17212" s="34">
        <f t="shared" si="444"/>
        <v>0</v>
      </c>
    </row>
    <row r="17213" spans="13:13" x14ac:dyDescent="0.25">
      <c r="M17213" s="34">
        <f t="shared" si="444"/>
        <v>0</v>
      </c>
    </row>
    <row r="17214" spans="13:13" x14ac:dyDescent="0.25">
      <c r="M17214" s="34">
        <f t="shared" si="444"/>
        <v>0</v>
      </c>
    </row>
    <row r="17215" spans="13:13" x14ac:dyDescent="0.25">
      <c r="M17215" s="34">
        <f t="shared" si="444"/>
        <v>0</v>
      </c>
    </row>
    <row r="17216" spans="13:13" x14ac:dyDescent="0.25">
      <c r="M17216" s="34">
        <f t="shared" si="444"/>
        <v>0</v>
      </c>
    </row>
    <row r="17217" spans="13:13" x14ac:dyDescent="0.25">
      <c r="M17217" s="34">
        <f t="shared" si="444"/>
        <v>0</v>
      </c>
    </row>
    <row r="17218" spans="13:13" x14ac:dyDescent="0.25">
      <c r="M17218" s="34">
        <f t="shared" si="444"/>
        <v>0</v>
      </c>
    </row>
    <row r="17219" spans="13:13" x14ac:dyDescent="0.25">
      <c r="M17219" s="34">
        <f t="shared" ref="M17219:M17282" si="445">IF(AND(E17219="Chèque",G17219="RECETTE"),F17219,0)</f>
        <v>0</v>
      </c>
    </row>
    <row r="17220" spans="13:13" x14ac:dyDescent="0.25">
      <c r="M17220" s="34">
        <f t="shared" si="445"/>
        <v>0</v>
      </c>
    </row>
    <row r="17221" spans="13:13" x14ac:dyDescent="0.25">
      <c r="M17221" s="34">
        <f t="shared" si="445"/>
        <v>0</v>
      </c>
    </row>
    <row r="17222" spans="13:13" x14ac:dyDescent="0.25">
      <c r="M17222" s="34">
        <f t="shared" si="445"/>
        <v>0</v>
      </c>
    </row>
    <row r="17223" spans="13:13" x14ac:dyDescent="0.25">
      <c r="M17223" s="34">
        <f t="shared" si="445"/>
        <v>0</v>
      </c>
    </row>
    <row r="17224" spans="13:13" x14ac:dyDescent="0.25">
      <c r="M17224" s="34">
        <f t="shared" si="445"/>
        <v>0</v>
      </c>
    </row>
    <row r="17225" spans="13:13" x14ac:dyDescent="0.25">
      <c r="M17225" s="34">
        <f t="shared" si="445"/>
        <v>0</v>
      </c>
    </row>
    <row r="17226" spans="13:13" x14ac:dyDescent="0.25">
      <c r="M17226" s="34">
        <f t="shared" si="445"/>
        <v>0</v>
      </c>
    </row>
    <row r="17227" spans="13:13" x14ac:dyDescent="0.25">
      <c r="M17227" s="34">
        <f t="shared" si="445"/>
        <v>0</v>
      </c>
    </row>
    <row r="17228" spans="13:13" x14ac:dyDescent="0.25">
      <c r="M17228" s="34">
        <f t="shared" si="445"/>
        <v>0</v>
      </c>
    </row>
    <row r="17229" spans="13:13" x14ac:dyDescent="0.25">
      <c r="M17229" s="34">
        <f t="shared" si="445"/>
        <v>0</v>
      </c>
    </row>
    <row r="17230" spans="13:13" x14ac:dyDescent="0.25">
      <c r="M17230" s="34">
        <f t="shared" si="445"/>
        <v>0</v>
      </c>
    </row>
    <row r="17231" spans="13:13" x14ac:dyDescent="0.25">
      <c r="M17231" s="34">
        <f t="shared" si="445"/>
        <v>0</v>
      </c>
    </row>
    <row r="17232" spans="13:13" x14ac:dyDescent="0.25">
      <c r="M17232" s="34">
        <f t="shared" si="445"/>
        <v>0</v>
      </c>
    </row>
    <row r="17233" spans="13:13" x14ac:dyDescent="0.25">
      <c r="M17233" s="34">
        <f t="shared" si="445"/>
        <v>0</v>
      </c>
    </row>
    <row r="17234" spans="13:13" x14ac:dyDescent="0.25">
      <c r="M17234" s="34">
        <f t="shared" si="445"/>
        <v>0</v>
      </c>
    </row>
    <row r="17235" spans="13:13" x14ac:dyDescent="0.25">
      <c r="M17235" s="34">
        <f t="shared" si="445"/>
        <v>0</v>
      </c>
    </row>
    <row r="17236" spans="13:13" x14ac:dyDescent="0.25">
      <c r="M17236" s="34">
        <f t="shared" si="445"/>
        <v>0</v>
      </c>
    </row>
    <row r="17237" spans="13:13" x14ac:dyDescent="0.25">
      <c r="M17237" s="34">
        <f t="shared" si="445"/>
        <v>0</v>
      </c>
    </row>
    <row r="17238" spans="13:13" x14ac:dyDescent="0.25">
      <c r="M17238" s="34">
        <f t="shared" si="445"/>
        <v>0</v>
      </c>
    </row>
    <row r="17239" spans="13:13" x14ac:dyDescent="0.25">
      <c r="M17239" s="34">
        <f t="shared" si="445"/>
        <v>0</v>
      </c>
    </row>
    <row r="17240" spans="13:13" x14ac:dyDescent="0.25">
      <c r="M17240" s="34">
        <f t="shared" si="445"/>
        <v>0</v>
      </c>
    </row>
    <row r="17241" spans="13:13" x14ac:dyDescent="0.25">
      <c r="M17241" s="34">
        <f t="shared" si="445"/>
        <v>0</v>
      </c>
    </row>
    <row r="17242" spans="13:13" x14ac:dyDescent="0.25">
      <c r="M17242" s="34">
        <f t="shared" si="445"/>
        <v>0</v>
      </c>
    </row>
    <row r="17243" spans="13:13" x14ac:dyDescent="0.25">
      <c r="M17243" s="34">
        <f t="shared" si="445"/>
        <v>0</v>
      </c>
    </row>
    <row r="17244" spans="13:13" x14ac:dyDescent="0.25">
      <c r="M17244" s="34">
        <f t="shared" si="445"/>
        <v>0</v>
      </c>
    </row>
    <row r="17245" spans="13:13" x14ac:dyDescent="0.25">
      <c r="M17245" s="34">
        <f t="shared" si="445"/>
        <v>0</v>
      </c>
    </row>
    <row r="17246" spans="13:13" x14ac:dyDescent="0.25">
      <c r="M17246" s="34">
        <f t="shared" si="445"/>
        <v>0</v>
      </c>
    </row>
    <row r="17247" spans="13:13" x14ac:dyDescent="0.25">
      <c r="M17247" s="34">
        <f t="shared" si="445"/>
        <v>0</v>
      </c>
    </row>
    <row r="17248" spans="13:13" x14ac:dyDescent="0.25">
      <c r="M17248" s="34">
        <f t="shared" si="445"/>
        <v>0</v>
      </c>
    </row>
    <row r="17249" spans="13:13" x14ac:dyDescent="0.25">
      <c r="M17249" s="34">
        <f t="shared" si="445"/>
        <v>0</v>
      </c>
    </row>
    <row r="17250" spans="13:13" x14ac:dyDescent="0.25">
      <c r="M17250" s="34">
        <f t="shared" si="445"/>
        <v>0</v>
      </c>
    </row>
    <row r="17251" spans="13:13" x14ac:dyDescent="0.25">
      <c r="M17251" s="34">
        <f t="shared" si="445"/>
        <v>0</v>
      </c>
    </row>
    <row r="17252" spans="13:13" x14ac:dyDescent="0.25">
      <c r="M17252" s="34">
        <f t="shared" si="445"/>
        <v>0</v>
      </c>
    </row>
    <row r="17253" spans="13:13" x14ac:dyDescent="0.25">
      <c r="M17253" s="34">
        <f t="shared" si="445"/>
        <v>0</v>
      </c>
    </row>
    <row r="17254" spans="13:13" x14ac:dyDescent="0.25">
      <c r="M17254" s="34">
        <f t="shared" si="445"/>
        <v>0</v>
      </c>
    </row>
    <row r="17255" spans="13:13" x14ac:dyDescent="0.25">
      <c r="M17255" s="34">
        <f t="shared" si="445"/>
        <v>0</v>
      </c>
    </row>
    <row r="17256" spans="13:13" x14ac:dyDescent="0.25">
      <c r="M17256" s="34">
        <f t="shared" si="445"/>
        <v>0</v>
      </c>
    </row>
    <row r="17257" spans="13:13" x14ac:dyDescent="0.25">
      <c r="M17257" s="34">
        <f t="shared" si="445"/>
        <v>0</v>
      </c>
    </row>
    <row r="17258" spans="13:13" x14ac:dyDescent="0.25">
      <c r="M17258" s="34">
        <f t="shared" si="445"/>
        <v>0</v>
      </c>
    </row>
    <row r="17259" spans="13:13" x14ac:dyDescent="0.25">
      <c r="M17259" s="34">
        <f t="shared" si="445"/>
        <v>0</v>
      </c>
    </row>
    <row r="17260" spans="13:13" x14ac:dyDescent="0.25">
      <c r="M17260" s="34">
        <f t="shared" si="445"/>
        <v>0</v>
      </c>
    </row>
    <row r="17261" spans="13:13" x14ac:dyDescent="0.25">
      <c r="M17261" s="34">
        <f t="shared" si="445"/>
        <v>0</v>
      </c>
    </row>
    <row r="17262" spans="13:13" x14ac:dyDescent="0.25">
      <c r="M17262" s="34">
        <f t="shared" si="445"/>
        <v>0</v>
      </c>
    </row>
    <row r="17263" spans="13:13" x14ac:dyDescent="0.25">
      <c r="M17263" s="34">
        <f t="shared" si="445"/>
        <v>0</v>
      </c>
    </row>
    <row r="17264" spans="13:13" x14ac:dyDescent="0.25">
      <c r="M17264" s="34">
        <f t="shared" si="445"/>
        <v>0</v>
      </c>
    </row>
    <row r="17265" spans="13:13" x14ac:dyDescent="0.25">
      <c r="M17265" s="34">
        <f t="shared" si="445"/>
        <v>0</v>
      </c>
    </row>
    <row r="17266" spans="13:13" x14ac:dyDescent="0.25">
      <c r="M17266" s="34">
        <f t="shared" si="445"/>
        <v>0</v>
      </c>
    </row>
    <row r="17267" spans="13:13" x14ac:dyDescent="0.25">
      <c r="M17267" s="34">
        <f t="shared" si="445"/>
        <v>0</v>
      </c>
    </row>
    <row r="17268" spans="13:13" x14ac:dyDescent="0.25">
      <c r="M17268" s="34">
        <f t="shared" si="445"/>
        <v>0</v>
      </c>
    </row>
    <row r="17269" spans="13:13" x14ac:dyDescent="0.25">
      <c r="M17269" s="34">
        <f t="shared" si="445"/>
        <v>0</v>
      </c>
    </row>
    <row r="17270" spans="13:13" x14ac:dyDescent="0.25">
      <c r="M17270" s="34">
        <f t="shared" si="445"/>
        <v>0</v>
      </c>
    </row>
    <row r="17271" spans="13:13" x14ac:dyDescent="0.25">
      <c r="M17271" s="34">
        <f t="shared" si="445"/>
        <v>0</v>
      </c>
    </row>
    <row r="17272" spans="13:13" x14ac:dyDescent="0.25">
      <c r="M17272" s="34">
        <f t="shared" si="445"/>
        <v>0</v>
      </c>
    </row>
    <row r="17273" spans="13:13" x14ac:dyDescent="0.25">
      <c r="M17273" s="34">
        <f t="shared" si="445"/>
        <v>0</v>
      </c>
    </row>
    <row r="17274" spans="13:13" x14ac:dyDescent="0.25">
      <c r="M17274" s="34">
        <f t="shared" si="445"/>
        <v>0</v>
      </c>
    </row>
    <row r="17275" spans="13:13" x14ac:dyDescent="0.25">
      <c r="M17275" s="34">
        <f t="shared" si="445"/>
        <v>0</v>
      </c>
    </row>
    <row r="17276" spans="13:13" x14ac:dyDescent="0.25">
      <c r="M17276" s="34">
        <f t="shared" si="445"/>
        <v>0</v>
      </c>
    </row>
    <row r="17277" spans="13:13" x14ac:dyDescent="0.25">
      <c r="M17277" s="34">
        <f t="shared" si="445"/>
        <v>0</v>
      </c>
    </row>
    <row r="17278" spans="13:13" x14ac:dyDescent="0.25">
      <c r="M17278" s="34">
        <f t="shared" si="445"/>
        <v>0</v>
      </c>
    </row>
    <row r="17279" spans="13:13" x14ac:dyDescent="0.25">
      <c r="M17279" s="34">
        <f t="shared" si="445"/>
        <v>0</v>
      </c>
    </row>
    <row r="17280" spans="13:13" x14ac:dyDescent="0.25">
      <c r="M17280" s="34">
        <f t="shared" si="445"/>
        <v>0</v>
      </c>
    </row>
    <row r="17281" spans="13:13" x14ac:dyDescent="0.25">
      <c r="M17281" s="34">
        <f t="shared" si="445"/>
        <v>0</v>
      </c>
    </row>
    <row r="17282" spans="13:13" x14ac:dyDescent="0.25">
      <c r="M17282" s="34">
        <f t="shared" si="445"/>
        <v>0</v>
      </c>
    </row>
    <row r="17283" spans="13:13" x14ac:dyDescent="0.25">
      <c r="M17283" s="34">
        <f t="shared" ref="M17283:M17346" si="446">IF(AND(E17283="Chèque",G17283="RECETTE"),F17283,0)</f>
        <v>0</v>
      </c>
    </row>
    <row r="17284" spans="13:13" x14ac:dyDescent="0.25">
      <c r="M17284" s="34">
        <f t="shared" si="446"/>
        <v>0</v>
      </c>
    </row>
    <row r="17285" spans="13:13" x14ac:dyDescent="0.25">
      <c r="M17285" s="34">
        <f t="shared" si="446"/>
        <v>0</v>
      </c>
    </row>
    <row r="17286" spans="13:13" x14ac:dyDescent="0.25">
      <c r="M17286" s="34">
        <f t="shared" si="446"/>
        <v>0</v>
      </c>
    </row>
    <row r="17287" spans="13:13" x14ac:dyDescent="0.25">
      <c r="M17287" s="34">
        <f t="shared" si="446"/>
        <v>0</v>
      </c>
    </row>
    <row r="17288" spans="13:13" x14ac:dyDescent="0.25">
      <c r="M17288" s="34">
        <f t="shared" si="446"/>
        <v>0</v>
      </c>
    </row>
    <row r="17289" spans="13:13" x14ac:dyDescent="0.25">
      <c r="M17289" s="34">
        <f t="shared" si="446"/>
        <v>0</v>
      </c>
    </row>
    <row r="17290" spans="13:13" x14ac:dyDescent="0.25">
      <c r="M17290" s="34">
        <f t="shared" si="446"/>
        <v>0</v>
      </c>
    </row>
    <row r="17291" spans="13:13" x14ac:dyDescent="0.25">
      <c r="M17291" s="34">
        <f t="shared" si="446"/>
        <v>0</v>
      </c>
    </row>
    <row r="17292" spans="13:13" x14ac:dyDescent="0.25">
      <c r="M17292" s="34">
        <f t="shared" si="446"/>
        <v>0</v>
      </c>
    </row>
    <row r="17293" spans="13:13" x14ac:dyDescent="0.25">
      <c r="M17293" s="34">
        <f t="shared" si="446"/>
        <v>0</v>
      </c>
    </row>
    <row r="17294" spans="13:13" x14ac:dyDescent="0.25">
      <c r="M17294" s="34">
        <f t="shared" si="446"/>
        <v>0</v>
      </c>
    </row>
    <row r="17295" spans="13:13" x14ac:dyDescent="0.25">
      <c r="M17295" s="34">
        <f t="shared" si="446"/>
        <v>0</v>
      </c>
    </row>
    <row r="17296" spans="13:13" x14ac:dyDescent="0.25">
      <c r="M17296" s="34">
        <f t="shared" si="446"/>
        <v>0</v>
      </c>
    </row>
    <row r="17297" spans="13:13" x14ac:dyDescent="0.25">
      <c r="M17297" s="34">
        <f t="shared" si="446"/>
        <v>0</v>
      </c>
    </row>
    <row r="17298" spans="13:13" x14ac:dyDescent="0.25">
      <c r="M17298" s="34">
        <f t="shared" si="446"/>
        <v>0</v>
      </c>
    </row>
    <row r="17299" spans="13:13" x14ac:dyDescent="0.25">
      <c r="M17299" s="34">
        <f t="shared" si="446"/>
        <v>0</v>
      </c>
    </row>
    <row r="17300" spans="13:13" x14ac:dyDescent="0.25">
      <c r="M17300" s="34">
        <f t="shared" si="446"/>
        <v>0</v>
      </c>
    </row>
    <row r="17301" spans="13:13" x14ac:dyDescent="0.25">
      <c r="M17301" s="34">
        <f t="shared" si="446"/>
        <v>0</v>
      </c>
    </row>
    <row r="17302" spans="13:13" x14ac:dyDescent="0.25">
      <c r="M17302" s="34">
        <f t="shared" si="446"/>
        <v>0</v>
      </c>
    </row>
    <row r="17303" spans="13:13" x14ac:dyDescent="0.25">
      <c r="M17303" s="34">
        <f t="shared" si="446"/>
        <v>0</v>
      </c>
    </row>
    <row r="17304" spans="13:13" x14ac:dyDescent="0.25">
      <c r="M17304" s="34">
        <f t="shared" si="446"/>
        <v>0</v>
      </c>
    </row>
    <row r="17305" spans="13:13" x14ac:dyDescent="0.25">
      <c r="M17305" s="34">
        <f t="shared" si="446"/>
        <v>0</v>
      </c>
    </row>
    <row r="17306" spans="13:13" x14ac:dyDescent="0.25">
      <c r="M17306" s="34">
        <f t="shared" si="446"/>
        <v>0</v>
      </c>
    </row>
    <row r="17307" spans="13:13" x14ac:dyDescent="0.25">
      <c r="M17307" s="34">
        <f t="shared" si="446"/>
        <v>0</v>
      </c>
    </row>
    <row r="17308" spans="13:13" x14ac:dyDescent="0.25">
      <c r="M17308" s="34">
        <f t="shared" si="446"/>
        <v>0</v>
      </c>
    </row>
    <row r="17309" spans="13:13" x14ac:dyDescent="0.25">
      <c r="M17309" s="34">
        <f t="shared" si="446"/>
        <v>0</v>
      </c>
    </row>
    <row r="17310" spans="13:13" x14ac:dyDescent="0.25">
      <c r="M17310" s="34">
        <f t="shared" si="446"/>
        <v>0</v>
      </c>
    </row>
    <row r="17311" spans="13:13" x14ac:dyDescent="0.25">
      <c r="M17311" s="34">
        <f t="shared" si="446"/>
        <v>0</v>
      </c>
    </row>
    <row r="17312" spans="13:13" x14ac:dyDescent="0.25">
      <c r="M17312" s="34">
        <f t="shared" si="446"/>
        <v>0</v>
      </c>
    </row>
    <row r="17313" spans="13:13" x14ac:dyDescent="0.25">
      <c r="M17313" s="34">
        <f t="shared" si="446"/>
        <v>0</v>
      </c>
    </row>
    <row r="17314" spans="13:13" x14ac:dyDescent="0.25">
      <c r="M17314" s="34">
        <f t="shared" si="446"/>
        <v>0</v>
      </c>
    </row>
    <row r="17315" spans="13:13" x14ac:dyDescent="0.25">
      <c r="M17315" s="34">
        <f t="shared" si="446"/>
        <v>0</v>
      </c>
    </row>
    <row r="17316" spans="13:13" x14ac:dyDescent="0.25">
      <c r="M17316" s="34">
        <f t="shared" si="446"/>
        <v>0</v>
      </c>
    </row>
    <row r="17317" spans="13:13" x14ac:dyDescent="0.25">
      <c r="M17317" s="34">
        <f t="shared" si="446"/>
        <v>0</v>
      </c>
    </row>
    <row r="17318" spans="13:13" x14ac:dyDescent="0.25">
      <c r="M17318" s="34">
        <f t="shared" si="446"/>
        <v>0</v>
      </c>
    </row>
    <row r="17319" spans="13:13" x14ac:dyDescent="0.25">
      <c r="M17319" s="34">
        <f t="shared" si="446"/>
        <v>0</v>
      </c>
    </row>
    <row r="17320" spans="13:13" x14ac:dyDescent="0.25">
      <c r="M17320" s="34">
        <f t="shared" si="446"/>
        <v>0</v>
      </c>
    </row>
    <row r="17321" spans="13:13" x14ac:dyDescent="0.25">
      <c r="M17321" s="34">
        <f t="shared" si="446"/>
        <v>0</v>
      </c>
    </row>
    <row r="17322" spans="13:13" x14ac:dyDescent="0.25">
      <c r="M17322" s="34">
        <f t="shared" si="446"/>
        <v>0</v>
      </c>
    </row>
    <row r="17323" spans="13:13" x14ac:dyDescent="0.25">
      <c r="M17323" s="34">
        <f t="shared" si="446"/>
        <v>0</v>
      </c>
    </row>
    <row r="17324" spans="13:13" x14ac:dyDescent="0.25">
      <c r="M17324" s="34">
        <f t="shared" si="446"/>
        <v>0</v>
      </c>
    </row>
    <row r="17325" spans="13:13" x14ac:dyDescent="0.25">
      <c r="M17325" s="34">
        <f t="shared" si="446"/>
        <v>0</v>
      </c>
    </row>
    <row r="17326" spans="13:13" x14ac:dyDescent="0.25">
      <c r="M17326" s="34">
        <f t="shared" si="446"/>
        <v>0</v>
      </c>
    </row>
    <row r="17327" spans="13:13" x14ac:dyDescent="0.25">
      <c r="M17327" s="34">
        <f t="shared" si="446"/>
        <v>0</v>
      </c>
    </row>
    <row r="17328" spans="13:13" x14ac:dyDescent="0.25">
      <c r="M17328" s="34">
        <f t="shared" si="446"/>
        <v>0</v>
      </c>
    </row>
    <row r="17329" spans="13:13" x14ac:dyDescent="0.25">
      <c r="M17329" s="34">
        <f t="shared" si="446"/>
        <v>0</v>
      </c>
    </row>
    <row r="17330" spans="13:13" x14ac:dyDescent="0.25">
      <c r="M17330" s="34">
        <f t="shared" si="446"/>
        <v>0</v>
      </c>
    </row>
    <row r="17331" spans="13:13" x14ac:dyDescent="0.25">
      <c r="M17331" s="34">
        <f t="shared" si="446"/>
        <v>0</v>
      </c>
    </row>
    <row r="17332" spans="13:13" x14ac:dyDescent="0.25">
      <c r="M17332" s="34">
        <f t="shared" si="446"/>
        <v>0</v>
      </c>
    </row>
    <row r="17333" spans="13:13" x14ac:dyDescent="0.25">
      <c r="M17333" s="34">
        <f t="shared" si="446"/>
        <v>0</v>
      </c>
    </row>
    <row r="17334" spans="13:13" x14ac:dyDescent="0.25">
      <c r="M17334" s="34">
        <f t="shared" si="446"/>
        <v>0</v>
      </c>
    </row>
    <row r="17335" spans="13:13" x14ac:dyDescent="0.25">
      <c r="M17335" s="34">
        <f t="shared" si="446"/>
        <v>0</v>
      </c>
    </row>
    <row r="17336" spans="13:13" x14ac:dyDescent="0.25">
      <c r="M17336" s="34">
        <f t="shared" si="446"/>
        <v>0</v>
      </c>
    </row>
    <row r="17337" spans="13:13" x14ac:dyDescent="0.25">
      <c r="M17337" s="34">
        <f t="shared" si="446"/>
        <v>0</v>
      </c>
    </row>
    <row r="17338" spans="13:13" x14ac:dyDescent="0.25">
      <c r="M17338" s="34">
        <f t="shared" si="446"/>
        <v>0</v>
      </c>
    </row>
    <row r="17339" spans="13:13" x14ac:dyDescent="0.25">
      <c r="M17339" s="34">
        <f t="shared" si="446"/>
        <v>0</v>
      </c>
    </row>
    <row r="17340" spans="13:13" x14ac:dyDescent="0.25">
      <c r="M17340" s="34">
        <f t="shared" si="446"/>
        <v>0</v>
      </c>
    </row>
    <row r="17341" spans="13:13" x14ac:dyDescent="0.25">
      <c r="M17341" s="34">
        <f t="shared" si="446"/>
        <v>0</v>
      </c>
    </row>
    <row r="17342" spans="13:13" x14ac:dyDescent="0.25">
      <c r="M17342" s="34">
        <f t="shared" si="446"/>
        <v>0</v>
      </c>
    </row>
    <row r="17343" spans="13:13" x14ac:dyDescent="0.25">
      <c r="M17343" s="34">
        <f t="shared" si="446"/>
        <v>0</v>
      </c>
    </row>
    <row r="17344" spans="13:13" x14ac:dyDescent="0.25">
      <c r="M17344" s="34">
        <f t="shared" si="446"/>
        <v>0</v>
      </c>
    </row>
    <row r="17345" spans="13:13" x14ac:dyDescent="0.25">
      <c r="M17345" s="34">
        <f t="shared" si="446"/>
        <v>0</v>
      </c>
    </row>
    <row r="17346" spans="13:13" x14ac:dyDescent="0.25">
      <c r="M17346" s="34">
        <f t="shared" si="446"/>
        <v>0</v>
      </c>
    </row>
    <row r="17347" spans="13:13" x14ac:dyDescent="0.25">
      <c r="M17347" s="34">
        <f t="shared" ref="M17347:M17410" si="447">IF(AND(E17347="Chèque",G17347="RECETTE"),F17347,0)</f>
        <v>0</v>
      </c>
    </row>
    <row r="17348" spans="13:13" x14ac:dyDescent="0.25">
      <c r="M17348" s="34">
        <f t="shared" si="447"/>
        <v>0</v>
      </c>
    </row>
    <row r="17349" spans="13:13" x14ac:dyDescent="0.25">
      <c r="M17349" s="34">
        <f t="shared" si="447"/>
        <v>0</v>
      </c>
    </row>
    <row r="17350" spans="13:13" x14ac:dyDescent="0.25">
      <c r="M17350" s="34">
        <f t="shared" si="447"/>
        <v>0</v>
      </c>
    </row>
    <row r="17351" spans="13:13" x14ac:dyDescent="0.25">
      <c r="M17351" s="34">
        <f t="shared" si="447"/>
        <v>0</v>
      </c>
    </row>
    <row r="17352" spans="13:13" x14ac:dyDescent="0.25">
      <c r="M17352" s="34">
        <f t="shared" si="447"/>
        <v>0</v>
      </c>
    </row>
    <row r="17353" spans="13:13" x14ac:dyDescent="0.25">
      <c r="M17353" s="34">
        <f t="shared" si="447"/>
        <v>0</v>
      </c>
    </row>
    <row r="17354" spans="13:13" x14ac:dyDescent="0.25">
      <c r="M17354" s="34">
        <f t="shared" si="447"/>
        <v>0</v>
      </c>
    </row>
    <row r="17355" spans="13:13" x14ac:dyDescent="0.25">
      <c r="M17355" s="34">
        <f t="shared" si="447"/>
        <v>0</v>
      </c>
    </row>
    <row r="17356" spans="13:13" x14ac:dyDescent="0.25">
      <c r="M17356" s="34">
        <f t="shared" si="447"/>
        <v>0</v>
      </c>
    </row>
    <row r="17357" spans="13:13" x14ac:dyDescent="0.25">
      <c r="M17357" s="34">
        <f t="shared" si="447"/>
        <v>0</v>
      </c>
    </row>
    <row r="17358" spans="13:13" x14ac:dyDescent="0.25">
      <c r="M17358" s="34">
        <f t="shared" si="447"/>
        <v>0</v>
      </c>
    </row>
    <row r="17359" spans="13:13" x14ac:dyDescent="0.25">
      <c r="M17359" s="34">
        <f t="shared" si="447"/>
        <v>0</v>
      </c>
    </row>
    <row r="17360" spans="13:13" x14ac:dyDescent="0.25">
      <c r="M17360" s="34">
        <f t="shared" si="447"/>
        <v>0</v>
      </c>
    </row>
    <row r="17361" spans="13:13" x14ac:dyDescent="0.25">
      <c r="M17361" s="34">
        <f t="shared" si="447"/>
        <v>0</v>
      </c>
    </row>
    <row r="17362" spans="13:13" x14ac:dyDescent="0.25">
      <c r="M17362" s="34">
        <f t="shared" si="447"/>
        <v>0</v>
      </c>
    </row>
    <row r="17363" spans="13:13" x14ac:dyDescent="0.25">
      <c r="M17363" s="34">
        <f t="shared" si="447"/>
        <v>0</v>
      </c>
    </row>
    <row r="17364" spans="13:13" x14ac:dyDescent="0.25">
      <c r="M17364" s="34">
        <f t="shared" si="447"/>
        <v>0</v>
      </c>
    </row>
    <row r="17365" spans="13:13" x14ac:dyDescent="0.25">
      <c r="M17365" s="34">
        <f t="shared" si="447"/>
        <v>0</v>
      </c>
    </row>
    <row r="17366" spans="13:13" x14ac:dyDescent="0.25">
      <c r="M17366" s="34">
        <f t="shared" si="447"/>
        <v>0</v>
      </c>
    </row>
    <row r="17367" spans="13:13" x14ac:dyDescent="0.25">
      <c r="M17367" s="34">
        <f t="shared" si="447"/>
        <v>0</v>
      </c>
    </row>
    <row r="17368" spans="13:13" x14ac:dyDescent="0.25">
      <c r="M17368" s="34">
        <f t="shared" si="447"/>
        <v>0</v>
      </c>
    </row>
    <row r="17369" spans="13:13" x14ac:dyDescent="0.25">
      <c r="M17369" s="34">
        <f t="shared" si="447"/>
        <v>0</v>
      </c>
    </row>
    <row r="17370" spans="13:13" x14ac:dyDescent="0.25">
      <c r="M17370" s="34">
        <f t="shared" si="447"/>
        <v>0</v>
      </c>
    </row>
    <row r="17371" spans="13:13" x14ac:dyDescent="0.25">
      <c r="M17371" s="34">
        <f t="shared" si="447"/>
        <v>0</v>
      </c>
    </row>
    <row r="17372" spans="13:13" x14ac:dyDescent="0.25">
      <c r="M17372" s="34">
        <f t="shared" si="447"/>
        <v>0</v>
      </c>
    </row>
    <row r="17373" spans="13:13" x14ac:dyDescent="0.25">
      <c r="M17373" s="34">
        <f t="shared" si="447"/>
        <v>0</v>
      </c>
    </row>
    <row r="17374" spans="13:13" x14ac:dyDescent="0.25">
      <c r="M17374" s="34">
        <f t="shared" si="447"/>
        <v>0</v>
      </c>
    </row>
    <row r="17375" spans="13:13" x14ac:dyDescent="0.25">
      <c r="M17375" s="34">
        <f t="shared" si="447"/>
        <v>0</v>
      </c>
    </row>
    <row r="17376" spans="13:13" x14ac:dyDescent="0.25">
      <c r="M17376" s="34">
        <f t="shared" si="447"/>
        <v>0</v>
      </c>
    </row>
    <row r="17377" spans="13:13" x14ac:dyDescent="0.25">
      <c r="M17377" s="34">
        <f t="shared" si="447"/>
        <v>0</v>
      </c>
    </row>
    <row r="17378" spans="13:13" x14ac:dyDescent="0.25">
      <c r="M17378" s="34">
        <f t="shared" si="447"/>
        <v>0</v>
      </c>
    </row>
    <row r="17379" spans="13:13" x14ac:dyDescent="0.25">
      <c r="M17379" s="34">
        <f t="shared" si="447"/>
        <v>0</v>
      </c>
    </row>
    <row r="17380" spans="13:13" x14ac:dyDescent="0.25">
      <c r="M17380" s="34">
        <f t="shared" si="447"/>
        <v>0</v>
      </c>
    </row>
    <row r="17381" spans="13:13" x14ac:dyDescent="0.25">
      <c r="M17381" s="34">
        <f t="shared" si="447"/>
        <v>0</v>
      </c>
    </row>
    <row r="17382" spans="13:13" x14ac:dyDescent="0.25">
      <c r="M17382" s="34">
        <f t="shared" si="447"/>
        <v>0</v>
      </c>
    </row>
    <row r="17383" spans="13:13" x14ac:dyDescent="0.25">
      <c r="M17383" s="34">
        <f t="shared" si="447"/>
        <v>0</v>
      </c>
    </row>
    <row r="17384" spans="13:13" x14ac:dyDescent="0.25">
      <c r="M17384" s="34">
        <f t="shared" si="447"/>
        <v>0</v>
      </c>
    </row>
    <row r="17385" spans="13:13" x14ac:dyDescent="0.25">
      <c r="M17385" s="34">
        <f t="shared" si="447"/>
        <v>0</v>
      </c>
    </row>
    <row r="17386" spans="13:13" x14ac:dyDescent="0.25">
      <c r="M17386" s="34">
        <f t="shared" si="447"/>
        <v>0</v>
      </c>
    </row>
    <row r="17387" spans="13:13" x14ac:dyDescent="0.25">
      <c r="M17387" s="34">
        <f t="shared" si="447"/>
        <v>0</v>
      </c>
    </row>
    <row r="17388" spans="13:13" x14ac:dyDescent="0.25">
      <c r="M17388" s="34">
        <f t="shared" si="447"/>
        <v>0</v>
      </c>
    </row>
    <row r="17389" spans="13:13" x14ac:dyDescent="0.25">
      <c r="M17389" s="34">
        <f t="shared" si="447"/>
        <v>0</v>
      </c>
    </row>
    <row r="17390" spans="13:13" x14ac:dyDescent="0.25">
      <c r="M17390" s="34">
        <f t="shared" si="447"/>
        <v>0</v>
      </c>
    </row>
    <row r="17391" spans="13:13" x14ac:dyDescent="0.25">
      <c r="M17391" s="34">
        <f t="shared" si="447"/>
        <v>0</v>
      </c>
    </row>
    <row r="17392" spans="13:13" x14ac:dyDescent="0.25">
      <c r="M17392" s="34">
        <f t="shared" si="447"/>
        <v>0</v>
      </c>
    </row>
    <row r="17393" spans="13:13" x14ac:dyDescent="0.25">
      <c r="M17393" s="34">
        <f t="shared" si="447"/>
        <v>0</v>
      </c>
    </row>
    <row r="17394" spans="13:13" x14ac:dyDescent="0.25">
      <c r="M17394" s="34">
        <f t="shared" si="447"/>
        <v>0</v>
      </c>
    </row>
    <row r="17395" spans="13:13" x14ac:dyDescent="0.25">
      <c r="M17395" s="34">
        <f t="shared" si="447"/>
        <v>0</v>
      </c>
    </row>
    <row r="17396" spans="13:13" x14ac:dyDescent="0.25">
      <c r="M17396" s="34">
        <f t="shared" si="447"/>
        <v>0</v>
      </c>
    </row>
    <row r="17397" spans="13:13" x14ac:dyDescent="0.25">
      <c r="M17397" s="34">
        <f t="shared" si="447"/>
        <v>0</v>
      </c>
    </row>
    <row r="17398" spans="13:13" x14ac:dyDescent="0.25">
      <c r="M17398" s="34">
        <f t="shared" si="447"/>
        <v>0</v>
      </c>
    </row>
    <row r="17399" spans="13:13" x14ac:dyDescent="0.25">
      <c r="M17399" s="34">
        <f t="shared" si="447"/>
        <v>0</v>
      </c>
    </row>
    <row r="17400" spans="13:13" x14ac:dyDescent="0.25">
      <c r="M17400" s="34">
        <f t="shared" si="447"/>
        <v>0</v>
      </c>
    </row>
    <row r="17401" spans="13:13" x14ac:dyDescent="0.25">
      <c r="M17401" s="34">
        <f t="shared" si="447"/>
        <v>0</v>
      </c>
    </row>
    <row r="17402" spans="13:13" x14ac:dyDescent="0.25">
      <c r="M17402" s="34">
        <f t="shared" si="447"/>
        <v>0</v>
      </c>
    </row>
    <row r="17403" spans="13:13" x14ac:dyDescent="0.25">
      <c r="M17403" s="34">
        <f t="shared" si="447"/>
        <v>0</v>
      </c>
    </row>
    <row r="17404" spans="13:13" x14ac:dyDescent="0.25">
      <c r="M17404" s="34">
        <f t="shared" si="447"/>
        <v>0</v>
      </c>
    </row>
    <row r="17405" spans="13:13" x14ac:dyDescent="0.25">
      <c r="M17405" s="34">
        <f t="shared" si="447"/>
        <v>0</v>
      </c>
    </row>
    <row r="17406" spans="13:13" x14ac:dyDescent="0.25">
      <c r="M17406" s="34">
        <f t="shared" si="447"/>
        <v>0</v>
      </c>
    </row>
    <row r="17407" spans="13:13" x14ac:dyDescent="0.25">
      <c r="M17407" s="34">
        <f t="shared" si="447"/>
        <v>0</v>
      </c>
    </row>
    <row r="17408" spans="13:13" x14ac:dyDescent="0.25">
      <c r="M17408" s="34">
        <f t="shared" si="447"/>
        <v>0</v>
      </c>
    </row>
    <row r="17409" spans="13:13" x14ac:dyDescent="0.25">
      <c r="M17409" s="34">
        <f t="shared" si="447"/>
        <v>0</v>
      </c>
    </row>
    <row r="17410" spans="13:13" x14ac:dyDescent="0.25">
      <c r="M17410" s="34">
        <f t="shared" si="447"/>
        <v>0</v>
      </c>
    </row>
    <row r="17411" spans="13:13" x14ac:dyDescent="0.25">
      <c r="M17411" s="34">
        <f t="shared" ref="M17411:M17474" si="448">IF(AND(E17411="Chèque",G17411="RECETTE"),F17411,0)</f>
        <v>0</v>
      </c>
    </row>
    <row r="17412" spans="13:13" x14ac:dyDescent="0.25">
      <c r="M17412" s="34">
        <f t="shared" si="448"/>
        <v>0</v>
      </c>
    </row>
    <row r="17413" spans="13:13" x14ac:dyDescent="0.25">
      <c r="M17413" s="34">
        <f t="shared" si="448"/>
        <v>0</v>
      </c>
    </row>
    <row r="17414" spans="13:13" x14ac:dyDescent="0.25">
      <c r="M17414" s="34">
        <f t="shared" si="448"/>
        <v>0</v>
      </c>
    </row>
    <row r="17415" spans="13:13" x14ac:dyDescent="0.25">
      <c r="M17415" s="34">
        <f t="shared" si="448"/>
        <v>0</v>
      </c>
    </row>
    <row r="17416" spans="13:13" x14ac:dyDescent="0.25">
      <c r="M17416" s="34">
        <f t="shared" si="448"/>
        <v>0</v>
      </c>
    </row>
    <row r="17417" spans="13:13" x14ac:dyDescent="0.25">
      <c r="M17417" s="34">
        <f t="shared" si="448"/>
        <v>0</v>
      </c>
    </row>
    <row r="17418" spans="13:13" x14ac:dyDescent="0.25">
      <c r="M17418" s="34">
        <f t="shared" si="448"/>
        <v>0</v>
      </c>
    </row>
    <row r="17419" spans="13:13" x14ac:dyDescent="0.25">
      <c r="M17419" s="34">
        <f t="shared" si="448"/>
        <v>0</v>
      </c>
    </row>
    <row r="17420" spans="13:13" x14ac:dyDescent="0.25">
      <c r="M17420" s="34">
        <f t="shared" si="448"/>
        <v>0</v>
      </c>
    </row>
    <row r="17421" spans="13:13" x14ac:dyDescent="0.25">
      <c r="M17421" s="34">
        <f t="shared" si="448"/>
        <v>0</v>
      </c>
    </row>
    <row r="17422" spans="13:13" x14ac:dyDescent="0.25">
      <c r="M17422" s="34">
        <f t="shared" si="448"/>
        <v>0</v>
      </c>
    </row>
    <row r="17423" spans="13:13" x14ac:dyDescent="0.25">
      <c r="M17423" s="34">
        <f t="shared" si="448"/>
        <v>0</v>
      </c>
    </row>
    <row r="17424" spans="13:13" x14ac:dyDescent="0.25">
      <c r="M17424" s="34">
        <f t="shared" si="448"/>
        <v>0</v>
      </c>
    </row>
    <row r="17425" spans="13:13" x14ac:dyDescent="0.25">
      <c r="M17425" s="34">
        <f t="shared" si="448"/>
        <v>0</v>
      </c>
    </row>
    <row r="17426" spans="13:13" x14ac:dyDescent="0.25">
      <c r="M17426" s="34">
        <f t="shared" si="448"/>
        <v>0</v>
      </c>
    </row>
    <row r="17427" spans="13:13" x14ac:dyDescent="0.25">
      <c r="M17427" s="34">
        <f t="shared" si="448"/>
        <v>0</v>
      </c>
    </row>
    <row r="17428" spans="13:13" x14ac:dyDescent="0.25">
      <c r="M17428" s="34">
        <f t="shared" si="448"/>
        <v>0</v>
      </c>
    </row>
    <row r="17429" spans="13:13" x14ac:dyDescent="0.25">
      <c r="M17429" s="34">
        <f t="shared" si="448"/>
        <v>0</v>
      </c>
    </row>
    <row r="17430" spans="13:13" x14ac:dyDescent="0.25">
      <c r="M17430" s="34">
        <f t="shared" si="448"/>
        <v>0</v>
      </c>
    </row>
    <row r="17431" spans="13:13" x14ac:dyDescent="0.25">
      <c r="M17431" s="34">
        <f t="shared" si="448"/>
        <v>0</v>
      </c>
    </row>
    <row r="17432" spans="13:13" x14ac:dyDescent="0.25">
      <c r="M17432" s="34">
        <f t="shared" si="448"/>
        <v>0</v>
      </c>
    </row>
    <row r="17433" spans="13:13" x14ac:dyDescent="0.25">
      <c r="M17433" s="34">
        <f t="shared" si="448"/>
        <v>0</v>
      </c>
    </row>
    <row r="17434" spans="13:13" x14ac:dyDescent="0.25">
      <c r="M17434" s="34">
        <f t="shared" si="448"/>
        <v>0</v>
      </c>
    </row>
    <row r="17435" spans="13:13" x14ac:dyDescent="0.25">
      <c r="M17435" s="34">
        <f t="shared" si="448"/>
        <v>0</v>
      </c>
    </row>
    <row r="17436" spans="13:13" x14ac:dyDescent="0.25">
      <c r="M17436" s="34">
        <f t="shared" si="448"/>
        <v>0</v>
      </c>
    </row>
    <row r="17437" spans="13:13" x14ac:dyDescent="0.25">
      <c r="M17437" s="34">
        <f t="shared" si="448"/>
        <v>0</v>
      </c>
    </row>
    <row r="17438" spans="13:13" x14ac:dyDescent="0.25">
      <c r="M17438" s="34">
        <f t="shared" si="448"/>
        <v>0</v>
      </c>
    </row>
    <row r="17439" spans="13:13" x14ac:dyDescent="0.25">
      <c r="M17439" s="34">
        <f t="shared" si="448"/>
        <v>0</v>
      </c>
    </row>
    <row r="17440" spans="13:13" x14ac:dyDescent="0.25">
      <c r="M17440" s="34">
        <f t="shared" si="448"/>
        <v>0</v>
      </c>
    </row>
    <row r="17441" spans="13:13" x14ac:dyDescent="0.25">
      <c r="M17441" s="34">
        <f t="shared" si="448"/>
        <v>0</v>
      </c>
    </row>
    <row r="17442" spans="13:13" x14ac:dyDescent="0.25">
      <c r="M17442" s="34">
        <f t="shared" si="448"/>
        <v>0</v>
      </c>
    </row>
    <row r="17443" spans="13:13" x14ac:dyDescent="0.25">
      <c r="M17443" s="34">
        <f t="shared" si="448"/>
        <v>0</v>
      </c>
    </row>
    <row r="17444" spans="13:13" x14ac:dyDescent="0.25">
      <c r="M17444" s="34">
        <f t="shared" si="448"/>
        <v>0</v>
      </c>
    </row>
    <row r="17445" spans="13:13" x14ac:dyDescent="0.25">
      <c r="M17445" s="34">
        <f t="shared" si="448"/>
        <v>0</v>
      </c>
    </row>
    <row r="17446" spans="13:13" x14ac:dyDescent="0.25">
      <c r="M17446" s="34">
        <f t="shared" si="448"/>
        <v>0</v>
      </c>
    </row>
    <row r="17447" spans="13:13" x14ac:dyDescent="0.25">
      <c r="M17447" s="34">
        <f t="shared" si="448"/>
        <v>0</v>
      </c>
    </row>
    <row r="17448" spans="13:13" x14ac:dyDescent="0.25">
      <c r="M17448" s="34">
        <f t="shared" si="448"/>
        <v>0</v>
      </c>
    </row>
    <row r="17449" spans="13:13" x14ac:dyDescent="0.25">
      <c r="M17449" s="34">
        <f t="shared" si="448"/>
        <v>0</v>
      </c>
    </row>
    <row r="17450" spans="13:13" x14ac:dyDescent="0.25">
      <c r="M17450" s="34">
        <f t="shared" si="448"/>
        <v>0</v>
      </c>
    </row>
    <row r="17451" spans="13:13" x14ac:dyDescent="0.25">
      <c r="M17451" s="34">
        <f t="shared" si="448"/>
        <v>0</v>
      </c>
    </row>
    <row r="17452" spans="13:13" x14ac:dyDescent="0.25">
      <c r="M17452" s="34">
        <f t="shared" si="448"/>
        <v>0</v>
      </c>
    </row>
    <row r="17453" spans="13:13" x14ac:dyDescent="0.25">
      <c r="M17453" s="34">
        <f t="shared" si="448"/>
        <v>0</v>
      </c>
    </row>
    <row r="17454" spans="13:13" x14ac:dyDescent="0.25">
      <c r="M17454" s="34">
        <f t="shared" si="448"/>
        <v>0</v>
      </c>
    </row>
    <row r="17455" spans="13:13" x14ac:dyDescent="0.25">
      <c r="M17455" s="34">
        <f t="shared" si="448"/>
        <v>0</v>
      </c>
    </row>
    <row r="17456" spans="13:13" x14ac:dyDescent="0.25">
      <c r="M17456" s="34">
        <f t="shared" si="448"/>
        <v>0</v>
      </c>
    </row>
    <row r="17457" spans="13:13" x14ac:dyDescent="0.25">
      <c r="M17457" s="34">
        <f t="shared" si="448"/>
        <v>0</v>
      </c>
    </row>
    <row r="17458" spans="13:13" x14ac:dyDescent="0.25">
      <c r="M17458" s="34">
        <f t="shared" si="448"/>
        <v>0</v>
      </c>
    </row>
    <row r="17459" spans="13:13" x14ac:dyDescent="0.25">
      <c r="M17459" s="34">
        <f t="shared" si="448"/>
        <v>0</v>
      </c>
    </row>
    <row r="17460" spans="13:13" x14ac:dyDescent="0.25">
      <c r="M17460" s="34">
        <f t="shared" si="448"/>
        <v>0</v>
      </c>
    </row>
    <row r="17461" spans="13:13" x14ac:dyDescent="0.25">
      <c r="M17461" s="34">
        <f t="shared" si="448"/>
        <v>0</v>
      </c>
    </row>
    <row r="17462" spans="13:13" x14ac:dyDescent="0.25">
      <c r="M17462" s="34">
        <f t="shared" si="448"/>
        <v>0</v>
      </c>
    </row>
    <row r="17463" spans="13:13" x14ac:dyDescent="0.25">
      <c r="M17463" s="34">
        <f t="shared" si="448"/>
        <v>0</v>
      </c>
    </row>
    <row r="17464" spans="13:13" x14ac:dyDescent="0.25">
      <c r="M17464" s="34">
        <f t="shared" si="448"/>
        <v>0</v>
      </c>
    </row>
    <row r="17465" spans="13:13" x14ac:dyDescent="0.25">
      <c r="M17465" s="34">
        <f t="shared" si="448"/>
        <v>0</v>
      </c>
    </row>
    <row r="17466" spans="13:13" x14ac:dyDescent="0.25">
      <c r="M17466" s="34">
        <f t="shared" si="448"/>
        <v>0</v>
      </c>
    </row>
    <row r="17467" spans="13:13" x14ac:dyDescent="0.25">
      <c r="M17467" s="34">
        <f t="shared" si="448"/>
        <v>0</v>
      </c>
    </row>
    <row r="17468" spans="13:13" x14ac:dyDescent="0.25">
      <c r="M17468" s="34">
        <f t="shared" si="448"/>
        <v>0</v>
      </c>
    </row>
    <row r="17469" spans="13:13" x14ac:dyDescent="0.25">
      <c r="M17469" s="34">
        <f t="shared" si="448"/>
        <v>0</v>
      </c>
    </row>
    <row r="17470" spans="13:13" x14ac:dyDescent="0.25">
      <c r="M17470" s="34">
        <f t="shared" si="448"/>
        <v>0</v>
      </c>
    </row>
    <row r="17471" spans="13:13" x14ac:dyDescent="0.25">
      <c r="M17471" s="34">
        <f t="shared" si="448"/>
        <v>0</v>
      </c>
    </row>
    <row r="17472" spans="13:13" x14ac:dyDescent="0.25">
      <c r="M17472" s="34">
        <f t="shared" si="448"/>
        <v>0</v>
      </c>
    </row>
    <row r="17473" spans="13:13" x14ac:dyDescent="0.25">
      <c r="M17473" s="34">
        <f t="shared" si="448"/>
        <v>0</v>
      </c>
    </row>
    <row r="17474" spans="13:13" x14ac:dyDescent="0.25">
      <c r="M17474" s="34">
        <f t="shared" si="448"/>
        <v>0</v>
      </c>
    </row>
    <row r="17475" spans="13:13" x14ac:dyDescent="0.25">
      <c r="M17475" s="34">
        <f t="shared" ref="M17475:M17538" si="449">IF(AND(E17475="Chèque",G17475="RECETTE"),F17475,0)</f>
        <v>0</v>
      </c>
    </row>
    <row r="17476" spans="13:13" x14ac:dyDescent="0.25">
      <c r="M17476" s="34">
        <f t="shared" si="449"/>
        <v>0</v>
      </c>
    </row>
    <row r="17477" spans="13:13" x14ac:dyDescent="0.25">
      <c r="M17477" s="34">
        <f t="shared" si="449"/>
        <v>0</v>
      </c>
    </row>
    <row r="17478" spans="13:13" x14ac:dyDescent="0.25">
      <c r="M17478" s="34">
        <f t="shared" si="449"/>
        <v>0</v>
      </c>
    </row>
    <row r="17479" spans="13:13" x14ac:dyDescent="0.25">
      <c r="M17479" s="34">
        <f t="shared" si="449"/>
        <v>0</v>
      </c>
    </row>
    <row r="17480" spans="13:13" x14ac:dyDescent="0.25">
      <c r="M17480" s="34">
        <f t="shared" si="449"/>
        <v>0</v>
      </c>
    </row>
    <row r="17481" spans="13:13" x14ac:dyDescent="0.25">
      <c r="M17481" s="34">
        <f t="shared" si="449"/>
        <v>0</v>
      </c>
    </row>
    <row r="17482" spans="13:13" x14ac:dyDescent="0.25">
      <c r="M17482" s="34">
        <f t="shared" si="449"/>
        <v>0</v>
      </c>
    </row>
    <row r="17483" spans="13:13" x14ac:dyDescent="0.25">
      <c r="M17483" s="34">
        <f t="shared" si="449"/>
        <v>0</v>
      </c>
    </row>
    <row r="17484" spans="13:13" x14ac:dyDescent="0.25">
      <c r="M17484" s="34">
        <f t="shared" si="449"/>
        <v>0</v>
      </c>
    </row>
    <row r="17485" spans="13:13" x14ac:dyDescent="0.25">
      <c r="M17485" s="34">
        <f t="shared" si="449"/>
        <v>0</v>
      </c>
    </row>
    <row r="17486" spans="13:13" x14ac:dyDescent="0.25">
      <c r="M17486" s="34">
        <f t="shared" si="449"/>
        <v>0</v>
      </c>
    </row>
    <row r="17487" spans="13:13" x14ac:dyDescent="0.25">
      <c r="M17487" s="34">
        <f t="shared" si="449"/>
        <v>0</v>
      </c>
    </row>
    <row r="17488" spans="13:13" x14ac:dyDescent="0.25">
      <c r="M17488" s="34">
        <f t="shared" si="449"/>
        <v>0</v>
      </c>
    </row>
    <row r="17489" spans="13:13" x14ac:dyDescent="0.25">
      <c r="M17489" s="34">
        <f t="shared" si="449"/>
        <v>0</v>
      </c>
    </row>
    <row r="17490" spans="13:13" x14ac:dyDescent="0.25">
      <c r="M17490" s="34">
        <f t="shared" si="449"/>
        <v>0</v>
      </c>
    </row>
    <row r="17491" spans="13:13" x14ac:dyDescent="0.25">
      <c r="M17491" s="34">
        <f t="shared" si="449"/>
        <v>0</v>
      </c>
    </row>
    <row r="17492" spans="13:13" x14ac:dyDescent="0.25">
      <c r="M17492" s="34">
        <f t="shared" si="449"/>
        <v>0</v>
      </c>
    </row>
    <row r="17493" spans="13:13" x14ac:dyDescent="0.25">
      <c r="M17493" s="34">
        <f t="shared" si="449"/>
        <v>0</v>
      </c>
    </row>
    <row r="17494" spans="13:13" x14ac:dyDescent="0.25">
      <c r="M17494" s="34">
        <f t="shared" si="449"/>
        <v>0</v>
      </c>
    </row>
    <row r="17495" spans="13:13" x14ac:dyDescent="0.25">
      <c r="M17495" s="34">
        <f t="shared" si="449"/>
        <v>0</v>
      </c>
    </row>
    <row r="17496" spans="13:13" x14ac:dyDescent="0.25">
      <c r="M17496" s="34">
        <f t="shared" si="449"/>
        <v>0</v>
      </c>
    </row>
    <row r="17497" spans="13:13" x14ac:dyDescent="0.25">
      <c r="M17497" s="34">
        <f t="shared" si="449"/>
        <v>0</v>
      </c>
    </row>
    <row r="17498" spans="13:13" x14ac:dyDescent="0.25">
      <c r="M17498" s="34">
        <f t="shared" si="449"/>
        <v>0</v>
      </c>
    </row>
    <row r="17499" spans="13:13" x14ac:dyDescent="0.25">
      <c r="M17499" s="34">
        <f t="shared" si="449"/>
        <v>0</v>
      </c>
    </row>
    <row r="17500" spans="13:13" x14ac:dyDescent="0.25">
      <c r="M17500" s="34">
        <f t="shared" si="449"/>
        <v>0</v>
      </c>
    </row>
    <row r="17501" spans="13:13" x14ac:dyDescent="0.25">
      <c r="M17501" s="34">
        <f t="shared" si="449"/>
        <v>0</v>
      </c>
    </row>
    <row r="17502" spans="13:13" x14ac:dyDescent="0.25">
      <c r="M17502" s="34">
        <f t="shared" si="449"/>
        <v>0</v>
      </c>
    </row>
    <row r="17503" spans="13:13" x14ac:dyDescent="0.25">
      <c r="M17503" s="34">
        <f t="shared" si="449"/>
        <v>0</v>
      </c>
    </row>
    <row r="17504" spans="13:13" x14ac:dyDescent="0.25">
      <c r="M17504" s="34">
        <f t="shared" si="449"/>
        <v>0</v>
      </c>
    </row>
    <row r="17505" spans="13:13" x14ac:dyDescent="0.25">
      <c r="M17505" s="34">
        <f t="shared" si="449"/>
        <v>0</v>
      </c>
    </row>
    <row r="17506" spans="13:13" x14ac:dyDescent="0.25">
      <c r="M17506" s="34">
        <f t="shared" si="449"/>
        <v>0</v>
      </c>
    </row>
    <row r="17507" spans="13:13" x14ac:dyDescent="0.25">
      <c r="M17507" s="34">
        <f t="shared" si="449"/>
        <v>0</v>
      </c>
    </row>
    <row r="17508" spans="13:13" x14ac:dyDescent="0.25">
      <c r="M17508" s="34">
        <f t="shared" si="449"/>
        <v>0</v>
      </c>
    </row>
    <row r="17509" spans="13:13" x14ac:dyDescent="0.25">
      <c r="M17509" s="34">
        <f t="shared" si="449"/>
        <v>0</v>
      </c>
    </row>
    <row r="17510" spans="13:13" x14ac:dyDescent="0.25">
      <c r="M17510" s="34">
        <f t="shared" si="449"/>
        <v>0</v>
      </c>
    </row>
    <row r="17511" spans="13:13" x14ac:dyDescent="0.25">
      <c r="M17511" s="34">
        <f t="shared" si="449"/>
        <v>0</v>
      </c>
    </row>
    <row r="17512" spans="13:13" x14ac:dyDescent="0.25">
      <c r="M17512" s="34">
        <f t="shared" si="449"/>
        <v>0</v>
      </c>
    </row>
    <row r="17513" spans="13:13" x14ac:dyDescent="0.25">
      <c r="M17513" s="34">
        <f t="shared" si="449"/>
        <v>0</v>
      </c>
    </row>
    <row r="17514" spans="13:13" x14ac:dyDescent="0.25">
      <c r="M17514" s="34">
        <f t="shared" si="449"/>
        <v>0</v>
      </c>
    </row>
    <row r="17515" spans="13:13" x14ac:dyDescent="0.25">
      <c r="M17515" s="34">
        <f t="shared" si="449"/>
        <v>0</v>
      </c>
    </row>
    <row r="17516" spans="13:13" x14ac:dyDescent="0.25">
      <c r="M17516" s="34">
        <f t="shared" si="449"/>
        <v>0</v>
      </c>
    </row>
    <row r="17517" spans="13:13" x14ac:dyDescent="0.25">
      <c r="M17517" s="34">
        <f t="shared" si="449"/>
        <v>0</v>
      </c>
    </row>
    <row r="17518" spans="13:13" x14ac:dyDescent="0.25">
      <c r="M17518" s="34">
        <f t="shared" si="449"/>
        <v>0</v>
      </c>
    </row>
    <row r="17519" spans="13:13" x14ac:dyDescent="0.25">
      <c r="M17519" s="34">
        <f t="shared" si="449"/>
        <v>0</v>
      </c>
    </row>
    <row r="17520" spans="13:13" x14ac:dyDescent="0.25">
      <c r="M17520" s="34">
        <f t="shared" si="449"/>
        <v>0</v>
      </c>
    </row>
    <row r="17521" spans="13:13" x14ac:dyDescent="0.25">
      <c r="M17521" s="34">
        <f t="shared" si="449"/>
        <v>0</v>
      </c>
    </row>
    <row r="17522" spans="13:13" x14ac:dyDescent="0.25">
      <c r="M17522" s="34">
        <f t="shared" si="449"/>
        <v>0</v>
      </c>
    </row>
    <row r="17523" spans="13:13" x14ac:dyDescent="0.25">
      <c r="M17523" s="34">
        <f t="shared" si="449"/>
        <v>0</v>
      </c>
    </row>
    <row r="17524" spans="13:13" x14ac:dyDescent="0.25">
      <c r="M17524" s="34">
        <f t="shared" si="449"/>
        <v>0</v>
      </c>
    </row>
    <row r="17525" spans="13:13" x14ac:dyDescent="0.25">
      <c r="M17525" s="34">
        <f t="shared" si="449"/>
        <v>0</v>
      </c>
    </row>
    <row r="17526" spans="13:13" x14ac:dyDescent="0.25">
      <c r="M17526" s="34">
        <f t="shared" si="449"/>
        <v>0</v>
      </c>
    </row>
    <row r="17527" spans="13:13" x14ac:dyDescent="0.25">
      <c r="M17527" s="34">
        <f t="shared" si="449"/>
        <v>0</v>
      </c>
    </row>
    <row r="17528" spans="13:13" x14ac:dyDescent="0.25">
      <c r="M17528" s="34">
        <f t="shared" si="449"/>
        <v>0</v>
      </c>
    </row>
    <row r="17529" spans="13:13" x14ac:dyDescent="0.25">
      <c r="M17529" s="34">
        <f t="shared" si="449"/>
        <v>0</v>
      </c>
    </row>
    <row r="17530" spans="13:13" x14ac:dyDescent="0.25">
      <c r="M17530" s="34">
        <f t="shared" si="449"/>
        <v>0</v>
      </c>
    </row>
    <row r="17531" spans="13:13" x14ac:dyDescent="0.25">
      <c r="M17531" s="34">
        <f t="shared" si="449"/>
        <v>0</v>
      </c>
    </row>
    <row r="17532" spans="13:13" x14ac:dyDescent="0.25">
      <c r="M17532" s="34">
        <f t="shared" si="449"/>
        <v>0</v>
      </c>
    </row>
    <row r="17533" spans="13:13" x14ac:dyDescent="0.25">
      <c r="M17533" s="34">
        <f t="shared" si="449"/>
        <v>0</v>
      </c>
    </row>
    <row r="17534" spans="13:13" x14ac:dyDescent="0.25">
      <c r="M17534" s="34">
        <f t="shared" si="449"/>
        <v>0</v>
      </c>
    </row>
    <row r="17535" spans="13:13" x14ac:dyDescent="0.25">
      <c r="M17535" s="34">
        <f t="shared" si="449"/>
        <v>0</v>
      </c>
    </row>
    <row r="17536" spans="13:13" x14ac:dyDescent="0.25">
      <c r="M17536" s="34">
        <f t="shared" si="449"/>
        <v>0</v>
      </c>
    </row>
    <row r="17537" spans="13:13" x14ac:dyDescent="0.25">
      <c r="M17537" s="34">
        <f t="shared" si="449"/>
        <v>0</v>
      </c>
    </row>
    <row r="17538" spans="13:13" x14ac:dyDescent="0.25">
      <c r="M17538" s="34">
        <f t="shared" si="449"/>
        <v>0</v>
      </c>
    </row>
    <row r="17539" spans="13:13" x14ac:dyDescent="0.25">
      <c r="M17539" s="34">
        <f t="shared" ref="M17539:M17602" si="450">IF(AND(E17539="Chèque",G17539="RECETTE"),F17539,0)</f>
        <v>0</v>
      </c>
    </row>
    <row r="17540" spans="13:13" x14ac:dyDescent="0.25">
      <c r="M17540" s="34">
        <f t="shared" si="450"/>
        <v>0</v>
      </c>
    </row>
    <row r="17541" spans="13:13" x14ac:dyDescent="0.25">
      <c r="M17541" s="34">
        <f t="shared" si="450"/>
        <v>0</v>
      </c>
    </row>
    <row r="17542" spans="13:13" x14ac:dyDescent="0.25">
      <c r="M17542" s="34">
        <f t="shared" si="450"/>
        <v>0</v>
      </c>
    </row>
    <row r="17543" spans="13:13" x14ac:dyDescent="0.25">
      <c r="M17543" s="34">
        <f t="shared" si="450"/>
        <v>0</v>
      </c>
    </row>
    <row r="17544" spans="13:13" x14ac:dyDescent="0.25">
      <c r="M17544" s="34">
        <f t="shared" si="450"/>
        <v>0</v>
      </c>
    </row>
    <row r="17545" spans="13:13" x14ac:dyDescent="0.25">
      <c r="M17545" s="34">
        <f t="shared" si="450"/>
        <v>0</v>
      </c>
    </row>
    <row r="17546" spans="13:13" x14ac:dyDescent="0.25">
      <c r="M17546" s="34">
        <f t="shared" si="450"/>
        <v>0</v>
      </c>
    </row>
    <row r="17547" spans="13:13" x14ac:dyDescent="0.25">
      <c r="M17547" s="34">
        <f t="shared" si="450"/>
        <v>0</v>
      </c>
    </row>
    <row r="17548" spans="13:13" x14ac:dyDescent="0.25">
      <c r="M17548" s="34">
        <f t="shared" si="450"/>
        <v>0</v>
      </c>
    </row>
    <row r="17549" spans="13:13" x14ac:dyDescent="0.25">
      <c r="M17549" s="34">
        <f t="shared" si="450"/>
        <v>0</v>
      </c>
    </row>
    <row r="17550" spans="13:13" x14ac:dyDescent="0.25">
      <c r="M17550" s="34">
        <f t="shared" si="450"/>
        <v>0</v>
      </c>
    </row>
    <row r="17551" spans="13:13" x14ac:dyDescent="0.25">
      <c r="M17551" s="34">
        <f t="shared" si="450"/>
        <v>0</v>
      </c>
    </row>
    <row r="17552" spans="13:13" x14ac:dyDescent="0.25">
      <c r="M17552" s="34">
        <f t="shared" si="450"/>
        <v>0</v>
      </c>
    </row>
    <row r="17553" spans="13:13" x14ac:dyDescent="0.25">
      <c r="M17553" s="34">
        <f t="shared" si="450"/>
        <v>0</v>
      </c>
    </row>
    <row r="17554" spans="13:13" x14ac:dyDescent="0.25">
      <c r="M17554" s="34">
        <f t="shared" si="450"/>
        <v>0</v>
      </c>
    </row>
    <row r="17555" spans="13:13" x14ac:dyDescent="0.25">
      <c r="M17555" s="34">
        <f t="shared" si="450"/>
        <v>0</v>
      </c>
    </row>
    <row r="17556" spans="13:13" x14ac:dyDescent="0.25">
      <c r="M17556" s="34">
        <f t="shared" si="450"/>
        <v>0</v>
      </c>
    </row>
    <row r="17557" spans="13:13" x14ac:dyDescent="0.25">
      <c r="M17557" s="34">
        <f t="shared" si="450"/>
        <v>0</v>
      </c>
    </row>
    <row r="17558" spans="13:13" x14ac:dyDescent="0.25">
      <c r="M17558" s="34">
        <f t="shared" si="450"/>
        <v>0</v>
      </c>
    </row>
    <row r="17559" spans="13:13" x14ac:dyDescent="0.25">
      <c r="M17559" s="34">
        <f t="shared" si="450"/>
        <v>0</v>
      </c>
    </row>
    <row r="17560" spans="13:13" x14ac:dyDescent="0.25">
      <c r="M17560" s="34">
        <f t="shared" si="450"/>
        <v>0</v>
      </c>
    </row>
    <row r="17561" spans="13:13" x14ac:dyDescent="0.25">
      <c r="M17561" s="34">
        <f t="shared" si="450"/>
        <v>0</v>
      </c>
    </row>
    <row r="17562" spans="13:13" x14ac:dyDescent="0.25">
      <c r="M17562" s="34">
        <f t="shared" si="450"/>
        <v>0</v>
      </c>
    </row>
    <row r="17563" spans="13:13" x14ac:dyDescent="0.25">
      <c r="M17563" s="34">
        <f t="shared" si="450"/>
        <v>0</v>
      </c>
    </row>
    <row r="17564" spans="13:13" x14ac:dyDescent="0.25">
      <c r="M17564" s="34">
        <f t="shared" si="450"/>
        <v>0</v>
      </c>
    </row>
    <row r="17565" spans="13:13" x14ac:dyDescent="0.25">
      <c r="M17565" s="34">
        <f t="shared" si="450"/>
        <v>0</v>
      </c>
    </row>
    <row r="17566" spans="13:13" x14ac:dyDescent="0.25">
      <c r="M17566" s="34">
        <f t="shared" si="450"/>
        <v>0</v>
      </c>
    </row>
    <row r="17567" spans="13:13" x14ac:dyDescent="0.25">
      <c r="M17567" s="34">
        <f t="shared" si="450"/>
        <v>0</v>
      </c>
    </row>
    <row r="17568" spans="13:13" x14ac:dyDescent="0.25">
      <c r="M17568" s="34">
        <f t="shared" si="450"/>
        <v>0</v>
      </c>
    </row>
    <row r="17569" spans="13:13" x14ac:dyDescent="0.25">
      <c r="M17569" s="34">
        <f t="shared" si="450"/>
        <v>0</v>
      </c>
    </row>
    <row r="17570" spans="13:13" x14ac:dyDescent="0.25">
      <c r="M17570" s="34">
        <f t="shared" si="450"/>
        <v>0</v>
      </c>
    </row>
    <row r="17571" spans="13:13" x14ac:dyDescent="0.25">
      <c r="M17571" s="34">
        <f t="shared" si="450"/>
        <v>0</v>
      </c>
    </row>
    <row r="17572" spans="13:13" x14ac:dyDescent="0.25">
      <c r="M17572" s="34">
        <f t="shared" si="450"/>
        <v>0</v>
      </c>
    </row>
    <row r="17573" spans="13:13" x14ac:dyDescent="0.25">
      <c r="M17573" s="34">
        <f t="shared" si="450"/>
        <v>0</v>
      </c>
    </row>
    <row r="17574" spans="13:13" x14ac:dyDescent="0.25">
      <c r="M17574" s="34">
        <f t="shared" si="450"/>
        <v>0</v>
      </c>
    </row>
    <row r="17575" spans="13:13" x14ac:dyDescent="0.25">
      <c r="M17575" s="34">
        <f t="shared" si="450"/>
        <v>0</v>
      </c>
    </row>
    <row r="17576" spans="13:13" x14ac:dyDescent="0.25">
      <c r="M17576" s="34">
        <f t="shared" si="450"/>
        <v>0</v>
      </c>
    </row>
    <row r="17577" spans="13:13" x14ac:dyDescent="0.25">
      <c r="M17577" s="34">
        <f t="shared" si="450"/>
        <v>0</v>
      </c>
    </row>
    <row r="17578" spans="13:13" x14ac:dyDescent="0.25">
      <c r="M17578" s="34">
        <f t="shared" si="450"/>
        <v>0</v>
      </c>
    </row>
    <row r="17579" spans="13:13" x14ac:dyDescent="0.25">
      <c r="M17579" s="34">
        <f t="shared" si="450"/>
        <v>0</v>
      </c>
    </row>
    <row r="17580" spans="13:13" x14ac:dyDescent="0.25">
      <c r="M17580" s="34">
        <f t="shared" si="450"/>
        <v>0</v>
      </c>
    </row>
    <row r="17581" spans="13:13" x14ac:dyDescent="0.25">
      <c r="M17581" s="34">
        <f t="shared" si="450"/>
        <v>0</v>
      </c>
    </row>
    <row r="17582" spans="13:13" x14ac:dyDescent="0.25">
      <c r="M17582" s="34">
        <f t="shared" si="450"/>
        <v>0</v>
      </c>
    </row>
    <row r="17583" spans="13:13" x14ac:dyDescent="0.25">
      <c r="M17583" s="34">
        <f t="shared" si="450"/>
        <v>0</v>
      </c>
    </row>
    <row r="17584" spans="13:13" x14ac:dyDescent="0.25">
      <c r="M17584" s="34">
        <f t="shared" si="450"/>
        <v>0</v>
      </c>
    </row>
    <row r="17585" spans="13:13" x14ac:dyDescent="0.25">
      <c r="M17585" s="34">
        <f t="shared" si="450"/>
        <v>0</v>
      </c>
    </row>
    <row r="17586" spans="13:13" x14ac:dyDescent="0.25">
      <c r="M17586" s="34">
        <f t="shared" si="450"/>
        <v>0</v>
      </c>
    </row>
    <row r="17587" spans="13:13" x14ac:dyDescent="0.25">
      <c r="M17587" s="34">
        <f t="shared" si="450"/>
        <v>0</v>
      </c>
    </row>
    <row r="17588" spans="13:13" x14ac:dyDescent="0.25">
      <c r="M17588" s="34">
        <f t="shared" si="450"/>
        <v>0</v>
      </c>
    </row>
    <row r="17589" spans="13:13" x14ac:dyDescent="0.25">
      <c r="M17589" s="34">
        <f t="shared" si="450"/>
        <v>0</v>
      </c>
    </row>
    <row r="17590" spans="13:13" x14ac:dyDescent="0.25">
      <c r="M17590" s="34">
        <f t="shared" si="450"/>
        <v>0</v>
      </c>
    </row>
    <row r="17591" spans="13:13" x14ac:dyDescent="0.25">
      <c r="M17591" s="34">
        <f t="shared" si="450"/>
        <v>0</v>
      </c>
    </row>
    <row r="17592" spans="13:13" x14ac:dyDescent="0.25">
      <c r="M17592" s="34">
        <f t="shared" si="450"/>
        <v>0</v>
      </c>
    </row>
    <row r="17593" spans="13:13" x14ac:dyDescent="0.25">
      <c r="M17593" s="34">
        <f t="shared" si="450"/>
        <v>0</v>
      </c>
    </row>
    <row r="17594" spans="13:13" x14ac:dyDescent="0.25">
      <c r="M17594" s="34">
        <f t="shared" si="450"/>
        <v>0</v>
      </c>
    </row>
    <row r="17595" spans="13:13" x14ac:dyDescent="0.25">
      <c r="M17595" s="34">
        <f t="shared" si="450"/>
        <v>0</v>
      </c>
    </row>
    <row r="17596" spans="13:13" x14ac:dyDescent="0.25">
      <c r="M17596" s="34">
        <f t="shared" si="450"/>
        <v>0</v>
      </c>
    </row>
    <row r="17597" spans="13:13" x14ac:dyDescent="0.25">
      <c r="M17597" s="34">
        <f t="shared" si="450"/>
        <v>0</v>
      </c>
    </row>
    <row r="17598" spans="13:13" x14ac:dyDescent="0.25">
      <c r="M17598" s="34">
        <f t="shared" si="450"/>
        <v>0</v>
      </c>
    </row>
    <row r="17599" spans="13:13" x14ac:dyDescent="0.25">
      <c r="M17599" s="34">
        <f t="shared" si="450"/>
        <v>0</v>
      </c>
    </row>
    <row r="17600" spans="13:13" x14ac:dyDescent="0.25">
      <c r="M17600" s="34">
        <f t="shared" si="450"/>
        <v>0</v>
      </c>
    </row>
    <row r="17601" spans="13:13" x14ac:dyDescent="0.25">
      <c r="M17601" s="34">
        <f t="shared" si="450"/>
        <v>0</v>
      </c>
    </row>
    <row r="17602" spans="13:13" x14ac:dyDescent="0.25">
      <c r="M17602" s="34">
        <f t="shared" si="450"/>
        <v>0</v>
      </c>
    </row>
    <row r="17603" spans="13:13" x14ac:dyDescent="0.25">
      <c r="M17603" s="34">
        <f t="shared" ref="M17603:M17666" si="451">IF(AND(E17603="Chèque",G17603="RECETTE"),F17603,0)</f>
        <v>0</v>
      </c>
    </row>
    <row r="17604" spans="13:13" x14ac:dyDescent="0.25">
      <c r="M17604" s="34">
        <f t="shared" si="451"/>
        <v>0</v>
      </c>
    </row>
    <row r="17605" spans="13:13" x14ac:dyDescent="0.25">
      <c r="M17605" s="34">
        <f t="shared" si="451"/>
        <v>0</v>
      </c>
    </row>
    <row r="17606" spans="13:13" x14ac:dyDescent="0.25">
      <c r="M17606" s="34">
        <f t="shared" si="451"/>
        <v>0</v>
      </c>
    </row>
    <row r="17607" spans="13:13" x14ac:dyDescent="0.25">
      <c r="M17607" s="34">
        <f t="shared" si="451"/>
        <v>0</v>
      </c>
    </row>
    <row r="17608" spans="13:13" x14ac:dyDescent="0.25">
      <c r="M17608" s="34">
        <f t="shared" si="451"/>
        <v>0</v>
      </c>
    </row>
    <row r="17609" spans="13:13" x14ac:dyDescent="0.25">
      <c r="M17609" s="34">
        <f t="shared" si="451"/>
        <v>0</v>
      </c>
    </row>
    <row r="17610" spans="13:13" x14ac:dyDescent="0.25">
      <c r="M17610" s="34">
        <f t="shared" si="451"/>
        <v>0</v>
      </c>
    </row>
    <row r="17611" spans="13:13" x14ac:dyDescent="0.25">
      <c r="M17611" s="34">
        <f t="shared" si="451"/>
        <v>0</v>
      </c>
    </row>
    <row r="17612" spans="13:13" x14ac:dyDescent="0.25">
      <c r="M17612" s="34">
        <f t="shared" si="451"/>
        <v>0</v>
      </c>
    </row>
    <row r="17613" spans="13:13" x14ac:dyDescent="0.25">
      <c r="M17613" s="34">
        <f t="shared" si="451"/>
        <v>0</v>
      </c>
    </row>
    <row r="17614" spans="13:13" x14ac:dyDescent="0.25">
      <c r="M17614" s="34">
        <f t="shared" si="451"/>
        <v>0</v>
      </c>
    </row>
    <row r="17615" spans="13:13" x14ac:dyDescent="0.25">
      <c r="M17615" s="34">
        <f t="shared" si="451"/>
        <v>0</v>
      </c>
    </row>
    <row r="17616" spans="13:13" x14ac:dyDescent="0.25">
      <c r="M17616" s="34">
        <f t="shared" si="451"/>
        <v>0</v>
      </c>
    </row>
    <row r="17617" spans="13:13" x14ac:dyDescent="0.25">
      <c r="M17617" s="34">
        <f t="shared" si="451"/>
        <v>0</v>
      </c>
    </row>
    <row r="17618" spans="13:13" x14ac:dyDescent="0.25">
      <c r="M17618" s="34">
        <f t="shared" si="451"/>
        <v>0</v>
      </c>
    </row>
    <row r="17619" spans="13:13" x14ac:dyDescent="0.25">
      <c r="M17619" s="34">
        <f t="shared" si="451"/>
        <v>0</v>
      </c>
    </row>
    <row r="17620" spans="13:13" x14ac:dyDescent="0.25">
      <c r="M17620" s="34">
        <f t="shared" si="451"/>
        <v>0</v>
      </c>
    </row>
    <row r="17621" spans="13:13" x14ac:dyDescent="0.25">
      <c r="M17621" s="34">
        <f t="shared" si="451"/>
        <v>0</v>
      </c>
    </row>
    <row r="17622" spans="13:13" x14ac:dyDescent="0.25">
      <c r="M17622" s="34">
        <f t="shared" si="451"/>
        <v>0</v>
      </c>
    </row>
    <row r="17623" spans="13:13" x14ac:dyDescent="0.25">
      <c r="M17623" s="34">
        <f t="shared" si="451"/>
        <v>0</v>
      </c>
    </row>
    <row r="17624" spans="13:13" x14ac:dyDescent="0.25">
      <c r="M17624" s="34">
        <f t="shared" si="451"/>
        <v>0</v>
      </c>
    </row>
    <row r="17625" spans="13:13" x14ac:dyDescent="0.25">
      <c r="M17625" s="34">
        <f t="shared" si="451"/>
        <v>0</v>
      </c>
    </row>
    <row r="17626" spans="13:13" x14ac:dyDescent="0.25">
      <c r="M17626" s="34">
        <f t="shared" si="451"/>
        <v>0</v>
      </c>
    </row>
    <row r="17627" spans="13:13" x14ac:dyDescent="0.25">
      <c r="M17627" s="34">
        <f t="shared" si="451"/>
        <v>0</v>
      </c>
    </row>
    <row r="17628" spans="13:13" x14ac:dyDescent="0.25">
      <c r="M17628" s="34">
        <f t="shared" si="451"/>
        <v>0</v>
      </c>
    </row>
    <row r="17629" spans="13:13" x14ac:dyDescent="0.25">
      <c r="M17629" s="34">
        <f t="shared" si="451"/>
        <v>0</v>
      </c>
    </row>
    <row r="17630" spans="13:13" x14ac:dyDescent="0.25">
      <c r="M17630" s="34">
        <f t="shared" si="451"/>
        <v>0</v>
      </c>
    </row>
    <row r="17631" spans="13:13" x14ac:dyDescent="0.25">
      <c r="M17631" s="34">
        <f t="shared" si="451"/>
        <v>0</v>
      </c>
    </row>
    <row r="17632" spans="13:13" x14ac:dyDescent="0.25">
      <c r="M17632" s="34">
        <f t="shared" si="451"/>
        <v>0</v>
      </c>
    </row>
    <row r="17633" spans="13:13" x14ac:dyDescent="0.25">
      <c r="M17633" s="34">
        <f t="shared" si="451"/>
        <v>0</v>
      </c>
    </row>
    <row r="17634" spans="13:13" x14ac:dyDescent="0.25">
      <c r="M17634" s="34">
        <f t="shared" si="451"/>
        <v>0</v>
      </c>
    </row>
    <row r="17635" spans="13:13" x14ac:dyDescent="0.25">
      <c r="M17635" s="34">
        <f t="shared" si="451"/>
        <v>0</v>
      </c>
    </row>
    <row r="17636" spans="13:13" x14ac:dyDescent="0.25">
      <c r="M17636" s="34">
        <f t="shared" si="451"/>
        <v>0</v>
      </c>
    </row>
    <row r="17637" spans="13:13" x14ac:dyDescent="0.25">
      <c r="M17637" s="34">
        <f t="shared" si="451"/>
        <v>0</v>
      </c>
    </row>
    <row r="17638" spans="13:13" x14ac:dyDescent="0.25">
      <c r="M17638" s="34">
        <f t="shared" si="451"/>
        <v>0</v>
      </c>
    </row>
    <row r="17639" spans="13:13" x14ac:dyDescent="0.25">
      <c r="M17639" s="34">
        <f t="shared" si="451"/>
        <v>0</v>
      </c>
    </row>
    <row r="17640" spans="13:13" x14ac:dyDescent="0.25">
      <c r="M17640" s="34">
        <f t="shared" si="451"/>
        <v>0</v>
      </c>
    </row>
    <row r="17641" spans="13:13" x14ac:dyDescent="0.25">
      <c r="M17641" s="34">
        <f t="shared" si="451"/>
        <v>0</v>
      </c>
    </row>
    <row r="17642" spans="13:13" x14ac:dyDescent="0.25">
      <c r="M17642" s="34">
        <f t="shared" si="451"/>
        <v>0</v>
      </c>
    </row>
    <row r="17643" spans="13:13" x14ac:dyDescent="0.25">
      <c r="M17643" s="34">
        <f t="shared" si="451"/>
        <v>0</v>
      </c>
    </row>
    <row r="17644" spans="13:13" x14ac:dyDescent="0.25">
      <c r="M17644" s="34">
        <f t="shared" si="451"/>
        <v>0</v>
      </c>
    </row>
    <row r="17645" spans="13:13" x14ac:dyDescent="0.25">
      <c r="M17645" s="34">
        <f t="shared" si="451"/>
        <v>0</v>
      </c>
    </row>
    <row r="17646" spans="13:13" x14ac:dyDescent="0.25">
      <c r="M17646" s="34">
        <f t="shared" si="451"/>
        <v>0</v>
      </c>
    </row>
    <row r="17647" spans="13:13" x14ac:dyDescent="0.25">
      <c r="M17647" s="34">
        <f t="shared" si="451"/>
        <v>0</v>
      </c>
    </row>
    <row r="17648" spans="13:13" x14ac:dyDescent="0.25">
      <c r="M17648" s="34">
        <f t="shared" si="451"/>
        <v>0</v>
      </c>
    </row>
    <row r="17649" spans="13:13" x14ac:dyDescent="0.25">
      <c r="M17649" s="34">
        <f t="shared" si="451"/>
        <v>0</v>
      </c>
    </row>
    <row r="17650" spans="13:13" x14ac:dyDescent="0.25">
      <c r="M17650" s="34">
        <f t="shared" si="451"/>
        <v>0</v>
      </c>
    </row>
    <row r="17651" spans="13:13" x14ac:dyDescent="0.25">
      <c r="M17651" s="34">
        <f t="shared" si="451"/>
        <v>0</v>
      </c>
    </row>
    <row r="17652" spans="13:13" x14ac:dyDescent="0.25">
      <c r="M17652" s="34">
        <f t="shared" si="451"/>
        <v>0</v>
      </c>
    </row>
    <row r="17653" spans="13:13" x14ac:dyDescent="0.25">
      <c r="M17653" s="34">
        <f t="shared" si="451"/>
        <v>0</v>
      </c>
    </row>
    <row r="17654" spans="13:13" x14ac:dyDescent="0.25">
      <c r="M17654" s="34">
        <f t="shared" si="451"/>
        <v>0</v>
      </c>
    </row>
    <row r="17655" spans="13:13" x14ac:dyDescent="0.25">
      <c r="M17655" s="34">
        <f t="shared" si="451"/>
        <v>0</v>
      </c>
    </row>
    <row r="17656" spans="13:13" x14ac:dyDescent="0.25">
      <c r="M17656" s="34">
        <f t="shared" si="451"/>
        <v>0</v>
      </c>
    </row>
    <row r="17657" spans="13:13" x14ac:dyDescent="0.25">
      <c r="M17657" s="34">
        <f t="shared" si="451"/>
        <v>0</v>
      </c>
    </row>
    <row r="17658" spans="13:13" x14ac:dyDescent="0.25">
      <c r="M17658" s="34">
        <f t="shared" si="451"/>
        <v>0</v>
      </c>
    </row>
    <row r="17659" spans="13:13" x14ac:dyDescent="0.25">
      <c r="M17659" s="34">
        <f t="shared" si="451"/>
        <v>0</v>
      </c>
    </row>
    <row r="17660" spans="13:13" x14ac:dyDescent="0.25">
      <c r="M17660" s="34">
        <f t="shared" si="451"/>
        <v>0</v>
      </c>
    </row>
    <row r="17661" spans="13:13" x14ac:dyDescent="0.25">
      <c r="M17661" s="34">
        <f t="shared" si="451"/>
        <v>0</v>
      </c>
    </row>
    <row r="17662" spans="13:13" x14ac:dyDescent="0.25">
      <c r="M17662" s="34">
        <f t="shared" si="451"/>
        <v>0</v>
      </c>
    </row>
    <row r="17663" spans="13:13" x14ac:dyDescent="0.25">
      <c r="M17663" s="34">
        <f t="shared" si="451"/>
        <v>0</v>
      </c>
    </row>
    <row r="17664" spans="13:13" x14ac:dyDescent="0.25">
      <c r="M17664" s="34">
        <f t="shared" si="451"/>
        <v>0</v>
      </c>
    </row>
    <row r="17665" spans="13:13" x14ac:dyDescent="0.25">
      <c r="M17665" s="34">
        <f t="shared" si="451"/>
        <v>0</v>
      </c>
    </row>
    <row r="17666" spans="13:13" x14ac:dyDescent="0.25">
      <c r="M17666" s="34">
        <f t="shared" si="451"/>
        <v>0</v>
      </c>
    </row>
    <row r="17667" spans="13:13" x14ac:dyDescent="0.25">
      <c r="M17667" s="34">
        <f t="shared" ref="M17667:M17730" si="452">IF(AND(E17667="Chèque",G17667="RECETTE"),F17667,0)</f>
        <v>0</v>
      </c>
    </row>
    <row r="17668" spans="13:13" x14ac:dyDescent="0.25">
      <c r="M17668" s="34">
        <f t="shared" si="452"/>
        <v>0</v>
      </c>
    </row>
    <row r="17669" spans="13:13" x14ac:dyDescent="0.25">
      <c r="M17669" s="34">
        <f t="shared" si="452"/>
        <v>0</v>
      </c>
    </row>
    <row r="17670" spans="13:13" x14ac:dyDescent="0.25">
      <c r="M17670" s="34">
        <f t="shared" si="452"/>
        <v>0</v>
      </c>
    </row>
    <row r="17671" spans="13:13" x14ac:dyDescent="0.25">
      <c r="M17671" s="34">
        <f t="shared" si="452"/>
        <v>0</v>
      </c>
    </row>
    <row r="17672" spans="13:13" x14ac:dyDescent="0.25">
      <c r="M17672" s="34">
        <f t="shared" si="452"/>
        <v>0</v>
      </c>
    </row>
    <row r="17673" spans="13:13" x14ac:dyDescent="0.25">
      <c r="M17673" s="34">
        <f t="shared" si="452"/>
        <v>0</v>
      </c>
    </row>
    <row r="17674" spans="13:13" x14ac:dyDescent="0.25">
      <c r="M17674" s="34">
        <f t="shared" si="452"/>
        <v>0</v>
      </c>
    </row>
    <row r="17675" spans="13:13" x14ac:dyDescent="0.25">
      <c r="M17675" s="34">
        <f t="shared" si="452"/>
        <v>0</v>
      </c>
    </row>
    <row r="17676" spans="13:13" x14ac:dyDescent="0.25">
      <c r="M17676" s="34">
        <f t="shared" si="452"/>
        <v>0</v>
      </c>
    </row>
    <row r="17677" spans="13:13" x14ac:dyDescent="0.25">
      <c r="M17677" s="34">
        <f t="shared" si="452"/>
        <v>0</v>
      </c>
    </row>
    <row r="17678" spans="13:13" x14ac:dyDescent="0.25">
      <c r="M17678" s="34">
        <f t="shared" si="452"/>
        <v>0</v>
      </c>
    </row>
    <row r="17679" spans="13:13" x14ac:dyDescent="0.25">
      <c r="M17679" s="34">
        <f t="shared" si="452"/>
        <v>0</v>
      </c>
    </row>
    <row r="17680" spans="13:13" x14ac:dyDescent="0.25">
      <c r="M17680" s="34">
        <f t="shared" si="452"/>
        <v>0</v>
      </c>
    </row>
    <row r="17681" spans="13:13" x14ac:dyDescent="0.25">
      <c r="M17681" s="34">
        <f t="shared" si="452"/>
        <v>0</v>
      </c>
    </row>
    <row r="17682" spans="13:13" x14ac:dyDescent="0.25">
      <c r="M17682" s="34">
        <f t="shared" si="452"/>
        <v>0</v>
      </c>
    </row>
    <row r="17683" spans="13:13" x14ac:dyDescent="0.25">
      <c r="M17683" s="34">
        <f t="shared" si="452"/>
        <v>0</v>
      </c>
    </row>
    <row r="17684" spans="13:13" x14ac:dyDescent="0.25">
      <c r="M17684" s="34">
        <f t="shared" si="452"/>
        <v>0</v>
      </c>
    </row>
    <row r="17685" spans="13:13" x14ac:dyDescent="0.25">
      <c r="M17685" s="34">
        <f t="shared" si="452"/>
        <v>0</v>
      </c>
    </row>
    <row r="17686" spans="13:13" x14ac:dyDescent="0.25">
      <c r="M17686" s="34">
        <f t="shared" si="452"/>
        <v>0</v>
      </c>
    </row>
    <row r="17687" spans="13:13" x14ac:dyDescent="0.25">
      <c r="M17687" s="34">
        <f t="shared" si="452"/>
        <v>0</v>
      </c>
    </row>
    <row r="17688" spans="13:13" x14ac:dyDescent="0.25">
      <c r="M17688" s="34">
        <f t="shared" si="452"/>
        <v>0</v>
      </c>
    </row>
    <row r="17689" spans="13:13" x14ac:dyDescent="0.25">
      <c r="M17689" s="34">
        <f t="shared" si="452"/>
        <v>0</v>
      </c>
    </row>
    <row r="17690" spans="13:13" x14ac:dyDescent="0.25">
      <c r="M17690" s="34">
        <f t="shared" si="452"/>
        <v>0</v>
      </c>
    </row>
    <row r="17691" spans="13:13" x14ac:dyDescent="0.25">
      <c r="M17691" s="34">
        <f t="shared" si="452"/>
        <v>0</v>
      </c>
    </row>
    <row r="17692" spans="13:13" x14ac:dyDescent="0.25">
      <c r="M17692" s="34">
        <f t="shared" si="452"/>
        <v>0</v>
      </c>
    </row>
    <row r="17693" spans="13:13" x14ac:dyDescent="0.25">
      <c r="M17693" s="34">
        <f t="shared" si="452"/>
        <v>0</v>
      </c>
    </row>
    <row r="17694" spans="13:13" x14ac:dyDescent="0.25">
      <c r="M17694" s="34">
        <f t="shared" si="452"/>
        <v>0</v>
      </c>
    </row>
    <row r="17695" spans="13:13" x14ac:dyDescent="0.25">
      <c r="M17695" s="34">
        <f t="shared" si="452"/>
        <v>0</v>
      </c>
    </row>
    <row r="17696" spans="13:13" x14ac:dyDescent="0.25">
      <c r="M17696" s="34">
        <f t="shared" si="452"/>
        <v>0</v>
      </c>
    </row>
    <row r="17697" spans="13:13" x14ac:dyDescent="0.25">
      <c r="M17697" s="34">
        <f t="shared" si="452"/>
        <v>0</v>
      </c>
    </row>
    <row r="17698" spans="13:13" x14ac:dyDescent="0.25">
      <c r="M17698" s="34">
        <f t="shared" si="452"/>
        <v>0</v>
      </c>
    </row>
    <row r="17699" spans="13:13" x14ac:dyDescent="0.25">
      <c r="M17699" s="34">
        <f t="shared" si="452"/>
        <v>0</v>
      </c>
    </row>
    <row r="17700" spans="13:13" x14ac:dyDescent="0.25">
      <c r="M17700" s="34">
        <f t="shared" si="452"/>
        <v>0</v>
      </c>
    </row>
    <row r="17701" spans="13:13" x14ac:dyDescent="0.25">
      <c r="M17701" s="34">
        <f t="shared" si="452"/>
        <v>0</v>
      </c>
    </row>
    <row r="17702" spans="13:13" x14ac:dyDescent="0.25">
      <c r="M17702" s="34">
        <f t="shared" si="452"/>
        <v>0</v>
      </c>
    </row>
    <row r="17703" spans="13:13" x14ac:dyDescent="0.25">
      <c r="M17703" s="34">
        <f t="shared" si="452"/>
        <v>0</v>
      </c>
    </row>
    <row r="17704" spans="13:13" x14ac:dyDescent="0.25">
      <c r="M17704" s="34">
        <f t="shared" si="452"/>
        <v>0</v>
      </c>
    </row>
    <row r="17705" spans="13:13" x14ac:dyDescent="0.25">
      <c r="M17705" s="34">
        <f t="shared" si="452"/>
        <v>0</v>
      </c>
    </row>
    <row r="17706" spans="13:13" x14ac:dyDescent="0.25">
      <c r="M17706" s="34">
        <f t="shared" si="452"/>
        <v>0</v>
      </c>
    </row>
    <row r="17707" spans="13:13" x14ac:dyDescent="0.25">
      <c r="M17707" s="34">
        <f t="shared" si="452"/>
        <v>0</v>
      </c>
    </row>
    <row r="17708" spans="13:13" x14ac:dyDescent="0.25">
      <c r="M17708" s="34">
        <f t="shared" si="452"/>
        <v>0</v>
      </c>
    </row>
    <row r="17709" spans="13:13" x14ac:dyDescent="0.25">
      <c r="M17709" s="34">
        <f t="shared" si="452"/>
        <v>0</v>
      </c>
    </row>
    <row r="17710" spans="13:13" x14ac:dyDescent="0.25">
      <c r="M17710" s="34">
        <f t="shared" si="452"/>
        <v>0</v>
      </c>
    </row>
    <row r="17711" spans="13:13" x14ac:dyDescent="0.25">
      <c r="M17711" s="34">
        <f t="shared" si="452"/>
        <v>0</v>
      </c>
    </row>
    <row r="17712" spans="13:13" x14ac:dyDescent="0.25">
      <c r="M17712" s="34">
        <f t="shared" si="452"/>
        <v>0</v>
      </c>
    </row>
    <row r="17713" spans="13:13" x14ac:dyDescent="0.25">
      <c r="M17713" s="34">
        <f t="shared" si="452"/>
        <v>0</v>
      </c>
    </row>
    <row r="17714" spans="13:13" x14ac:dyDescent="0.25">
      <c r="M17714" s="34">
        <f t="shared" si="452"/>
        <v>0</v>
      </c>
    </row>
    <row r="17715" spans="13:13" x14ac:dyDescent="0.25">
      <c r="M17715" s="34">
        <f t="shared" si="452"/>
        <v>0</v>
      </c>
    </row>
    <row r="17716" spans="13:13" x14ac:dyDescent="0.25">
      <c r="M17716" s="34">
        <f t="shared" si="452"/>
        <v>0</v>
      </c>
    </row>
    <row r="17717" spans="13:13" x14ac:dyDescent="0.25">
      <c r="M17717" s="34">
        <f t="shared" si="452"/>
        <v>0</v>
      </c>
    </row>
    <row r="17718" spans="13:13" x14ac:dyDescent="0.25">
      <c r="M17718" s="34">
        <f t="shared" si="452"/>
        <v>0</v>
      </c>
    </row>
    <row r="17719" spans="13:13" x14ac:dyDescent="0.25">
      <c r="M17719" s="34">
        <f t="shared" si="452"/>
        <v>0</v>
      </c>
    </row>
    <row r="17720" spans="13:13" x14ac:dyDescent="0.25">
      <c r="M17720" s="34">
        <f t="shared" si="452"/>
        <v>0</v>
      </c>
    </row>
    <row r="17721" spans="13:13" x14ac:dyDescent="0.25">
      <c r="M17721" s="34">
        <f t="shared" si="452"/>
        <v>0</v>
      </c>
    </row>
    <row r="17722" spans="13:13" x14ac:dyDescent="0.25">
      <c r="M17722" s="34">
        <f t="shared" si="452"/>
        <v>0</v>
      </c>
    </row>
    <row r="17723" spans="13:13" x14ac:dyDescent="0.25">
      <c r="M17723" s="34">
        <f t="shared" si="452"/>
        <v>0</v>
      </c>
    </row>
    <row r="17724" spans="13:13" x14ac:dyDescent="0.25">
      <c r="M17724" s="34">
        <f t="shared" si="452"/>
        <v>0</v>
      </c>
    </row>
    <row r="17725" spans="13:13" x14ac:dyDescent="0.25">
      <c r="M17725" s="34">
        <f t="shared" si="452"/>
        <v>0</v>
      </c>
    </row>
    <row r="17726" spans="13:13" x14ac:dyDescent="0.25">
      <c r="M17726" s="34">
        <f t="shared" si="452"/>
        <v>0</v>
      </c>
    </row>
    <row r="17727" spans="13:13" x14ac:dyDescent="0.25">
      <c r="M17727" s="34">
        <f t="shared" si="452"/>
        <v>0</v>
      </c>
    </row>
    <row r="17728" spans="13:13" x14ac:dyDescent="0.25">
      <c r="M17728" s="34">
        <f t="shared" si="452"/>
        <v>0</v>
      </c>
    </row>
    <row r="17729" spans="13:13" x14ac:dyDescent="0.25">
      <c r="M17729" s="34">
        <f t="shared" si="452"/>
        <v>0</v>
      </c>
    </row>
    <row r="17730" spans="13:13" x14ac:dyDescent="0.25">
      <c r="M17730" s="34">
        <f t="shared" si="452"/>
        <v>0</v>
      </c>
    </row>
    <row r="17731" spans="13:13" x14ac:dyDescent="0.25">
      <c r="M17731" s="34">
        <f t="shared" ref="M17731:M17794" si="453">IF(AND(E17731="Chèque",G17731="RECETTE"),F17731,0)</f>
        <v>0</v>
      </c>
    </row>
    <row r="17732" spans="13:13" x14ac:dyDescent="0.25">
      <c r="M17732" s="34">
        <f t="shared" si="453"/>
        <v>0</v>
      </c>
    </row>
    <row r="17733" spans="13:13" x14ac:dyDescent="0.25">
      <c r="M17733" s="34">
        <f t="shared" si="453"/>
        <v>0</v>
      </c>
    </row>
    <row r="17734" spans="13:13" x14ac:dyDescent="0.25">
      <c r="M17734" s="34">
        <f t="shared" si="453"/>
        <v>0</v>
      </c>
    </row>
    <row r="17735" spans="13:13" x14ac:dyDescent="0.25">
      <c r="M17735" s="34">
        <f t="shared" si="453"/>
        <v>0</v>
      </c>
    </row>
    <row r="17736" spans="13:13" x14ac:dyDescent="0.25">
      <c r="M17736" s="34">
        <f t="shared" si="453"/>
        <v>0</v>
      </c>
    </row>
    <row r="17737" spans="13:13" x14ac:dyDescent="0.25">
      <c r="M17737" s="34">
        <f t="shared" si="453"/>
        <v>0</v>
      </c>
    </row>
    <row r="17738" spans="13:13" x14ac:dyDescent="0.25">
      <c r="M17738" s="34">
        <f t="shared" si="453"/>
        <v>0</v>
      </c>
    </row>
    <row r="17739" spans="13:13" x14ac:dyDescent="0.25">
      <c r="M17739" s="34">
        <f t="shared" si="453"/>
        <v>0</v>
      </c>
    </row>
    <row r="17740" spans="13:13" x14ac:dyDescent="0.25">
      <c r="M17740" s="34">
        <f t="shared" si="453"/>
        <v>0</v>
      </c>
    </row>
    <row r="17741" spans="13:13" x14ac:dyDescent="0.25">
      <c r="M17741" s="34">
        <f t="shared" si="453"/>
        <v>0</v>
      </c>
    </row>
    <row r="17742" spans="13:13" x14ac:dyDescent="0.25">
      <c r="M17742" s="34">
        <f t="shared" si="453"/>
        <v>0</v>
      </c>
    </row>
    <row r="17743" spans="13:13" x14ac:dyDescent="0.25">
      <c r="M17743" s="34">
        <f t="shared" si="453"/>
        <v>0</v>
      </c>
    </row>
    <row r="17744" spans="13:13" x14ac:dyDescent="0.25">
      <c r="M17744" s="34">
        <f t="shared" si="453"/>
        <v>0</v>
      </c>
    </row>
    <row r="17745" spans="13:13" x14ac:dyDescent="0.25">
      <c r="M17745" s="34">
        <f t="shared" si="453"/>
        <v>0</v>
      </c>
    </row>
    <row r="17746" spans="13:13" x14ac:dyDescent="0.25">
      <c r="M17746" s="34">
        <f t="shared" si="453"/>
        <v>0</v>
      </c>
    </row>
    <row r="17747" spans="13:13" x14ac:dyDescent="0.25">
      <c r="M17747" s="34">
        <f t="shared" si="453"/>
        <v>0</v>
      </c>
    </row>
    <row r="17748" spans="13:13" x14ac:dyDescent="0.25">
      <c r="M17748" s="34">
        <f t="shared" si="453"/>
        <v>0</v>
      </c>
    </row>
    <row r="17749" spans="13:13" x14ac:dyDescent="0.25">
      <c r="M17749" s="34">
        <f t="shared" si="453"/>
        <v>0</v>
      </c>
    </row>
    <row r="17750" spans="13:13" x14ac:dyDescent="0.25">
      <c r="M17750" s="34">
        <f t="shared" si="453"/>
        <v>0</v>
      </c>
    </row>
    <row r="17751" spans="13:13" x14ac:dyDescent="0.25">
      <c r="M17751" s="34">
        <f t="shared" si="453"/>
        <v>0</v>
      </c>
    </row>
    <row r="17752" spans="13:13" x14ac:dyDescent="0.25">
      <c r="M17752" s="34">
        <f t="shared" si="453"/>
        <v>0</v>
      </c>
    </row>
    <row r="17753" spans="13:13" x14ac:dyDescent="0.25">
      <c r="M17753" s="34">
        <f t="shared" si="453"/>
        <v>0</v>
      </c>
    </row>
    <row r="17754" spans="13:13" x14ac:dyDescent="0.25">
      <c r="M17754" s="34">
        <f t="shared" si="453"/>
        <v>0</v>
      </c>
    </row>
    <row r="17755" spans="13:13" x14ac:dyDescent="0.25">
      <c r="M17755" s="34">
        <f t="shared" si="453"/>
        <v>0</v>
      </c>
    </row>
    <row r="17756" spans="13:13" x14ac:dyDescent="0.25">
      <c r="M17756" s="34">
        <f t="shared" si="453"/>
        <v>0</v>
      </c>
    </row>
    <row r="17757" spans="13:13" x14ac:dyDescent="0.25">
      <c r="M17757" s="34">
        <f t="shared" si="453"/>
        <v>0</v>
      </c>
    </row>
    <row r="17758" spans="13:13" x14ac:dyDescent="0.25">
      <c r="M17758" s="34">
        <f t="shared" si="453"/>
        <v>0</v>
      </c>
    </row>
    <row r="17759" spans="13:13" x14ac:dyDescent="0.25">
      <c r="M17759" s="34">
        <f t="shared" si="453"/>
        <v>0</v>
      </c>
    </row>
    <row r="17760" spans="13:13" x14ac:dyDescent="0.25">
      <c r="M17760" s="34">
        <f t="shared" si="453"/>
        <v>0</v>
      </c>
    </row>
    <row r="17761" spans="13:13" x14ac:dyDescent="0.25">
      <c r="M17761" s="34">
        <f t="shared" si="453"/>
        <v>0</v>
      </c>
    </row>
    <row r="17762" spans="13:13" x14ac:dyDescent="0.25">
      <c r="M17762" s="34">
        <f t="shared" si="453"/>
        <v>0</v>
      </c>
    </row>
    <row r="17763" spans="13:13" x14ac:dyDescent="0.25">
      <c r="M17763" s="34">
        <f t="shared" si="453"/>
        <v>0</v>
      </c>
    </row>
    <row r="17764" spans="13:13" x14ac:dyDescent="0.25">
      <c r="M17764" s="34">
        <f t="shared" si="453"/>
        <v>0</v>
      </c>
    </row>
    <row r="17765" spans="13:13" x14ac:dyDescent="0.25">
      <c r="M17765" s="34">
        <f t="shared" si="453"/>
        <v>0</v>
      </c>
    </row>
    <row r="17766" spans="13:13" x14ac:dyDescent="0.25">
      <c r="M17766" s="34">
        <f t="shared" si="453"/>
        <v>0</v>
      </c>
    </row>
    <row r="17767" spans="13:13" x14ac:dyDescent="0.25">
      <c r="M17767" s="34">
        <f t="shared" si="453"/>
        <v>0</v>
      </c>
    </row>
    <row r="17768" spans="13:13" x14ac:dyDescent="0.25">
      <c r="M17768" s="34">
        <f t="shared" si="453"/>
        <v>0</v>
      </c>
    </row>
    <row r="17769" spans="13:13" x14ac:dyDescent="0.25">
      <c r="M17769" s="34">
        <f t="shared" si="453"/>
        <v>0</v>
      </c>
    </row>
    <row r="17770" spans="13:13" x14ac:dyDescent="0.25">
      <c r="M17770" s="34">
        <f t="shared" si="453"/>
        <v>0</v>
      </c>
    </row>
    <row r="17771" spans="13:13" x14ac:dyDescent="0.25">
      <c r="M17771" s="34">
        <f t="shared" si="453"/>
        <v>0</v>
      </c>
    </row>
    <row r="17772" spans="13:13" x14ac:dyDescent="0.25">
      <c r="M17772" s="34">
        <f t="shared" si="453"/>
        <v>0</v>
      </c>
    </row>
    <row r="17773" spans="13:13" x14ac:dyDescent="0.25">
      <c r="M17773" s="34">
        <f t="shared" si="453"/>
        <v>0</v>
      </c>
    </row>
    <row r="17774" spans="13:13" x14ac:dyDescent="0.25">
      <c r="M17774" s="34">
        <f t="shared" si="453"/>
        <v>0</v>
      </c>
    </row>
    <row r="17775" spans="13:13" x14ac:dyDescent="0.25">
      <c r="M17775" s="34">
        <f t="shared" si="453"/>
        <v>0</v>
      </c>
    </row>
    <row r="17776" spans="13:13" x14ac:dyDescent="0.25">
      <c r="M17776" s="34">
        <f t="shared" si="453"/>
        <v>0</v>
      </c>
    </row>
    <row r="17777" spans="13:13" x14ac:dyDescent="0.25">
      <c r="M17777" s="34">
        <f t="shared" si="453"/>
        <v>0</v>
      </c>
    </row>
    <row r="17778" spans="13:13" x14ac:dyDescent="0.25">
      <c r="M17778" s="34">
        <f t="shared" si="453"/>
        <v>0</v>
      </c>
    </row>
    <row r="17779" spans="13:13" x14ac:dyDescent="0.25">
      <c r="M17779" s="34">
        <f t="shared" si="453"/>
        <v>0</v>
      </c>
    </row>
    <row r="17780" spans="13:13" x14ac:dyDescent="0.25">
      <c r="M17780" s="34">
        <f t="shared" si="453"/>
        <v>0</v>
      </c>
    </row>
    <row r="17781" spans="13:13" x14ac:dyDescent="0.25">
      <c r="M17781" s="34">
        <f t="shared" si="453"/>
        <v>0</v>
      </c>
    </row>
    <row r="17782" spans="13:13" x14ac:dyDescent="0.25">
      <c r="M17782" s="34">
        <f t="shared" si="453"/>
        <v>0</v>
      </c>
    </row>
    <row r="17783" spans="13:13" x14ac:dyDescent="0.25">
      <c r="M17783" s="34">
        <f t="shared" si="453"/>
        <v>0</v>
      </c>
    </row>
    <row r="17784" spans="13:13" x14ac:dyDescent="0.25">
      <c r="M17784" s="34">
        <f t="shared" si="453"/>
        <v>0</v>
      </c>
    </row>
    <row r="17785" spans="13:13" x14ac:dyDescent="0.25">
      <c r="M17785" s="34">
        <f t="shared" si="453"/>
        <v>0</v>
      </c>
    </row>
    <row r="17786" spans="13:13" x14ac:dyDescent="0.25">
      <c r="M17786" s="34">
        <f t="shared" si="453"/>
        <v>0</v>
      </c>
    </row>
    <row r="17787" spans="13:13" x14ac:dyDescent="0.25">
      <c r="M17787" s="34">
        <f t="shared" si="453"/>
        <v>0</v>
      </c>
    </row>
    <row r="17788" spans="13:13" x14ac:dyDescent="0.25">
      <c r="M17788" s="34">
        <f t="shared" si="453"/>
        <v>0</v>
      </c>
    </row>
    <row r="17789" spans="13:13" x14ac:dyDescent="0.25">
      <c r="M17789" s="34">
        <f t="shared" si="453"/>
        <v>0</v>
      </c>
    </row>
    <row r="17790" spans="13:13" x14ac:dyDescent="0.25">
      <c r="M17790" s="34">
        <f t="shared" si="453"/>
        <v>0</v>
      </c>
    </row>
    <row r="17791" spans="13:13" x14ac:dyDescent="0.25">
      <c r="M17791" s="34">
        <f t="shared" si="453"/>
        <v>0</v>
      </c>
    </row>
    <row r="17792" spans="13:13" x14ac:dyDescent="0.25">
      <c r="M17792" s="34">
        <f t="shared" si="453"/>
        <v>0</v>
      </c>
    </row>
    <row r="17793" spans="13:13" x14ac:dyDescent="0.25">
      <c r="M17793" s="34">
        <f t="shared" si="453"/>
        <v>0</v>
      </c>
    </row>
    <row r="17794" spans="13:13" x14ac:dyDescent="0.25">
      <c r="M17794" s="34">
        <f t="shared" si="453"/>
        <v>0</v>
      </c>
    </row>
    <row r="17795" spans="13:13" x14ac:dyDescent="0.25">
      <c r="M17795" s="34">
        <f t="shared" ref="M17795:M17858" si="454">IF(AND(E17795="Chèque",G17795="RECETTE"),F17795,0)</f>
        <v>0</v>
      </c>
    </row>
    <row r="17796" spans="13:13" x14ac:dyDescent="0.25">
      <c r="M17796" s="34">
        <f t="shared" si="454"/>
        <v>0</v>
      </c>
    </row>
    <row r="17797" spans="13:13" x14ac:dyDescent="0.25">
      <c r="M17797" s="34">
        <f t="shared" si="454"/>
        <v>0</v>
      </c>
    </row>
    <row r="17798" spans="13:13" x14ac:dyDescent="0.25">
      <c r="M17798" s="34">
        <f t="shared" si="454"/>
        <v>0</v>
      </c>
    </row>
    <row r="17799" spans="13:13" x14ac:dyDescent="0.25">
      <c r="M17799" s="34">
        <f t="shared" si="454"/>
        <v>0</v>
      </c>
    </row>
    <row r="17800" spans="13:13" x14ac:dyDescent="0.25">
      <c r="M17800" s="34">
        <f t="shared" si="454"/>
        <v>0</v>
      </c>
    </row>
    <row r="17801" spans="13:13" x14ac:dyDescent="0.25">
      <c r="M17801" s="34">
        <f t="shared" si="454"/>
        <v>0</v>
      </c>
    </row>
    <row r="17802" spans="13:13" x14ac:dyDescent="0.25">
      <c r="M17802" s="34">
        <f t="shared" si="454"/>
        <v>0</v>
      </c>
    </row>
    <row r="17803" spans="13:13" x14ac:dyDescent="0.25">
      <c r="M17803" s="34">
        <f t="shared" si="454"/>
        <v>0</v>
      </c>
    </row>
    <row r="17804" spans="13:13" x14ac:dyDescent="0.25">
      <c r="M17804" s="34">
        <f t="shared" si="454"/>
        <v>0</v>
      </c>
    </row>
    <row r="17805" spans="13:13" x14ac:dyDescent="0.25">
      <c r="M17805" s="34">
        <f t="shared" si="454"/>
        <v>0</v>
      </c>
    </row>
    <row r="17806" spans="13:13" x14ac:dyDescent="0.25">
      <c r="M17806" s="34">
        <f t="shared" si="454"/>
        <v>0</v>
      </c>
    </row>
    <row r="17807" spans="13:13" x14ac:dyDescent="0.25">
      <c r="M17807" s="34">
        <f t="shared" si="454"/>
        <v>0</v>
      </c>
    </row>
    <row r="17808" spans="13:13" x14ac:dyDescent="0.25">
      <c r="M17808" s="34">
        <f t="shared" si="454"/>
        <v>0</v>
      </c>
    </row>
    <row r="17809" spans="13:13" x14ac:dyDescent="0.25">
      <c r="M17809" s="34">
        <f t="shared" si="454"/>
        <v>0</v>
      </c>
    </row>
    <row r="17810" spans="13:13" x14ac:dyDescent="0.25">
      <c r="M17810" s="34">
        <f t="shared" si="454"/>
        <v>0</v>
      </c>
    </row>
    <row r="17811" spans="13:13" x14ac:dyDescent="0.25">
      <c r="M17811" s="34">
        <f t="shared" si="454"/>
        <v>0</v>
      </c>
    </row>
    <row r="17812" spans="13:13" x14ac:dyDescent="0.25">
      <c r="M17812" s="34">
        <f t="shared" si="454"/>
        <v>0</v>
      </c>
    </row>
    <row r="17813" spans="13:13" x14ac:dyDescent="0.25">
      <c r="M17813" s="34">
        <f t="shared" si="454"/>
        <v>0</v>
      </c>
    </row>
    <row r="17814" spans="13:13" x14ac:dyDescent="0.25">
      <c r="M17814" s="34">
        <f t="shared" si="454"/>
        <v>0</v>
      </c>
    </row>
    <row r="17815" spans="13:13" x14ac:dyDescent="0.25">
      <c r="M17815" s="34">
        <f t="shared" si="454"/>
        <v>0</v>
      </c>
    </row>
    <row r="17816" spans="13:13" x14ac:dyDescent="0.25">
      <c r="M17816" s="34">
        <f t="shared" si="454"/>
        <v>0</v>
      </c>
    </row>
    <row r="17817" spans="13:13" x14ac:dyDescent="0.25">
      <c r="M17817" s="34">
        <f t="shared" si="454"/>
        <v>0</v>
      </c>
    </row>
    <row r="17818" spans="13:13" x14ac:dyDescent="0.25">
      <c r="M17818" s="34">
        <f t="shared" si="454"/>
        <v>0</v>
      </c>
    </row>
    <row r="17819" spans="13:13" x14ac:dyDescent="0.25">
      <c r="M17819" s="34">
        <f t="shared" si="454"/>
        <v>0</v>
      </c>
    </row>
    <row r="17820" spans="13:13" x14ac:dyDescent="0.25">
      <c r="M17820" s="34">
        <f t="shared" si="454"/>
        <v>0</v>
      </c>
    </row>
    <row r="17821" spans="13:13" x14ac:dyDescent="0.25">
      <c r="M17821" s="34">
        <f t="shared" si="454"/>
        <v>0</v>
      </c>
    </row>
    <row r="17822" spans="13:13" x14ac:dyDescent="0.25">
      <c r="M17822" s="34">
        <f t="shared" si="454"/>
        <v>0</v>
      </c>
    </row>
    <row r="17823" spans="13:13" x14ac:dyDescent="0.25">
      <c r="M17823" s="34">
        <f t="shared" si="454"/>
        <v>0</v>
      </c>
    </row>
    <row r="17824" spans="13:13" x14ac:dyDescent="0.25">
      <c r="M17824" s="34">
        <f t="shared" si="454"/>
        <v>0</v>
      </c>
    </row>
    <row r="17825" spans="13:13" x14ac:dyDescent="0.25">
      <c r="M17825" s="34">
        <f t="shared" si="454"/>
        <v>0</v>
      </c>
    </row>
    <row r="17826" spans="13:13" x14ac:dyDescent="0.25">
      <c r="M17826" s="34">
        <f t="shared" si="454"/>
        <v>0</v>
      </c>
    </row>
    <row r="17827" spans="13:13" x14ac:dyDescent="0.25">
      <c r="M17827" s="34">
        <f t="shared" si="454"/>
        <v>0</v>
      </c>
    </row>
    <row r="17828" spans="13:13" x14ac:dyDescent="0.25">
      <c r="M17828" s="34">
        <f t="shared" si="454"/>
        <v>0</v>
      </c>
    </row>
    <row r="17829" spans="13:13" x14ac:dyDescent="0.25">
      <c r="M17829" s="34">
        <f t="shared" si="454"/>
        <v>0</v>
      </c>
    </row>
    <row r="17830" spans="13:13" x14ac:dyDescent="0.25">
      <c r="M17830" s="34">
        <f t="shared" si="454"/>
        <v>0</v>
      </c>
    </row>
    <row r="17831" spans="13:13" x14ac:dyDescent="0.25">
      <c r="M17831" s="34">
        <f t="shared" si="454"/>
        <v>0</v>
      </c>
    </row>
    <row r="17832" spans="13:13" x14ac:dyDescent="0.25">
      <c r="M17832" s="34">
        <f t="shared" si="454"/>
        <v>0</v>
      </c>
    </row>
    <row r="17833" spans="13:13" x14ac:dyDescent="0.25">
      <c r="M17833" s="34">
        <f t="shared" si="454"/>
        <v>0</v>
      </c>
    </row>
    <row r="17834" spans="13:13" x14ac:dyDescent="0.25">
      <c r="M17834" s="34">
        <f t="shared" si="454"/>
        <v>0</v>
      </c>
    </row>
    <row r="17835" spans="13:13" x14ac:dyDescent="0.25">
      <c r="M17835" s="34">
        <f t="shared" si="454"/>
        <v>0</v>
      </c>
    </row>
    <row r="17836" spans="13:13" x14ac:dyDescent="0.25">
      <c r="M17836" s="34">
        <f t="shared" si="454"/>
        <v>0</v>
      </c>
    </row>
    <row r="17837" spans="13:13" x14ac:dyDescent="0.25">
      <c r="M17837" s="34">
        <f t="shared" si="454"/>
        <v>0</v>
      </c>
    </row>
    <row r="17838" spans="13:13" x14ac:dyDescent="0.25">
      <c r="M17838" s="34">
        <f t="shared" si="454"/>
        <v>0</v>
      </c>
    </row>
    <row r="17839" spans="13:13" x14ac:dyDescent="0.25">
      <c r="M17839" s="34">
        <f t="shared" si="454"/>
        <v>0</v>
      </c>
    </row>
    <row r="17840" spans="13:13" x14ac:dyDescent="0.25">
      <c r="M17840" s="34">
        <f t="shared" si="454"/>
        <v>0</v>
      </c>
    </row>
    <row r="17841" spans="13:13" x14ac:dyDescent="0.25">
      <c r="M17841" s="34">
        <f t="shared" si="454"/>
        <v>0</v>
      </c>
    </row>
    <row r="17842" spans="13:13" x14ac:dyDescent="0.25">
      <c r="M17842" s="34">
        <f t="shared" si="454"/>
        <v>0</v>
      </c>
    </row>
    <row r="17843" spans="13:13" x14ac:dyDescent="0.25">
      <c r="M17843" s="34">
        <f t="shared" si="454"/>
        <v>0</v>
      </c>
    </row>
    <row r="17844" spans="13:13" x14ac:dyDescent="0.25">
      <c r="M17844" s="34">
        <f t="shared" si="454"/>
        <v>0</v>
      </c>
    </row>
    <row r="17845" spans="13:13" x14ac:dyDescent="0.25">
      <c r="M17845" s="34">
        <f t="shared" si="454"/>
        <v>0</v>
      </c>
    </row>
    <row r="17846" spans="13:13" x14ac:dyDescent="0.25">
      <c r="M17846" s="34">
        <f t="shared" si="454"/>
        <v>0</v>
      </c>
    </row>
    <row r="17847" spans="13:13" x14ac:dyDescent="0.25">
      <c r="M17847" s="34">
        <f t="shared" si="454"/>
        <v>0</v>
      </c>
    </row>
    <row r="17848" spans="13:13" x14ac:dyDescent="0.25">
      <c r="M17848" s="34">
        <f t="shared" si="454"/>
        <v>0</v>
      </c>
    </row>
    <row r="17849" spans="13:13" x14ac:dyDescent="0.25">
      <c r="M17849" s="34">
        <f t="shared" si="454"/>
        <v>0</v>
      </c>
    </row>
    <row r="17850" spans="13:13" x14ac:dyDescent="0.25">
      <c r="M17850" s="34">
        <f t="shared" si="454"/>
        <v>0</v>
      </c>
    </row>
    <row r="17851" spans="13:13" x14ac:dyDescent="0.25">
      <c r="M17851" s="34">
        <f t="shared" si="454"/>
        <v>0</v>
      </c>
    </row>
    <row r="17852" spans="13:13" x14ac:dyDescent="0.25">
      <c r="M17852" s="34">
        <f t="shared" si="454"/>
        <v>0</v>
      </c>
    </row>
    <row r="17853" spans="13:13" x14ac:dyDescent="0.25">
      <c r="M17853" s="34">
        <f t="shared" si="454"/>
        <v>0</v>
      </c>
    </row>
    <row r="17854" spans="13:13" x14ac:dyDescent="0.25">
      <c r="M17854" s="34">
        <f t="shared" si="454"/>
        <v>0</v>
      </c>
    </row>
    <row r="17855" spans="13:13" x14ac:dyDescent="0.25">
      <c r="M17855" s="34">
        <f t="shared" si="454"/>
        <v>0</v>
      </c>
    </row>
    <row r="17856" spans="13:13" x14ac:dyDescent="0.25">
      <c r="M17856" s="34">
        <f t="shared" si="454"/>
        <v>0</v>
      </c>
    </row>
    <row r="17857" spans="13:13" x14ac:dyDescent="0.25">
      <c r="M17857" s="34">
        <f t="shared" si="454"/>
        <v>0</v>
      </c>
    </row>
    <row r="17858" spans="13:13" x14ac:dyDescent="0.25">
      <c r="M17858" s="34">
        <f t="shared" si="454"/>
        <v>0</v>
      </c>
    </row>
    <row r="17859" spans="13:13" x14ac:dyDescent="0.25">
      <c r="M17859" s="34">
        <f t="shared" ref="M17859:M17922" si="455">IF(AND(E17859="Chèque",G17859="RECETTE"),F17859,0)</f>
        <v>0</v>
      </c>
    </row>
    <row r="17860" spans="13:13" x14ac:dyDescent="0.25">
      <c r="M17860" s="34">
        <f t="shared" si="455"/>
        <v>0</v>
      </c>
    </row>
    <row r="17861" spans="13:13" x14ac:dyDescent="0.25">
      <c r="M17861" s="34">
        <f t="shared" si="455"/>
        <v>0</v>
      </c>
    </row>
    <row r="17862" spans="13:13" x14ac:dyDescent="0.25">
      <c r="M17862" s="34">
        <f t="shared" si="455"/>
        <v>0</v>
      </c>
    </row>
    <row r="17863" spans="13:13" x14ac:dyDescent="0.25">
      <c r="M17863" s="34">
        <f t="shared" si="455"/>
        <v>0</v>
      </c>
    </row>
    <row r="17864" spans="13:13" x14ac:dyDescent="0.25">
      <c r="M17864" s="34">
        <f t="shared" si="455"/>
        <v>0</v>
      </c>
    </row>
    <row r="17865" spans="13:13" x14ac:dyDescent="0.25">
      <c r="M17865" s="34">
        <f t="shared" si="455"/>
        <v>0</v>
      </c>
    </row>
    <row r="17866" spans="13:13" x14ac:dyDescent="0.25">
      <c r="M17866" s="34">
        <f t="shared" si="455"/>
        <v>0</v>
      </c>
    </row>
    <row r="17867" spans="13:13" x14ac:dyDescent="0.25">
      <c r="M17867" s="34">
        <f t="shared" si="455"/>
        <v>0</v>
      </c>
    </row>
    <row r="17868" spans="13:13" x14ac:dyDescent="0.25">
      <c r="M17868" s="34">
        <f t="shared" si="455"/>
        <v>0</v>
      </c>
    </row>
    <row r="17869" spans="13:13" x14ac:dyDescent="0.25">
      <c r="M17869" s="34">
        <f t="shared" si="455"/>
        <v>0</v>
      </c>
    </row>
    <row r="17870" spans="13:13" x14ac:dyDescent="0.25">
      <c r="M17870" s="34">
        <f t="shared" si="455"/>
        <v>0</v>
      </c>
    </row>
    <row r="17871" spans="13:13" x14ac:dyDescent="0.25">
      <c r="M17871" s="34">
        <f t="shared" si="455"/>
        <v>0</v>
      </c>
    </row>
    <row r="17872" spans="13:13" x14ac:dyDescent="0.25">
      <c r="M17872" s="34">
        <f t="shared" si="455"/>
        <v>0</v>
      </c>
    </row>
    <row r="17873" spans="13:13" x14ac:dyDescent="0.25">
      <c r="M17873" s="34">
        <f t="shared" si="455"/>
        <v>0</v>
      </c>
    </row>
    <row r="17874" spans="13:13" x14ac:dyDescent="0.25">
      <c r="M17874" s="34">
        <f t="shared" si="455"/>
        <v>0</v>
      </c>
    </row>
    <row r="17875" spans="13:13" x14ac:dyDescent="0.25">
      <c r="M17875" s="34">
        <f t="shared" si="455"/>
        <v>0</v>
      </c>
    </row>
    <row r="17876" spans="13:13" x14ac:dyDescent="0.25">
      <c r="M17876" s="34">
        <f t="shared" si="455"/>
        <v>0</v>
      </c>
    </row>
    <row r="17877" spans="13:13" x14ac:dyDescent="0.25">
      <c r="M17877" s="34">
        <f t="shared" si="455"/>
        <v>0</v>
      </c>
    </row>
    <row r="17878" spans="13:13" x14ac:dyDescent="0.25">
      <c r="M17878" s="34">
        <f t="shared" si="455"/>
        <v>0</v>
      </c>
    </row>
    <row r="17879" spans="13:13" x14ac:dyDescent="0.25">
      <c r="M17879" s="34">
        <f t="shared" si="455"/>
        <v>0</v>
      </c>
    </row>
    <row r="17880" spans="13:13" x14ac:dyDescent="0.25">
      <c r="M17880" s="34">
        <f t="shared" si="455"/>
        <v>0</v>
      </c>
    </row>
    <row r="17881" spans="13:13" x14ac:dyDescent="0.25">
      <c r="M17881" s="34">
        <f t="shared" si="455"/>
        <v>0</v>
      </c>
    </row>
    <row r="17882" spans="13:13" x14ac:dyDescent="0.25">
      <c r="M17882" s="34">
        <f t="shared" si="455"/>
        <v>0</v>
      </c>
    </row>
    <row r="17883" spans="13:13" x14ac:dyDescent="0.25">
      <c r="M17883" s="34">
        <f t="shared" si="455"/>
        <v>0</v>
      </c>
    </row>
    <row r="17884" spans="13:13" x14ac:dyDescent="0.25">
      <c r="M17884" s="34">
        <f t="shared" si="455"/>
        <v>0</v>
      </c>
    </row>
    <row r="17885" spans="13:13" x14ac:dyDescent="0.25">
      <c r="M17885" s="34">
        <f t="shared" si="455"/>
        <v>0</v>
      </c>
    </row>
    <row r="17886" spans="13:13" x14ac:dyDescent="0.25">
      <c r="M17886" s="34">
        <f t="shared" si="455"/>
        <v>0</v>
      </c>
    </row>
    <row r="17887" spans="13:13" x14ac:dyDescent="0.25">
      <c r="M17887" s="34">
        <f t="shared" si="455"/>
        <v>0</v>
      </c>
    </row>
    <row r="17888" spans="13:13" x14ac:dyDescent="0.25">
      <c r="M17888" s="34">
        <f t="shared" si="455"/>
        <v>0</v>
      </c>
    </row>
    <row r="17889" spans="13:13" x14ac:dyDescent="0.25">
      <c r="M17889" s="34">
        <f t="shared" si="455"/>
        <v>0</v>
      </c>
    </row>
    <row r="17890" spans="13:13" x14ac:dyDescent="0.25">
      <c r="M17890" s="34">
        <f t="shared" si="455"/>
        <v>0</v>
      </c>
    </row>
    <row r="17891" spans="13:13" x14ac:dyDescent="0.25">
      <c r="M17891" s="34">
        <f t="shared" si="455"/>
        <v>0</v>
      </c>
    </row>
    <row r="17892" spans="13:13" x14ac:dyDescent="0.25">
      <c r="M17892" s="34">
        <f t="shared" si="455"/>
        <v>0</v>
      </c>
    </row>
    <row r="17893" spans="13:13" x14ac:dyDescent="0.25">
      <c r="M17893" s="34">
        <f t="shared" si="455"/>
        <v>0</v>
      </c>
    </row>
    <row r="17894" spans="13:13" x14ac:dyDescent="0.25">
      <c r="M17894" s="34">
        <f t="shared" si="455"/>
        <v>0</v>
      </c>
    </row>
    <row r="17895" spans="13:13" x14ac:dyDescent="0.25">
      <c r="M17895" s="34">
        <f t="shared" si="455"/>
        <v>0</v>
      </c>
    </row>
    <row r="17896" spans="13:13" x14ac:dyDescent="0.25">
      <c r="M17896" s="34">
        <f t="shared" si="455"/>
        <v>0</v>
      </c>
    </row>
    <row r="17897" spans="13:13" x14ac:dyDescent="0.25">
      <c r="M17897" s="34">
        <f t="shared" si="455"/>
        <v>0</v>
      </c>
    </row>
    <row r="17898" spans="13:13" x14ac:dyDescent="0.25">
      <c r="M17898" s="34">
        <f t="shared" si="455"/>
        <v>0</v>
      </c>
    </row>
    <row r="17899" spans="13:13" x14ac:dyDescent="0.25">
      <c r="M17899" s="34">
        <f t="shared" si="455"/>
        <v>0</v>
      </c>
    </row>
    <row r="17900" spans="13:13" x14ac:dyDescent="0.25">
      <c r="M17900" s="34">
        <f t="shared" si="455"/>
        <v>0</v>
      </c>
    </row>
    <row r="17901" spans="13:13" x14ac:dyDescent="0.25">
      <c r="M17901" s="34">
        <f t="shared" si="455"/>
        <v>0</v>
      </c>
    </row>
    <row r="17902" spans="13:13" x14ac:dyDescent="0.25">
      <c r="M17902" s="34">
        <f t="shared" si="455"/>
        <v>0</v>
      </c>
    </row>
    <row r="17903" spans="13:13" x14ac:dyDescent="0.25">
      <c r="M17903" s="34">
        <f t="shared" si="455"/>
        <v>0</v>
      </c>
    </row>
    <row r="17904" spans="13:13" x14ac:dyDescent="0.25">
      <c r="M17904" s="34">
        <f t="shared" si="455"/>
        <v>0</v>
      </c>
    </row>
    <row r="17905" spans="13:13" x14ac:dyDescent="0.25">
      <c r="M17905" s="34">
        <f t="shared" si="455"/>
        <v>0</v>
      </c>
    </row>
    <row r="17906" spans="13:13" x14ac:dyDescent="0.25">
      <c r="M17906" s="34">
        <f t="shared" si="455"/>
        <v>0</v>
      </c>
    </row>
    <row r="17907" spans="13:13" x14ac:dyDescent="0.25">
      <c r="M17907" s="34">
        <f t="shared" si="455"/>
        <v>0</v>
      </c>
    </row>
    <row r="17908" spans="13:13" x14ac:dyDescent="0.25">
      <c r="M17908" s="34">
        <f t="shared" si="455"/>
        <v>0</v>
      </c>
    </row>
    <row r="17909" spans="13:13" x14ac:dyDescent="0.25">
      <c r="M17909" s="34">
        <f t="shared" si="455"/>
        <v>0</v>
      </c>
    </row>
    <row r="17910" spans="13:13" x14ac:dyDescent="0.25">
      <c r="M17910" s="34">
        <f t="shared" si="455"/>
        <v>0</v>
      </c>
    </row>
    <row r="17911" spans="13:13" x14ac:dyDescent="0.25">
      <c r="M17911" s="34">
        <f t="shared" si="455"/>
        <v>0</v>
      </c>
    </row>
    <row r="17912" spans="13:13" x14ac:dyDescent="0.25">
      <c r="M17912" s="34">
        <f t="shared" si="455"/>
        <v>0</v>
      </c>
    </row>
    <row r="17913" spans="13:13" x14ac:dyDescent="0.25">
      <c r="M17913" s="34">
        <f t="shared" si="455"/>
        <v>0</v>
      </c>
    </row>
    <row r="17914" spans="13:13" x14ac:dyDescent="0.25">
      <c r="M17914" s="34">
        <f t="shared" si="455"/>
        <v>0</v>
      </c>
    </row>
    <row r="17915" spans="13:13" x14ac:dyDescent="0.25">
      <c r="M17915" s="34">
        <f t="shared" si="455"/>
        <v>0</v>
      </c>
    </row>
    <row r="17916" spans="13:13" x14ac:dyDescent="0.25">
      <c r="M17916" s="34">
        <f t="shared" si="455"/>
        <v>0</v>
      </c>
    </row>
    <row r="17917" spans="13:13" x14ac:dyDescent="0.25">
      <c r="M17917" s="34">
        <f t="shared" si="455"/>
        <v>0</v>
      </c>
    </row>
    <row r="17918" spans="13:13" x14ac:dyDescent="0.25">
      <c r="M17918" s="34">
        <f t="shared" si="455"/>
        <v>0</v>
      </c>
    </row>
    <row r="17919" spans="13:13" x14ac:dyDescent="0.25">
      <c r="M17919" s="34">
        <f t="shared" si="455"/>
        <v>0</v>
      </c>
    </row>
    <row r="17920" spans="13:13" x14ac:dyDescent="0.25">
      <c r="M17920" s="34">
        <f t="shared" si="455"/>
        <v>0</v>
      </c>
    </row>
    <row r="17921" spans="13:13" x14ac:dyDescent="0.25">
      <c r="M17921" s="34">
        <f t="shared" si="455"/>
        <v>0</v>
      </c>
    </row>
    <row r="17922" spans="13:13" x14ac:dyDescent="0.25">
      <c r="M17922" s="34">
        <f t="shared" si="455"/>
        <v>0</v>
      </c>
    </row>
    <row r="17923" spans="13:13" x14ac:dyDescent="0.25">
      <c r="M17923" s="34">
        <f t="shared" ref="M17923:M17986" si="456">IF(AND(E17923="Chèque",G17923="RECETTE"),F17923,0)</f>
        <v>0</v>
      </c>
    </row>
    <row r="17924" spans="13:13" x14ac:dyDescent="0.25">
      <c r="M17924" s="34">
        <f t="shared" si="456"/>
        <v>0</v>
      </c>
    </row>
    <row r="17925" spans="13:13" x14ac:dyDescent="0.25">
      <c r="M17925" s="34">
        <f t="shared" si="456"/>
        <v>0</v>
      </c>
    </row>
    <row r="17926" spans="13:13" x14ac:dyDescent="0.25">
      <c r="M17926" s="34">
        <f t="shared" si="456"/>
        <v>0</v>
      </c>
    </row>
    <row r="17927" spans="13:13" x14ac:dyDescent="0.25">
      <c r="M17927" s="34">
        <f t="shared" si="456"/>
        <v>0</v>
      </c>
    </row>
    <row r="17928" spans="13:13" x14ac:dyDescent="0.25">
      <c r="M17928" s="34">
        <f t="shared" si="456"/>
        <v>0</v>
      </c>
    </row>
    <row r="17929" spans="13:13" x14ac:dyDescent="0.25">
      <c r="M17929" s="34">
        <f t="shared" si="456"/>
        <v>0</v>
      </c>
    </row>
    <row r="17930" spans="13:13" x14ac:dyDescent="0.25">
      <c r="M17930" s="34">
        <f t="shared" si="456"/>
        <v>0</v>
      </c>
    </row>
    <row r="17931" spans="13:13" x14ac:dyDescent="0.25">
      <c r="M17931" s="34">
        <f t="shared" si="456"/>
        <v>0</v>
      </c>
    </row>
    <row r="17932" spans="13:13" x14ac:dyDescent="0.25">
      <c r="M17932" s="34">
        <f t="shared" si="456"/>
        <v>0</v>
      </c>
    </row>
    <row r="17933" spans="13:13" x14ac:dyDescent="0.25">
      <c r="M17933" s="34">
        <f t="shared" si="456"/>
        <v>0</v>
      </c>
    </row>
    <row r="17934" spans="13:13" x14ac:dyDescent="0.25">
      <c r="M17934" s="34">
        <f t="shared" si="456"/>
        <v>0</v>
      </c>
    </row>
    <row r="17935" spans="13:13" x14ac:dyDescent="0.25">
      <c r="M17935" s="34">
        <f t="shared" si="456"/>
        <v>0</v>
      </c>
    </row>
    <row r="17936" spans="13:13" x14ac:dyDescent="0.25">
      <c r="M17936" s="34">
        <f t="shared" si="456"/>
        <v>0</v>
      </c>
    </row>
    <row r="17937" spans="13:13" x14ac:dyDescent="0.25">
      <c r="M17937" s="34">
        <f t="shared" si="456"/>
        <v>0</v>
      </c>
    </row>
    <row r="17938" spans="13:13" x14ac:dyDescent="0.25">
      <c r="M17938" s="34">
        <f t="shared" si="456"/>
        <v>0</v>
      </c>
    </row>
    <row r="17939" spans="13:13" x14ac:dyDescent="0.25">
      <c r="M17939" s="34">
        <f t="shared" si="456"/>
        <v>0</v>
      </c>
    </row>
    <row r="17940" spans="13:13" x14ac:dyDescent="0.25">
      <c r="M17940" s="34">
        <f t="shared" si="456"/>
        <v>0</v>
      </c>
    </row>
    <row r="17941" spans="13:13" x14ac:dyDescent="0.25">
      <c r="M17941" s="34">
        <f t="shared" si="456"/>
        <v>0</v>
      </c>
    </row>
    <row r="17942" spans="13:13" x14ac:dyDescent="0.25">
      <c r="M17942" s="34">
        <f t="shared" si="456"/>
        <v>0</v>
      </c>
    </row>
    <row r="17943" spans="13:13" x14ac:dyDescent="0.25">
      <c r="M17943" s="34">
        <f t="shared" si="456"/>
        <v>0</v>
      </c>
    </row>
    <row r="17944" spans="13:13" x14ac:dyDescent="0.25">
      <c r="M17944" s="34">
        <f t="shared" si="456"/>
        <v>0</v>
      </c>
    </row>
    <row r="17945" spans="13:13" x14ac:dyDescent="0.25">
      <c r="M17945" s="34">
        <f t="shared" si="456"/>
        <v>0</v>
      </c>
    </row>
    <row r="17946" spans="13:13" x14ac:dyDescent="0.25">
      <c r="M17946" s="34">
        <f t="shared" si="456"/>
        <v>0</v>
      </c>
    </row>
    <row r="17947" spans="13:13" x14ac:dyDescent="0.25">
      <c r="M17947" s="34">
        <f t="shared" si="456"/>
        <v>0</v>
      </c>
    </row>
    <row r="17948" spans="13:13" x14ac:dyDescent="0.25">
      <c r="M17948" s="34">
        <f t="shared" si="456"/>
        <v>0</v>
      </c>
    </row>
    <row r="17949" spans="13:13" x14ac:dyDescent="0.25">
      <c r="M17949" s="34">
        <f t="shared" si="456"/>
        <v>0</v>
      </c>
    </row>
    <row r="17950" spans="13:13" x14ac:dyDescent="0.25">
      <c r="M17950" s="34">
        <f t="shared" si="456"/>
        <v>0</v>
      </c>
    </row>
    <row r="17951" spans="13:13" x14ac:dyDescent="0.25">
      <c r="M17951" s="34">
        <f t="shared" si="456"/>
        <v>0</v>
      </c>
    </row>
    <row r="17952" spans="13:13" x14ac:dyDescent="0.25">
      <c r="M17952" s="34">
        <f t="shared" si="456"/>
        <v>0</v>
      </c>
    </row>
    <row r="17953" spans="13:13" x14ac:dyDescent="0.25">
      <c r="M17953" s="34">
        <f t="shared" si="456"/>
        <v>0</v>
      </c>
    </row>
    <row r="17954" spans="13:13" x14ac:dyDescent="0.25">
      <c r="M17954" s="34">
        <f t="shared" si="456"/>
        <v>0</v>
      </c>
    </row>
    <row r="17955" spans="13:13" x14ac:dyDescent="0.25">
      <c r="M17955" s="34">
        <f t="shared" si="456"/>
        <v>0</v>
      </c>
    </row>
    <row r="17956" spans="13:13" x14ac:dyDescent="0.25">
      <c r="M17956" s="34">
        <f t="shared" si="456"/>
        <v>0</v>
      </c>
    </row>
    <row r="17957" spans="13:13" x14ac:dyDescent="0.25">
      <c r="M17957" s="34">
        <f t="shared" si="456"/>
        <v>0</v>
      </c>
    </row>
    <row r="17958" spans="13:13" x14ac:dyDescent="0.25">
      <c r="M17958" s="34">
        <f t="shared" si="456"/>
        <v>0</v>
      </c>
    </row>
    <row r="17959" spans="13:13" x14ac:dyDescent="0.25">
      <c r="M17959" s="34">
        <f t="shared" si="456"/>
        <v>0</v>
      </c>
    </row>
    <row r="17960" spans="13:13" x14ac:dyDescent="0.25">
      <c r="M17960" s="34">
        <f t="shared" si="456"/>
        <v>0</v>
      </c>
    </row>
    <row r="17961" spans="13:13" x14ac:dyDescent="0.25">
      <c r="M17961" s="34">
        <f t="shared" si="456"/>
        <v>0</v>
      </c>
    </row>
    <row r="17962" spans="13:13" x14ac:dyDescent="0.25">
      <c r="M17962" s="34">
        <f t="shared" si="456"/>
        <v>0</v>
      </c>
    </row>
    <row r="17963" spans="13:13" x14ac:dyDescent="0.25">
      <c r="M17963" s="34">
        <f t="shared" si="456"/>
        <v>0</v>
      </c>
    </row>
    <row r="17964" spans="13:13" x14ac:dyDescent="0.25">
      <c r="M17964" s="34">
        <f t="shared" si="456"/>
        <v>0</v>
      </c>
    </row>
    <row r="17965" spans="13:13" x14ac:dyDescent="0.25">
      <c r="M17965" s="34">
        <f t="shared" si="456"/>
        <v>0</v>
      </c>
    </row>
    <row r="17966" spans="13:13" x14ac:dyDescent="0.25">
      <c r="M17966" s="34">
        <f t="shared" si="456"/>
        <v>0</v>
      </c>
    </row>
    <row r="17967" spans="13:13" x14ac:dyDescent="0.25">
      <c r="M17967" s="34">
        <f t="shared" si="456"/>
        <v>0</v>
      </c>
    </row>
    <row r="17968" spans="13:13" x14ac:dyDescent="0.25">
      <c r="M17968" s="34">
        <f t="shared" si="456"/>
        <v>0</v>
      </c>
    </row>
    <row r="17969" spans="13:13" x14ac:dyDescent="0.25">
      <c r="M17969" s="34">
        <f t="shared" si="456"/>
        <v>0</v>
      </c>
    </row>
    <row r="17970" spans="13:13" x14ac:dyDescent="0.25">
      <c r="M17970" s="34">
        <f t="shared" si="456"/>
        <v>0</v>
      </c>
    </row>
    <row r="17971" spans="13:13" x14ac:dyDescent="0.25">
      <c r="M17971" s="34">
        <f t="shared" si="456"/>
        <v>0</v>
      </c>
    </row>
    <row r="17972" spans="13:13" x14ac:dyDescent="0.25">
      <c r="M17972" s="34">
        <f t="shared" si="456"/>
        <v>0</v>
      </c>
    </row>
    <row r="17973" spans="13:13" x14ac:dyDescent="0.25">
      <c r="M17973" s="34">
        <f t="shared" si="456"/>
        <v>0</v>
      </c>
    </row>
    <row r="17974" spans="13:13" x14ac:dyDescent="0.25">
      <c r="M17974" s="34">
        <f t="shared" si="456"/>
        <v>0</v>
      </c>
    </row>
    <row r="17975" spans="13:13" x14ac:dyDescent="0.25">
      <c r="M17975" s="34">
        <f t="shared" si="456"/>
        <v>0</v>
      </c>
    </row>
    <row r="17976" spans="13:13" x14ac:dyDescent="0.25">
      <c r="M17976" s="34">
        <f t="shared" si="456"/>
        <v>0</v>
      </c>
    </row>
    <row r="17977" spans="13:13" x14ac:dyDescent="0.25">
      <c r="M17977" s="34">
        <f t="shared" si="456"/>
        <v>0</v>
      </c>
    </row>
    <row r="17978" spans="13:13" x14ac:dyDescent="0.25">
      <c r="M17978" s="34">
        <f t="shared" si="456"/>
        <v>0</v>
      </c>
    </row>
    <row r="17979" spans="13:13" x14ac:dyDescent="0.25">
      <c r="M17979" s="34">
        <f t="shared" si="456"/>
        <v>0</v>
      </c>
    </row>
    <row r="17980" spans="13:13" x14ac:dyDescent="0.25">
      <c r="M17980" s="34">
        <f t="shared" si="456"/>
        <v>0</v>
      </c>
    </row>
    <row r="17981" spans="13:13" x14ac:dyDescent="0.25">
      <c r="M17981" s="34">
        <f t="shared" si="456"/>
        <v>0</v>
      </c>
    </row>
    <row r="17982" spans="13:13" x14ac:dyDescent="0.25">
      <c r="M17982" s="34">
        <f t="shared" si="456"/>
        <v>0</v>
      </c>
    </row>
    <row r="17983" spans="13:13" x14ac:dyDescent="0.25">
      <c r="M17983" s="34">
        <f t="shared" si="456"/>
        <v>0</v>
      </c>
    </row>
    <row r="17984" spans="13:13" x14ac:dyDescent="0.25">
      <c r="M17984" s="34">
        <f t="shared" si="456"/>
        <v>0</v>
      </c>
    </row>
    <row r="17985" spans="13:13" x14ac:dyDescent="0.25">
      <c r="M17985" s="34">
        <f t="shared" si="456"/>
        <v>0</v>
      </c>
    </row>
    <row r="17986" spans="13:13" x14ac:dyDescent="0.25">
      <c r="M17986" s="34">
        <f t="shared" si="456"/>
        <v>0</v>
      </c>
    </row>
    <row r="17987" spans="13:13" x14ac:dyDescent="0.25">
      <c r="M17987" s="34">
        <f t="shared" ref="M17987:M18050" si="457">IF(AND(E17987="Chèque",G17987="RECETTE"),F17987,0)</f>
        <v>0</v>
      </c>
    </row>
    <row r="17988" spans="13:13" x14ac:dyDescent="0.25">
      <c r="M17988" s="34">
        <f t="shared" si="457"/>
        <v>0</v>
      </c>
    </row>
    <row r="17989" spans="13:13" x14ac:dyDescent="0.25">
      <c r="M17989" s="34">
        <f t="shared" si="457"/>
        <v>0</v>
      </c>
    </row>
    <row r="17990" spans="13:13" x14ac:dyDescent="0.25">
      <c r="M17990" s="34">
        <f t="shared" si="457"/>
        <v>0</v>
      </c>
    </row>
    <row r="17991" spans="13:13" x14ac:dyDescent="0.25">
      <c r="M17991" s="34">
        <f t="shared" si="457"/>
        <v>0</v>
      </c>
    </row>
    <row r="17992" spans="13:13" x14ac:dyDescent="0.25">
      <c r="M17992" s="34">
        <f t="shared" si="457"/>
        <v>0</v>
      </c>
    </row>
    <row r="17993" spans="13:13" x14ac:dyDescent="0.25">
      <c r="M17993" s="34">
        <f t="shared" si="457"/>
        <v>0</v>
      </c>
    </row>
    <row r="17994" spans="13:13" x14ac:dyDescent="0.25">
      <c r="M17994" s="34">
        <f t="shared" si="457"/>
        <v>0</v>
      </c>
    </row>
    <row r="17995" spans="13:13" x14ac:dyDescent="0.25">
      <c r="M17995" s="34">
        <f t="shared" si="457"/>
        <v>0</v>
      </c>
    </row>
    <row r="17996" spans="13:13" x14ac:dyDescent="0.25">
      <c r="M17996" s="34">
        <f t="shared" si="457"/>
        <v>0</v>
      </c>
    </row>
    <row r="17997" spans="13:13" x14ac:dyDescent="0.25">
      <c r="M17997" s="34">
        <f t="shared" si="457"/>
        <v>0</v>
      </c>
    </row>
    <row r="17998" spans="13:13" x14ac:dyDescent="0.25">
      <c r="M17998" s="34">
        <f t="shared" si="457"/>
        <v>0</v>
      </c>
    </row>
    <row r="17999" spans="13:13" x14ac:dyDescent="0.25">
      <c r="M17999" s="34">
        <f t="shared" si="457"/>
        <v>0</v>
      </c>
    </row>
    <row r="18000" spans="13:13" x14ac:dyDescent="0.25">
      <c r="M18000" s="34">
        <f t="shared" si="457"/>
        <v>0</v>
      </c>
    </row>
    <row r="18001" spans="13:13" x14ac:dyDescent="0.25">
      <c r="M18001" s="34">
        <f t="shared" si="457"/>
        <v>0</v>
      </c>
    </row>
    <row r="18002" spans="13:13" x14ac:dyDescent="0.25">
      <c r="M18002" s="34">
        <f t="shared" si="457"/>
        <v>0</v>
      </c>
    </row>
    <row r="18003" spans="13:13" x14ac:dyDescent="0.25">
      <c r="M18003" s="34">
        <f t="shared" si="457"/>
        <v>0</v>
      </c>
    </row>
    <row r="18004" spans="13:13" x14ac:dyDescent="0.25">
      <c r="M18004" s="34">
        <f t="shared" si="457"/>
        <v>0</v>
      </c>
    </row>
    <row r="18005" spans="13:13" x14ac:dyDescent="0.25">
      <c r="M18005" s="34">
        <f t="shared" si="457"/>
        <v>0</v>
      </c>
    </row>
    <row r="18006" spans="13:13" x14ac:dyDescent="0.25">
      <c r="M18006" s="34">
        <f t="shared" si="457"/>
        <v>0</v>
      </c>
    </row>
    <row r="18007" spans="13:13" x14ac:dyDescent="0.25">
      <c r="M18007" s="34">
        <f t="shared" si="457"/>
        <v>0</v>
      </c>
    </row>
    <row r="18008" spans="13:13" x14ac:dyDescent="0.25">
      <c r="M18008" s="34">
        <f t="shared" si="457"/>
        <v>0</v>
      </c>
    </row>
    <row r="18009" spans="13:13" x14ac:dyDescent="0.25">
      <c r="M18009" s="34">
        <f t="shared" si="457"/>
        <v>0</v>
      </c>
    </row>
    <row r="18010" spans="13:13" x14ac:dyDescent="0.25">
      <c r="M18010" s="34">
        <f t="shared" si="457"/>
        <v>0</v>
      </c>
    </row>
    <row r="18011" spans="13:13" x14ac:dyDescent="0.25">
      <c r="M18011" s="34">
        <f t="shared" si="457"/>
        <v>0</v>
      </c>
    </row>
    <row r="18012" spans="13:13" x14ac:dyDescent="0.25">
      <c r="M18012" s="34">
        <f t="shared" si="457"/>
        <v>0</v>
      </c>
    </row>
    <row r="18013" spans="13:13" x14ac:dyDescent="0.25">
      <c r="M18013" s="34">
        <f t="shared" si="457"/>
        <v>0</v>
      </c>
    </row>
    <row r="18014" spans="13:13" x14ac:dyDescent="0.25">
      <c r="M18014" s="34">
        <f t="shared" si="457"/>
        <v>0</v>
      </c>
    </row>
    <row r="18015" spans="13:13" x14ac:dyDescent="0.25">
      <c r="M18015" s="34">
        <f t="shared" si="457"/>
        <v>0</v>
      </c>
    </row>
    <row r="18016" spans="13:13" x14ac:dyDescent="0.25">
      <c r="M18016" s="34">
        <f t="shared" si="457"/>
        <v>0</v>
      </c>
    </row>
    <row r="18017" spans="13:13" x14ac:dyDescent="0.25">
      <c r="M18017" s="34">
        <f t="shared" si="457"/>
        <v>0</v>
      </c>
    </row>
    <row r="18018" spans="13:13" x14ac:dyDescent="0.25">
      <c r="M18018" s="34">
        <f t="shared" si="457"/>
        <v>0</v>
      </c>
    </row>
    <row r="18019" spans="13:13" x14ac:dyDescent="0.25">
      <c r="M18019" s="34">
        <f t="shared" si="457"/>
        <v>0</v>
      </c>
    </row>
    <row r="18020" spans="13:13" x14ac:dyDescent="0.25">
      <c r="M18020" s="34">
        <f t="shared" si="457"/>
        <v>0</v>
      </c>
    </row>
    <row r="18021" spans="13:13" x14ac:dyDescent="0.25">
      <c r="M18021" s="34">
        <f t="shared" si="457"/>
        <v>0</v>
      </c>
    </row>
    <row r="18022" spans="13:13" x14ac:dyDescent="0.25">
      <c r="M18022" s="34">
        <f t="shared" si="457"/>
        <v>0</v>
      </c>
    </row>
    <row r="18023" spans="13:13" x14ac:dyDescent="0.25">
      <c r="M18023" s="34">
        <f t="shared" si="457"/>
        <v>0</v>
      </c>
    </row>
    <row r="18024" spans="13:13" x14ac:dyDescent="0.25">
      <c r="M18024" s="34">
        <f t="shared" si="457"/>
        <v>0</v>
      </c>
    </row>
    <row r="18025" spans="13:13" x14ac:dyDescent="0.25">
      <c r="M18025" s="34">
        <f t="shared" si="457"/>
        <v>0</v>
      </c>
    </row>
    <row r="18026" spans="13:13" x14ac:dyDescent="0.25">
      <c r="M18026" s="34">
        <f t="shared" si="457"/>
        <v>0</v>
      </c>
    </row>
    <row r="18027" spans="13:13" x14ac:dyDescent="0.25">
      <c r="M18027" s="34">
        <f t="shared" si="457"/>
        <v>0</v>
      </c>
    </row>
    <row r="18028" spans="13:13" x14ac:dyDescent="0.25">
      <c r="M18028" s="34">
        <f t="shared" si="457"/>
        <v>0</v>
      </c>
    </row>
    <row r="18029" spans="13:13" x14ac:dyDescent="0.25">
      <c r="M18029" s="34">
        <f t="shared" si="457"/>
        <v>0</v>
      </c>
    </row>
    <row r="18030" spans="13:13" x14ac:dyDescent="0.25">
      <c r="M18030" s="34">
        <f t="shared" si="457"/>
        <v>0</v>
      </c>
    </row>
    <row r="18031" spans="13:13" x14ac:dyDescent="0.25">
      <c r="M18031" s="34">
        <f t="shared" si="457"/>
        <v>0</v>
      </c>
    </row>
    <row r="18032" spans="13:13" x14ac:dyDescent="0.25">
      <c r="M18032" s="34">
        <f t="shared" si="457"/>
        <v>0</v>
      </c>
    </row>
    <row r="18033" spans="13:13" x14ac:dyDescent="0.25">
      <c r="M18033" s="34">
        <f t="shared" si="457"/>
        <v>0</v>
      </c>
    </row>
    <row r="18034" spans="13:13" x14ac:dyDescent="0.25">
      <c r="M18034" s="34">
        <f t="shared" si="457"/>
        <v>0</v>
      </c>
    </row>
    <row r="18035" spans="13:13" x14ac:dyDescent="0.25">
      <c r="M18035" s="34">
        <f t="shared" si="457"/>
        <v>0</v>
      </c>
    </row>
    <row r="18036" spans="13:13" x14ac:dyDescent="0.25">
      <c r="M18036" s="34">
        <f t="shared" si="457"/>
        <v>0</v>
      </c>
    </row>
    <row r="18037" spans="13:13" x14ac:dyDescent="0.25">
      <c r="M18037" s="34">
        <f t="shared" si="457"/>
        <v>0</v>
      </c>
    </row>
    <row r="18038" spans="13:13" x14ac:dyDescent="0.25">
      <c r="M18038" s="34">
        <f t="shared" si="457"/>
        <v>0</v>
      </c>
    </row>
    <row r="18039" spans="13:13" x14ac:dyDescent="0.25">
      <c r="M18039" s="34">
        <f t="shared" si="457"/>
        <v>0</v>
      </c>
    </row>
    <row r="18040" spans="13:13" x14ac:dyDescent="0.25">
      <c r="M18040" s="34">
        <f t="shared" si="457"/>
        <v>0</v>
      </c>
    </row>
    <row r="18041" spans="13:13" x14ac:dyDescent="0.25">
      <c r="M18041" s="34">
        <f t="shared" si="457"/>
        <v>0</v>
      </c>
    </row>
    <row r="18042" spans="13:13" x14ac:dyDescent="0.25">
      <c r="M18042" s="34">
        <f t="shared" si="457"/>
        <v>0</v>
      </c>
    </row>
    <row r="18043" spans="13:13" x14ac:dyDescent="0.25">
      <c r="M18043" s="34">
        <f t="shared" si="457"/>
        <v>0</v>
      </c>
    </row>
    <row r="18044" spans="13:13" x14ac:dyDescent="0.25">
      <c r="M18044" s="34">
        <f t="shared" si="457"/>
        <v>0</v>
      </c>
    </row>
    <row r="18045" spans="13:13" x14ac:dyDescent="0.25">
      <c r="M18045" s="34">
        <f t="shared" si="457"/>
        <v>0</v>
      </c>
    </row>
    <row r="18046" spans="13:13" x14ac:dyDescent="0.25">
      <c r="M18046" s="34">
        <f t="shared" si="457"/>
        <v>0</v>
      </c>
    </row>
    <row r="18047" spans="13:13" x14ac:dyDescent="0.25">
      <c r="M18047" s="34">
        <f t="shared" si="457"/>
        <v>0</v>
      </c>
    </row>
    <row r="18048" spans="13:13" x14ac:dyDescent="0.25">
      <c r="M18048" s="34">
        <f t="shared" si="457"/>
        <v>0</v>
      </c>
    </row>
    <row r="18049" spans="13:13" x14ac:dyDescent="0.25">
      <c r="M18049" s="34">
        <f t="shared" si="457"/>
        <v>0</v>
      </c>
    </row>
    <row r="18050" spans="13:13" x14ac:dyDescent="0.25">
      <c r="M18050" s="34">
        <f t="shared" si="457"/>
        <v>0</v>
      </c>
    </row>
    <row r="18051" spans="13:13" x14ac:dyDescent="0.25">
      <c r="M18051" s="34">
        <f t="shared" ref="M18051:M18114" si="458">IF(AND(E18051="Chèque",G18051="RECETTE"),F18051,0)</f>
        <v>0</v>
      </c>
    </row>
    <row r="18052" spans="13:13" x14ac:dyDescent="0.25">
      <c r="M18052" s="34">
        <f t="shared" si="458"/>
        <v>0</v>
      </c>
    </row>
    <row r="18053" spans="13:13" x14ac:dyDescent="0.25">
      <c r="M18053" s="34">
        <f t="shared" si="458"/>
        <v>0</v>
      </c>
    </row>
    <row r="18054" spans="13:13" x14ac:dyDescent="0.25">
      <c r="M18054" s="34">
        <f t="shared" si="458"/>
        <v>0</v>
      </c>
    </row>
    <row r="18055" spans="13:13" x14ac:dyDescent="0.25">
      <c r="M18055" s="34">
        <f t="shared" si="458"/>
        <v>0</v>
      </c>
    </row>
    <row r="18056" spans="13:13" x14ac:dyDescent="0.25">
      <c r="M18056" s="34">
        <f t="shared" si="458"/>
        <v>0</v>
      </c>
    </row>
    <row r="18057" spans="13:13" x14ac:dyDescent="0.25">
      <c r="M18057" s="34">
        <f t="shared" si="458"/>
        <v>0</v>
      </c>
    </row>
    <row r="18058" spans="13:13" x14ac:dyDescent="0.25">
      <c r="M18058" s="34">
        <f t="shared" si="458"/>
        <v>0</v>
      </c>
    </row>
    <row r="18059" spans="13:13" x14ac:dyDescent="0.25">
      <c r="M18059" s="34">
        <f t="shared" si="458"/>
        <v>0</v>
      </c>
    </row>
    <row r="18060" spans="13:13" x14ac:dyDescent="0.25">
      <c r="M18060" s="34">
        <f t="shared" si="458"/>
        <v>0</v>
      </c>
    </row>
    <row r="18061" spans="13:13" x14ac:dyDescent="0.25">
      <c r="M18061" s="34">
        <f t="shared" si="458"/>
        <v>0</v>
      </c>
    </row>
    <row r="18062" spans="13:13" x14ac:dyDescent="0.25">
      <c r="M18062" s="34">
        <f t="shared" si="458"/>
        <v>0</v>
      </c>
    </row>
    <row r="18063" spans="13:13" x14ac:dyDescent="0.25">
      <c r="M18063" s="34">
        <f t="shared" si="458"/>
        <v>0</v>
      </c>
    </row>
    <row r="18064" spans="13:13" x14ac:dyDescent="0.25">
      <c r="M18064" s="34">
        <f t="shared" si="458"/>
        <v>0</v>
      </c>
    </row>
    <row r="18065" spans="13:13" x14ac:dyDescent="0.25">
      <c r="M18065" s="34">
        <f t="shared" si="458"/>
        <v>0</v>
      </c>
    </row>
    <row r="18066" spans="13:13" x14ac:dyDescent="0.25">
      <c r="M18066" s="34">
        <f t="shared" si="458"/>
        <v>0</v>
      </c>
    </row>
    <row r="18067" spans="13:13" x14ac:dyDescent="0.25">
      <c r="M18067" s="34">
        <f t="shared" si="458"/>
        <v>0</v>
      </c>
    </row>
    <row r="18068" spans="13:13" x14ac:dyDescent="0.25">
      <c r="M18068" s="34">
        <f t="shared" si="458"/>
        <v>0</v>
      </c>
    </row>
    <row r="18069" spans="13:13" x14ac:dyDescent="0.25">
      <c r="M18069" s="34">
        <f t="shared" si="458"/>
        <v>0</v>
      </c>
    </row>
    <row r="18070" spans="13:13" x14ac:dyDescent="0.25">
      <c r="M18070" s="34">
        <f t="shared" si="458"/>
        <v>0</v>
      </c>
    </row>
    <row r="18071" spans="13:13" x14ac:dyDescent="0.25">
      <c r="M18071" s="34">
        <f t="shared" si="458"/>
        <v>0</v>
      </c>
    </row>
    <row r="18072" spans="13:13" x14ac:dyDescent="0.25">
      <c r="M18072" s="34">
        <f t="shared" si="458"/>
        <v>0</v>
      </c>
    </row>
    <row r="18073" spans="13:13" x14ac:dyDescent="0.25">
      <c r="M18073" s="34">
        <f t="shared" si="458"/>
        <v>0</v>
      </c>
    </row>
    <row r="18074" spans="13:13" x14ac:dyDescent="0.25">
      <c r="M18074" s="34">
        <f t="shared" si="458"/>
        <v>0</v>
      </c>
    </row>
    <row r="18075" spans="13:13" x14ac:dyDescent="0.25">
      <c r="M18075" s="34">
        <f t="shared" si="458"/>
        <v>0</v>
      </c>
    </row>
    <row r="18076" spans="13:13" x14ac:dyDescent="0.25">
      <c r="M18076" s="34">
        <f t="shared" si="458"/>
        <v>0</v>
      </c>
    </row>
    <row r="18077" spans="13:13" x14ac:dyDescent="0.25">
      <c r="M18077" s="34">
        <f t="shared" si="458"/>
        <v>0</v>
      </c>
    </row>
    <row r="18078" spans="13:13" x14ac:dyDescent="0.25">
      <c r="M18078" s="34">
        <f t="shared" si="458"/>
        <v>0</v>
      </c>
    </row>
    <row r="18079" spans="13:13" x14ac:dyDescent="0.25">
      <c r="M18079" s="34">
        <f t="shared" si="458"/>
        <v>0</v>
      </c>
    </row>
    <row r="18080" spans="13:13" x14ac:dyDescent="0.25">
      <c r="M18080" s="34">
        <f t="shared" si="458"/>
        <v>0</v>
      </c>
    </row>
    <row r="18081" spans="13:13" x14ac:dyDescent="0.25">
      <c r="M18081" s="34">
        <f t="shared" si="458"/>
        <v>0</v>
      </c>
    </row>
    <row r="18082" spans="13:13" x14ac:dyDescent="0.25">
      <c r="M18082" s="34">
        <f t="shared" si="458"/>
        <v>0</v>
      </c>
    </row>
    <row r="18083" spans="13:13" x14ac:dyDescent="0.25">
      <c r="M18083" s="34">
        <f t="shared" si="458"/>
        <v>0</v>
      </c>
    </row>
    <row r="18084" spans="13:13" x14ac:dyDescent="0.25">
      <c r="M18084" s="34">
        <f t="shared" si="458"/>
        <v>0</v>
      </c>
    </row>
    <row r="18085" spans="13:13" x14ac:dyDescent="0.25">
      <c r="M18085" s="34">
        <f t="shared" si="458"/>
        <v>0</v>
      </c>
    </row>
    <row r="18086" spans="13:13" x14ac:dyDescent="0.25">
      <c r="M18086" s="34">
        <f t="shared" si="458"/>
        <v>0</v>
      </c>
    </row>
    <row r="18087" spans="13:13" x14ac:dyDescent="0.25">
      <c r="M18087" s="34">
        <f t="shared" si="458"/>
        <v>0</v>
      </c>
    </row>
    <row r="18088" spans="13:13" x14ac:dyDescent="0.25">
      <c r="M18088" s="34">
        <f t="shared" si="458"/>
        <v>0</v>
      </c>
    </row>
    <row r="18089" spans="13:13" x14ac:dyDescent="0.25">
      <c r="M18089" s="34">
        <f t="shared" si="458"/>
        <v>0</v>
      </c>
    </row>
    <row r="18090" spans="13:13" x14ac:dyDescent="0.25">
      <c r="M18090" s="34">
        <f t="shared" si="458"/>
        <v>0</v>
      </c>
    </row>
    <row r="18091" spans="13:13" x14ac:dyDescent="0.25">
      <c r="M18091" s="34">
        <f t="shared" si="458"/>
        <v>0</v>
      </c>
    </row>
    <row r="18092" spans="13:13" x14ac:dyDescent="0.25">
      <c r="M18092" s="34">
        <f t="shared" si="458"/>
        <v>0</v>
      </c>
    </row>
    <row r="18093" spans="13:13" x14ac:dyDescent="0.25">
      <c r="M18093" s="34">
        <f t="shared" si="458"/>
        <v>0</v>
      </c>
    </row>
    <row r="18094" spans="13:13" x14ac:dyDescent="0.25">
      <c r="M18094" s="34">
        <f t="shared" si="458"/>
        <v>0</v>
      </c>
    </row>
    <row r="18095" spans="13:13" x14ac:dyDescent="0.25">
      <c r="M18095" s="34">
        <f t="shared" si="458"/>
        <v>0</v>
      </c>
    </row>
    <row r="18096" spans="13:13" x14ac:dyDescent="0.25">
      <c r="M18096" s="34">
        <f t="shared" si="458"/>
        <v>0</v>
      </c>
    </row>
    <row r="18097" spans="13:13" x14ac:dyDescent="0.25">
      <c r="M18097" s="34">
        <f t="shared" si="458"/>
        <v>0</v>
      </c>
    </row>
    <row r="18098" spans="13:13" x14ac:dyDescent="0.25">
      <c r="M18098" s="34">
        <f t="shared" si="458"/>
        <v>0</v>
      </c>
    </row>
    <row r="18099" spans="13:13" x14ac:dyDescent="0.25">
      <c r="M18099" s="34">
        <f t="shared" si="458"/>
        <v>0</v>
      </c>
    </row>
    <row r="18100" spans="13:13" x14ac:dyDescent="0.25">
      <c r="M18100" s="34">
        <f t="shared" si="458"/>
        <v>0</v>
      </c>
    </row>
    <row r="18101" spans="13:13" x14ac:dyDescent="0.25">
      <c r="M18101" s="34">
        <f t="shared" si="458"/>
        <v>0</v>
      </c>
    </row>
    <row r="18102" spans="13:13" x14ac:dyDescent="0.25">
      <c r="M18102" s="34">
        <f t="shared" si="458"/>
        <v>0</v>
      </c>
    </row>
    <row r="18103" spans="13:13" x14ac:dyDescent="0.25">
      <c r="M18103" s="34">
        <f t="shared" si="458"/>
        <v>0</v>
      </c>
    </row>
    <row r="18104" spans="13:13" x14ac:dyDescent="0.25">
      <c r="M18104" s="34">
        <f t="shared" si="458"/>
        <v>0</v>
      </c>
    </row>
    <row r="18105" spans="13:13" x14ac:dyDescent="0.25">
      <c r="M18105" s="34">
        <f t="shared" si="458"/>
        <v>0</v>
      </c>
    </row>
    <row r="18106" spans="13:13" x14ac:dyDescent="0.25">
      <c r="M18106" s="34">
        <f t="shared" si="458"/>
        <v>0</v>
      </c>
    </row>
    <row r="18107" spans="13:13" x14ac:dyDescent="0.25">
      <c r="M18107" s="34">
        <f t="shared" si="458"/>
        <v>0</v>
      </c>
    </row>
    <row r="18108" spans="13:13" x14ac:dyDescent="0.25">
      <c r="M18108" s="34">
        <f t="shared" si="458"/>
        <v>0</v>
      </c>
    </row>
    <row r="18109" spans="13:13" x14ac:dyDescent="0.25">
      <c r="M18109" s="34">
        <f t="shared" si="458"/>
        <v>0</v>
      </c>
    </row>
    <row r="18110" spans="13:13" x14ac:dyDescent="0.25">
      <c r="M18110" s="34">
        <f t="shared" si="458"/>
        <v>0</v>
      </c>
    </row>
    <row r="18111" spans="13:13" x14ac:dyDescent="0.25">
      <c r="M18111" s="34">
        <f t="shared" si="458"/>
        <v>0</v>
      </c>
    </row>
    <row r="18112" spans="13:13" x14ac:dyDescent="0.25">
      <c r="M18112" s="34">
        <f t="shared" si="458"/>
        <v>0</v>
      </c>
    </row>
    <row r="18113" spans="13:13" x14ac:dyDescent="0.25">
      <c r="M18113" s="34">
        <f t="shared" si="458"/>
        <v>0</v>
      </c>
    </row>
    <row r="18114" spans="13:13" x14ac:dyDescent="0.25">
      <c r="M18114" s="34">
        <f t="shared" si="458"/>
        <v>0</v>
      </c>
    </row>
    <row r="18115" spans="13:13" x14ac:dyDescent="0.25">
      <c r="M18115" s="34">
        <f t="shared" ref="M18115:M18178" si="459">IF(AND(E18115="Chèque",G18115="RECETTE"),F18115,0)</f>
        <v>0</v>
      </c>
    </row>
    <row r="18116" spans="13:13" x14ac:dyDescent="0.25">
      <c r="M18116" s="34">
        <f t="shared" si="459"/>
        <v>0</v>
      </c>
    </row>
    <row r="18117" spans="13:13" x14ac:dyDescent="0.25">
      <c r="M18117" s="34">
        <f t="shared" si="459"/>
        <v>0</v>
      </c>
    </row>
    <row r="18118" spans="13:13" x14ac:dyDescent="0.25">
      <c r="M18118" s="34">
        <f t="shared" si="459"/>
        <v>0</v>
      </c>
    </row>
    <row r="18119" spans="13:13" x14ac:dyDescent="0.25">
      <c r="M18119" s="34">
        <f t="shared" si="459"/>
        <v>0</v>
      </c>
    </row>
    <row r="18120" spans="13:13" x14ac:dyDescent="0.25">
      <c r="M18120" s="34">
        <f t="shared" si="459"/>
        <v>0</v>
      </c>
    </row>
    <row r="18121" spans="13:13" x14ac:dyDescent="0.25">
      <c r="M18121" s="34">
        <f t="shared" si="459"/>
        <v>0</v>
      </c>
    </row>
    <row r="18122" spans="13:13" x14ac:dyDescent="0.25">
      <c r="M18122" s="34">
        <f t="shared" si="459"/>
        <v>0</v>
      </c>
    </row>
    <row r="18123" spans="13:13" x14ac:dyDescent="0.25">
      <c r="M18123" s="34">
        <f t="shared" si="459"/>
        <v>0</v>
      </c>
    </row>
    <row r="18124" spans="13:13" x14ac:dyDescent="0.25">
      <c r="M18124" s="34">
        <f t="shared" si="459"/>
        <v>0</v>
      </c>
    </row>
    <row r="18125" spans="13:13" x14ac:dyDescent="0.25">
      <c r="M18125" s="34">
        <f t="shared" si="459"/>
        <v>0</v>
      </c>
    </row>
    <row r="18126" spans="13:13" x14ac:dyDescent="0.25">
      <c r="M18126" s="34">
        <f t="shared" si="459"/>
        <v>0</v>
      </c>
    </row>
    <row r="18127" spans="13:13" x14ac:dyDescent="0.25">
      <c r="M18127" s="34">
        <f t="shared" si="459"/>
        <v>0</v>
      </c>
    </row>
    <row r="18128" spans="13:13" x14ac:dyDescent="0.25">
      <c r="M18128" s="34">
        <f t="shared" si="459"/>
        <v>0</v>
      </c>
    </row>
    <row r="18129" spans="13:13" x14ac:dyDescent="0.25">
      <c r="M18129" s="34">
        <f t="shared" si="459"/>
        <v>0</v>
      </c>
    </row>
    <row r="18130" spans="13:13" x14ac:dyDescent="0.25">
      <c r="M18130" s="34">
        <f t="shared" si="459"/>
        <v>0</v>
      </c>
    </row>
    <row r="18131" spans="13:13" x14ac:dyDescent="0.25">
      <c r="M18131" s="34">
        <f t="shared" si="459"/>
        <v>0</v>
      </c>
    </row>
    <row r="18132" spans="13:13" x14ac:dyDescent="0.25">
      <c r="M18132" s="34">
        <f t="shared" si="459"/>
        <v>0</v>
      </c>
    </row>
    <row r="18133" spans="13:13" x14ac:dyDescent="0.25">
      <c r="M18133" s="34">
        <f t="shared" si="459"/>
        <v>0</v>
      </c>
    </row>
    <row r="18134" spans="13:13" x14ac:dyDescent="0.25">
      <c r="M18134" s="34">
        <f t="shared" si="459"/>
        <v>0</v>
      </c>
    </row>
    <row r="18135" spans="13:13" x14ac:dyDescent="0.25">
      <c r="M18135" s="34">
        <f t="shared" si="459"/>
        <v>0</v>
      </c>
    </row>
    <row r="18136" spans="13:13" x14ac:dyDescent="0.25">
      <c r="M18136" s="34">
        <f t="shared" si="459"/>
        <v>0</v>
      </c>
    </row>
    <row r="18137" spans="13:13" x14ac:dyDescent="0.25">
      <c r="M18137" s="34">
        <f t="shared" si="459"/>
        <v>0</v>
      </c>
    </row>
    <row r="18138" spans="13:13" x14ac:dyDescent="0.25">
      <c r="M18138" s="34">
        <f t="shared" si="459"/>
        <v>0</v>
      </c>
    </row>
    <row r="18139" spans="13:13" x14ac:dyDescent="0.25">
      <c r="M18139" s="34">
        <f t="shared" si="459"/>
        <v>0</v>
      </c>
    </row>
    <row r="18140" spans="13:13" x14ac:dyDescent="0.25">
      <c r="M18140" s="34">
        <f t="shared" si="459"/>
        <v>0</v>
      </c>
    </row>
    <row r="18141" spans="13:13" x14ac:dyDescent="0.25">
      <c r="M18141" s="34">
        <f t="shared" si="459"/>
        <v>0</v>
      </c>
    </row>
    <row r="18142" spans="13:13" x14ac:dyDescent="0.25">
      <c r="M18142" s="34">
        <f t="shared" si="459"/>
        <v>0</v>
      </c>
    </row>
    <row r="18143" spans="13:13" x14ac:dyDescent="0.25">
      <c r="M18143" s="34">
        <f t="shared" si="459"/>
        <v>0</v>
      </c>
    </row>
    <row r="18144" spans="13:13" x14ac:dyDescent="0.25">
      <c r="M18144" s="34">
        <f t="shared" si="459"/>
        <v>0</v>
      </c>
    </row>
    <row r="18145" spans="13:13" x14ac:dyDescent="0.25">
      <c r="M18145" s="34">
        <f t="shared" si="459"/>
        <v>0</v>
      </c>
    </row>
    <row r="18146" spans="13:13" x14ac:dyDescent="0.25">
      <c r="M18146" s="34">
        <f t="shared" si="459"/>
        <v>0</v>
      </c>
    </row>
    <row r="18147" spans="13:13" x14ac:dyDescent="0.25">
      <c r="M18147" s="34">
        <f t="shared" si="459"/>
        <v>0</v>
      </c>
    </row>
    <row r="18148" spans="13:13" x14ac:dyDescent="0.25">
      <c r="M18148" s="34">
        <f t="shared" si="459"/>
        <v>0</v>
      </c>
    </row>
    <row r="18149" spans="13:13" x14ac:dyDescent="0.25">
      <c r="M18149" s="34">
        <f t="shared" si="459"/>
        <v>0</v>
      </c>
    </row>
    <row r="18150" spans="13:13" x14ac:dyDescent="0.25">
      <c r="M18150" s="34">
        <f t="shared" si="459"/>
        <v>0</v>
      </c>
    </row>
    <row r="18151" spans="13:13" x14ac:dyDescent="0.25">
      <c r="M18151" s="34">
        <f t="shared" si="459"/>
        <v>0</v>
      </c>
    </row>
    <row r="18152" spans="13:13" x14ac:dyDescent="0.25">
      <c r="M18152" s="34">
        <f t="shared" si="459"/>
        <v>0</v>
      </c>
    </row>
    <row r="18153" spans="13:13" x14ac:dyDescent="0.25">
      <c r="M18153" s="34">
        <f t="shared" si="459"/>
        <v>0</v>
      </c>
    </row>
    <row r="18154" spans="13:13" x14ac:dyDescent="0.25">
      <c r="M18154" s="34">
        <f t="shared" si="459"/>
        <v>0</v>
      </c>
    </row>
    <row r="18155" spans="13:13" x14ac:dyDescent="0.25">
      <c r="M18155" s="34">
        <f t="shared" si="459"/>
        <v>0</v>
      </c>
    </row>
    <row r="18156" spans="13:13" x14ac:dyDescent="0.25">
      <c r="M18156" s="34">
        <f t="shared" si="459"/>
        <v>0</v>
      </c>
    </row>
    <row r="18157" spans="13:13" x14ac:dyDescent="0.25">
      <c r="M18157" s="34">
        <f t="shared" si="459"/>
        <v>0</v>
      </c>
    </row>
    <row r="18158" spans="13:13" x14ac:dyDescent="0.25">
      <c r="M18158" s="34">
        <f t="shared" si="459"/>
        <v>0</v>
      </c>
    </row>
    <row r="18159" spans="13:13" x14ac:dyDescent="0.25">
      <c r="M18159" s="34">
        <f t="shared" si="459"/>
        <v>0</v>
      </c>
    </row>
    <row r="18160" spans="13:13" x14ac:dyDescent="0.25">
      <c r="M18160" s="34">
        <f t="shared" si="459"/>
        <v>0</v>
      </c>
    </row>
    <row r="18161" spans="13:13" x14ac:dyDescent="0.25">
      <c r="M18161" s="34">
        <f t="shared" si="459"/>
        <v>0</v>
      </c>
    </row>
    <row r="18162" spans="13:13" x14ac:dyDescent="0.25">
      <c r="M18162" s="34">
        <f t="shared" si="459"/>
        <v>0</v>
      </c>
    </row>
    <row r="18163" spans="13:13" x14ac:dyDescent="0.25">
      <c r="M18163" s="34">
        <f t="shared" si="459"/>
        <v>0</v>
      </c>
    </row>
    <row r="18164" spans="13:13" x14ac:dyDescent="0.25">
      <c r="M18164" s="34">
        <f t="shared" si="459"/>
        <v>0</v>
      </c>
    </row>
    <row r="18165" spans="13:13" x14ac:dyDescent="0.25">
      <c r="M18165" s="34">
        <f t="shared" si="459"/>
        <v>0</v>
      </c>
    </row>
    <row r="18166" spans="13:13" x14ac:dyDescent="0.25">
      <c r="M18166" s="34">
        <f t="shared" si="459"/>
        <v>0</v>
      </c>
    </row>
    <row r="18167" spans="13:13" x14ac:dyDescent="0.25">
      <c r="M18167" s="34">
        <f t="shared" si="459"/>
        <v>0</v>
      </c>
    </row>
    <row r="18168" spans="13:13" x14ac:dyDescent="0.25">
      <c r="M18168" s="34">
        <f t="shared" si="459"/>
        <v>0</v>
      </c>
    </row>
    <row r="18169" spans="13:13" x14ac:dyDescent="0.25">
      <c r="M18169" s="34">
        <f t="shared" si="459"/>
        <v>0</v>
      </c>
    </row>
    <row r="18170" spans="13:13" x14ac:dyDescent="0.25">
      <c r="M18170" s="34">
        <f t="shared" si="459"/>
        <v>0</v>
      </c>
    </row>
    <row r="18171" spans="13:13" x14ac:dyDescent="0.25">
      <c r="M18171" s="34">
        <f t="shared" si="459"/>
        <v>0</v>
      </c>
    </row>
    <row r="18172" spans="13:13" x14ac:dyDescent="0.25">
      <c r="M18172" s="34">
        <f t="shared" si="459"/>
        <v>0</v>
      </c>
    </row>
    <row r="18173" spans="13:13" x14ac:dyDescent="0.25">
      <c r="M18173" s="34">
        <f t="shared" si="459"/>
        <v>0</v>
      </c>
    </row>
    <row r="18174" spans="13:13" x14ac:dyDescent="0.25">
      <c r="M18174" s="34">
        <f t="shared" si="459"/>
        <v>0</v>
      </c>
    </row>
    <row r="18175" spans="13:13" x14ac:dyDescent="0.25">
      <c r="M18175" s="34">
        <f t="shared" si="459"/>
        <v>0</v>
      </c>
    </row>
    <row r="18176" spans="13:13" x14ac:dyDescent="0.25">
      <c r="M18176" s="34">
        <f t="shared" si="459"/>
        <v>0</v>
      </c>
    </row>
    <row r="18177" spans="13:13" x14ac:dyDescent="0.25">
      <c r="M18177" s="34">
        <f t="shared" si="459"/>
        <v>0</v>
      </c>
    </row>
    <row r="18178" spans="13:13" x14ac:dyDescent="0.25">
      <c r="M18178" s="34">
        <f t="shared" si="459"/>
        <v>0</v>
      </c>
    </row>
    <row r="18179" spans="13:13" x14ac:dyDescent="0.25">
      <c r="M18179" s="34">
        <f t="shared" ref="M18179:M18242" si="460">IF(AND(E18179="Chèque",G18179="RECETTE"),F18179,0)</f>
        <v>0</v>
      </c>
    </row>
    <row r="18180" spans="13:13" x14ac:dyDescent="0.25">
      <c r="M18180" s="34">
        <f t="shared" si="460"/>
        <v>0</v>
      </c>
    </row>
    <row r="18181" spans="13:13" x14ac:dyDescent="0.25">
      <c r="M18181" s="34">
        <f t="shared" si="460"/>
        <v>0</v>
      </c>
    </row>
    <row r="18182" spans="13:13" x14ac:dyDescent="0.25">
      <c r="M18182" s="34">
        <f t="shared" si="460"/>
        <v>0</v>
      </c>
    </row>
    <row r="18183" spans="13:13" x14ac:dyDescent="0.25">
      <c r="M18183" s="34">
        <f t="shared" si="460"/>
        <v>0</v>
      </c>
    </row>
    <row r="18184" spans="13:13" x14ac:dyDescent="0.25">
      <c r="M18184" s="34">
        <f t="shared" si="460"/>
        <v>0</v>
      </c>
    </row>
    <row r="18185" spans="13:13" x14ac:dyDescent="0.25">
      <c r="M18185" s="34">
        <f t="shared" si="460"/>
        <v>0</v>
      </c>
    </row>
    <row r="18186" spans="13:13" x14ac:dyDescent="0.25">
      <c r="M18186" s="34">
        <f t="shared" si="460"/>
        <v>0</v>
      </c>
    </row>
    <row r="18187" spans="13:13" x14ac:dyDescent="0.25">
      <c r="M18187" s="34">
        <f t="shared" si="460"/>
        <v>0</v>
      </c>
    </row>
    <row r="18188" spans="13:13" x14ac:dyDescent="0.25">
      <c r="M18188" s="34">
        <f t="shared" si="460"/>
        <v>0</v>
      </c>
    </row>
    <row r="18189" spans="13:13" x14ac:dyDescent="0.25">
      <c r="M18189" s="34">
        <f t="shared" si="460"/>
        <v>0</v>
      </c>
    </row>
    <row r="18190" spans="13:13" x14ac:dyDescent="0.25">
      <c r="M18190" s="34">
        <f t="shared" si="460"/>
        <v>0</v>
      </c>
    </row>
    <row r="18191" spans="13:13" x14ac:dyDescent="0.25">
      <c r="M18191" s="34">
        <f t="shared" si="460"/>
        <v>0</v>
      </c>
    </row>
    <row r="18192" spans="13:13" x14ac:dyDescent="0.25">
      <c r="M18192" s="34">
        <f t="shared" si="460"/>
        <v>0</v>
      </c>
    </row>
    <row r="18193" spans="13:13" x14ac:dyDescent="0.25">
      <c r="M18193" s="34">
        <f t="shared" si="460"/>
        <v>0</v>
      </c>
    </row>
    <row r="18194" spans="13:13" x14ac:dyDescent="0.25">
      <c r="M18194" s="34">
        <f t="shared" si="460"/>
        <v>0</v>
      </c>
    </row>
    <row r="18195" spans="13:13" x14ac:dyDescent="0.25">
      <c r="M18195" s="34">
        <f t="shared" si="460"/>
        <v>0</v>
      </c>
    </row>
    <row r="18196" spans="13:13" x14ac:dyDescent="0.25">
      <c r="M18196" s="34">
        <f t="shared" si="460"/>
        <v>0</v>
      </c>
    </row>
    <row r="18197" spans="13:13" x14ac:dyDescent="0.25">
      <c r="M18197" s="34">
        <f t="shared" si="460"/>
        <v>0</v>
      </c>
    </row>
    <row r="18198" spans="13:13" x14ac:dyDescent="0.25">
      <c r="M18198" s="34">
        <f t="shared" si="460"/>
        <v>0</v>
      </c>
    </row>
    <row r="18199" spans="13:13" x14ac:dyDescent="0.25">
      <c r="M18199" s="34">
        <f t="shared" si="460"/>
        <v>0</v>
      </c>
    </row>
    <row r="18200" spans="13:13" x14ac:dyDescent="0.25">
      <c r="M18200" s="34">
        <f t="shared" si="460"/>
        <v>0</v>
      </c>
    </row>
    <row r="18201" spans="13:13" x14ac:dyDescent="0.25">
      <c r="M18201" s="34">
        <f t="shared" si="460"/>
        <v>0</v>
      </c>
    </row>
    <row r="18202" spans="13:13" x14ac:dyDescent="0.25">
      <c r="M18202" s="34">
        <f t="shared" si="460"/>
        <v>0</v>
      </c>
    </row>
    <row r="18203" spans="13:13" x14ac:dyDescent="0.25">
      <c r="M18203" s="34">
        <f t="shared" si="460"/>
        <v>0</v>
      </c>
    </row>
    <row r="18204" spans="13:13" x14ac:dyDescent="0.25">
      <c r="M18204" s="34">
        <f t="shared" si="460"/>
        <v>0</v>
      </c>
    </row>
    <row r="18205" spans="13:13" x14ac:dyDescent="0.25">
      <c r="M18205" s="34">
        <f t="shared" si="460"/>
        <v>0</v>
      </c>
    </row>
    <row r="18206" spans="13:13" x14ac:dyDescent="0.25">
      <c r="M18206" s="34">
        <f t="shared" si="460"/>
        <v>0</v>
      </c>
    </row>
    <row r="18207" spans="13:13" x14ac:dyDescent="0.25">
      <c r="M18207" s="34">
        <f t="shared" si="460"/>
        <v>0</v>
      </c>
    </row>
    <row r="18208" spans="13:13" x14ac:dyDescent="0.25">
      <c r="M18208" s="34">
        <f t="shared" si="460"/>
        <v>0</v>
      </c>
    </row>
    <row r="18209" spans="13:13" x14ac:dyDescent="0.25">
      <c r="M18209" s="34">
        <f t="shared" si="460"/>
        <v>0</v>
      </c>
    </row>
    <row r="18210" spans="13:13" x14ac:dyDescent="0.25">
      <c r="M18210" s="34">
        <f t="shared" si="460"/>
        <v>0</v>
      </c>
    </row>
    <row r="18211" spans="13:13" x14ac:dyDescent="0.25">
      <c r="M18211" s="34">
        <f t="shared" si="460"/>
        <v>0</v>
      </c>
    </row>
    <row r="18212" spans="13:13" x14ac:dyDescent="0.25">
      <c r="M18212" s="34">
        <f t="shared" si="460"/>
        <v>0</v>
      </c>
    </row>
    <row r="18213" spans="13:13" x14ac:dyDescent="0.25">
      <c r="M18213" s="34">
        <f t="shared" si="460"/>
        <v>0</v>
      </c>
    </row>
    <row r="18214" spans="13:13" x14ac:dyDescent="0.25">
      <c r="M18214" s="34">
        <f t="shared" si="460"/>
        <v>0</v>
      </c>
    </row>
    <row r="18215" spans="13:13" x14ac:dyDescent="0.25">
      <c r="M18215" s="34">
        <f t="shared" si="460"/>
        <v>0</v>
      </c>
    </row>
    <row r="18216" spans="13:13" x14ac:dyDescent="0.25">
      <c r="M18216" s="34">
        <f t="shared" si="460"/>
        <v>0</v>
      </c>
    </row>
    <row r="18217" spans="13:13" x14ac:dyDescent="0.25">
      <c r="M18217" s="34">
        <f t="shared" si="460"/>
        <v>0</v>
      </c>
    </row>
    <row r="18218" spans="13:13" x14ac:dyDescent="0.25">
      <c r="M18218" s="34">
        <f t="shared" si="460"/>
        <v>0</v>
      </c>
    </row>
    <row r="18219" spans="13:13" x14ac:dyDescent="0.25">
      <c r="M18219" s="34">
        <f t="shared" si="460"/>
        <v>0</v>
      </c>
    </row>
    <row r="18220" spans="13:13" x14ac:dyDescent="0.25">
      <c r="M18220" s="34">
        <f t="shared" si="460"/>
        <v>0</v>
      </c>
    </row>
    <row r="18221" spans="13:13" x14ac:dyDescent="0.25">
      <c r="M18221" s="34">
        <f t="shared" si="460"/>
        <v>0</v>
      </c>
    </row>
    <row r="18222" spans="13:13" x14ac:dyDescent="0.25">
      <c r="M18222" s="34">
        <f t="shared" si="460"/>
        <v>0</v>
      </c>
    </row>
    <row r="18223" spans="13:13" x14ac:dyDescent="0.25">
      <c r="M18223" s="34">
        <f t="shared" si="460"/>
        <v>0</v>
      </c>
    </row>
    <row r="18224" spans="13:13" x14ac:dyDescent="0.25">
      <c r="M18224" s="34">
        <f t="shared" si="460"/>
        <v>0</v>
      </c>
    </row>
    <row r="18225" spans="13:13" x14ac:dyDescent="0.25">
      <c r="M18225" s="34">
        <f t="shared" si="460"/>
        <v>0</v>
      </c>
    </row>
    <row r="18226" spans="13:13" x14ac:dyDescent="0.25">
      <c r="M18226" s="34">
        <f t="shared" si="460"/>
        <v>0</v>
      </c>
    </row>
    <row r="18227" spans="13:13" x14ac:dyDescent="0.25">
      <c r="M18227" s="34">
        <f t="shared" si="460"/>
        <v>0</v>
      </c>
    </row>
    <row r="18228" spans="13:13" x14ac:dyDescent="0.25">
      <c r="M18228" s="34">
        <f t="shared" si="460"/>
        <v>0</v>
      </c>
    </row>
    <row r="18229" spans="13:13" x14ac:dyDescent="0.25">
      <c r="M18229" s="34">
        <f t="shared" si="460"/>
        <v>0</v>
      </c>
    </row>
    <row r="18230" spans="13:13" x14ac:dyDescent="0.25">
      <c r="M18230" s="34">
        <f t="shared" si="460"/>
        <v>0</v>
      </c>
    </row>
    <row r="18231" spans="13:13" x14ac:dyDescent="0.25">
      <c r="M18231" s="34">
        <f t="shared" si="460"/>
        <v>0</v>
      </c>
    </row>
    <row r="18232" spans="13:13" x14ac:dyDescent="0.25">
      <c r="M18232" s="34">
        <f t="shared" si="460"/>
        <v>0</v>
      </c>
    </row>
    <row r="18233" spans="13:13" x14ac:dyDescent="0.25">
      <c r="M18233" s="34">
        <f t="shared" si="460"/>
        <v>0</v>
      </c>
    </row>
    <row r="18234" spans="13:13" x14ac:dyDescent="0.25">
      <c r="M18234" s="34">
        <f t="shared" si="460"/>
        <v>0</v>
      </c>
    </row>
    <row r="18235" spans="13:13" x14ac:dyDescent="0.25">
      <c r="M18235" s="34">
        <f t="shared" si="460"/>
        <v>0</v>
      </c>
    </row>
    <row r="18236" spans="13:13" x14ac:dyDescent="0.25">
      <c r="M18236" s="34">
        <f t="shared" si="460"/>
        <v>0</v>
      </c>
    </row>
    <row r="18237" spans="13:13" x14ac:dyDescent="0.25">
      <c r="M18237" s="34">
        <f t="shared" si="460"/>
        <v>0</v>
      </c>
    </row>
    <row r="18238" spans="13:13" x14ac:dyDescent="0.25">
      <c r="M18238" s="34">
        <f t="shared" si="460"/>
        <v>0</v>
      </c>
    </row>
    <row r="18239" spans="13:13" x14ac:dyDescent="0.25">
      <c r="M18239" s="34">
        <f t="shared" si="460"/>
        <v>0</v>
      </c>
    </row>
    <row r="18240" spans="13:13" x14ac:dyDescent="0.25">
      <c r="M18240" s="34">
        <f t="shared" si="460"/>
        <v>0</v>
      </c>
    </row>
    <row r="18241" spans="13:13" x14ac:dyDescent="0.25">
      <c r="M18241" s="34">
        <f t="shared" si="460"/>
        <v>0</v>
      </c>
    </row>
    <row r="18242" spans="13:13" x14ac:dyDescent="0.25">
      <c r="M18242" s="34">
        <f t="shared" si="460"/>
        <v>0</v>
      </c>
    </row>
    <row r="18243" spans="13:13" x14ac:dyDescent="0.25">
      <c r="M18243" s="34">
        <f t="shared" ref="M18243:M18306" si="461">IF(AND(E18243="Chèque",G18243="RECETTE"),F18243,0)</f>
        <v>0</v>
      </c>
    </row>
    <row r="18244" spans="13:13" x14ac:dyDescent="0.25">
      <c r="M18244" s="34">
        <f t="shared" si="461"/>
        <v>0</v>
      </c>
    </row>
    <row r="18245" spans="13:13" x14ac:dyDescent="0.25">
      <c r="M18245" s="34">
        <f t="shared" si="461"/>
        <v>0</v>
      </c>
    </row>
    <row r="18246" spans="13:13" x14ac:dyDescent="0.25">
      <c r="M18246" s="34">
        <f t="shared" si="461"/>
        <v>0</v>
      </c>
    </row>
    <row r="18247" spans="13:13" x14ac:dyDescent="0.25">
      <c r="M18247" s="34">
        <f t="shared" si="461"/>
        <v>0</v>
      </c>
    </row>
    <row r="18248" spans="13:13" x14ac:dyDescent="0.25">
      <c r="M18248" s="34">
        <f t="shared" si="461"/>
        <v>0</v>
      </c>
    </row>
    <row r="18249" spans="13:13" x14ac:dyDescent="0.25">
      <c r="M18249" s="34">
        <f t="shared" si="461"/>
        <v>0</v>
      </c>
    </row>
    <row r="18250" spans="13:13" x14ac:dyDescent="0.25">
      <c r="M18250" s="34">
        <f t="shared" si="461"/>
        <v>0</v>
      </c>
    </row>
    <row r="18251" spans="13:13" x14ac:dyDescent="0.25">
      <c r="M18251" s="34">
        <f t="shared" si="461"/>
        <v>0</v>
      </c>
    </row>
    <row r="18252" spans="13:13" x14ac:dyDescent="0.25">
      <c r="M18252" s="34">
        <f t="shared" si="461"/>
        <v>0</v>
      </c>
    </row>
    <row r="18253" spans="13:13" x14ac:dyDescent="0.25">
      <c r="M18253" s="34">
        <f t="shared" si="461"/>
        <v>0</v>
      </c>
    </row>
    <row r="18254" spans="13:13" x14ac:dyDescent="0.25">
      <c r="M18254" s="34">
        <f t="shared" si="461"/>
        <v>0</v>
      </c>
    </row>
    <row r="18255" spans="13:13" x14ac:dyDescent="0.25">
      <c r="M18255" s="34">
        <f t="shared" si="461"/>
        <v>0</v>
      </c>
    </row>
    <row r="18256" spans="13:13" x14ac:dyDescent="0.25">
      <c r="M18256" s="34">
        <f t="shared" si="461"/>
        <v>0</v>
      </c>
    </row>
    <row r="18257" spans="13:13" x14ac:dyDescent="0.25">
      <c r="M18257" s="34">
        <f t="shared" si="461"/>
        <v>0</v>
      </c>
    </row>
    <row r="18258" spans="13:13" x14ac:dyDescent="0.25">
      <c r="M18258" s="34">
        <f t="shared" si="461"/>
        <v>0</v>
      </c>
    </row>
    <row r="18259" spans="13:13" x14ac:dyDescent="0.25">
      <c r="M18259" s="34">
        <f t="shared" si="461"/>
        <v>0</v>
      </c>
    </row>
    <row r="18260" spans="13:13" x14ac:dyDescent="0.25">
      <c r="M18260" s="34">
        <f t="shared" si="461"/>
        <v>0</v>
      </c>
    </row>
    <row r="18261" spans="13:13" x14ac:dyDescent="0.25">
      <c r="M18261" s="34">
        <f t="shared" si="461"/>
        <v>0</v>
      </c>
    </row>
    <row r="18262" spans="13:13" x14ac:dyDescent="0.25">
      <c r="M18262" s="34">
        <f t="shared" si="461"/>
        <v>0</v>
      </c>
    </row>
    <row r="18263" spans="13:13" x14ac:dyDescent="0.25">
      <c r="M18263" s="34">
        <f t="shared" si="461"/>
        <v>0</v>
      </c>
    </row>
    <row r="18264" spans="13:13" x14ac:dyDescent="0.25">
      <c r="M18264" s="34">
        <f t="shared" si="461"/>
        <v>0</v>
      </c>
    </row>
    <row r="18265" spans="13:13" x14ac:dyDescent="0.25">
      <c r="M18265" s="34">
        <f t="shared" si="461"/>
        <v>0</v>
      </c>
    </row>
    <row r="18266" spans="13:13" x14ac:dyDescent="0.25">
      <c r="M18266" s="34">
        <f t="shared" si="461"/>
        <v>0</v>
      </c>
    </row>
    <row r="18267" spans="13:13" x14ac:dyDescent="0.25">
      <c r="M18267" s="34">
        <f t="shared" si="461"/>
        <v>0</v>
      </c>
    </row>
    <row r="18268" spans="13:13" x14ac:dyDescent="0.25">
      <c r="M18268" s="34">
        <f t="shared" si="461"/>
        <v>0</v>
      </c>
    </row>
    <row r="18269" spans="13:13" x14ac:dyDescent="0.25">
      <c r="M18269" s="34">
        <f t="shared" si="461"/>
        <v>0</v>
      </c>
    </row>
    <row r="18270" spans="13:13" x14ac:dyDescent="0.25">
      <c r="M18270" s="34">
        <f t="shared" si="461"/>
        <v>0</v>
      </c>
    </row>
    <row r="18271" spans="13:13" x14ac:dyDescent="0.25">
      <c r="M18271" s="34">
        <f t="shared" si="461"/>
        <v>0</v>
      </c>
    </row>
    <row r="18272" spans="13:13" x14ac:dyDescent="0.25">
      <c r="M18272" s="34">
        <f t="shared" si="461"/>
        <v>0</v>
      </c>
    </row>
    <row r="18273" spans="13:13" x14ac:dyDescent="0.25">
      <c r="M18273" s="34">
        <f t="shared" si="461"/>
        <v>0</v>
      </c>
    </row>
    <row r="18274" spans="13:13" x14ac:dyDescent="0.25">
      <c r="M18274" s="34">
        <f t="shared" si="461"/>
        <v>0</v>
      </c>
    </row>
    <row r="18275" spans="13:13" x14ac:dyDescent="0.25">
      <c r="M18275" s="34">
        <f t="shared" si="461"/>
        <v>0</v>
      </c>
    </row>
    <row r="18276" spans="13:13" x14ac:dyDescent="0.25">
      <c r="M18276" s="34">
        <f t="shared" si="461"/>
        <v>0</v>
      </c>
    </row>
    <row r="18277" spans="13:13" x14ac:dyDescent="0.25">
      <c r="M18277" s="34">
        <f t="shared" si="461"/>
        <v>0</v>
      </c>
    </row>
    <row r="18278" spans="13:13" x14ac:dyDescent="0.25">
      <c r="M18278" s="34">
        <f t="shared" si="461"/>
        <v>0</v>
      </c>
    </row>
    <row r="18279" spans="13:13" x14ac:dyDescent="0.25">
      <c r="M18279" s="34">
        <f t="shared" si="461"/>
        <v>0</v>
      </c>
    </row>
    <row r="18280" spans="13:13" x14ac:dyDescent="0.25">
      <c r="M18280" s="34">
        <f t="shared" si="461"/>
        <v>0</v>
      </c>
    </row>
    <row r="18281" spans="13:13" x14ac:dyDescent="0.25">
      <c r="M18281" s="34">
        <f t="shared" si="461"/>
        <v>0</v>
      </c>
    </row>
    <row r="18282" spans="13:13" x14ac:dyDescent="0.25">
      <c r="M18282" s="34">
        <f t="shared" si="461"/>
        <v>0</v>
      </c>
    </row>
    <row r="18283" spans="13:13" x14ac:dyDescent="0.25">
      <c r="M18283" s="34">
        <f t="shared" si="461"/>
        <v>0</v>
      </c>
    </row>
    <row r="18284" spans="13:13" x14ac:dyDescent="0.25">
      <c r="M18284" s="34">
        <f t="shared" si="461"/>
        <v>0</v>
      </c>
    </row>
    <row r="18285" spans="13:13" x14ac:dyDescent="0.25">
      <c r="M18285" s="34">
        <f t="shared" si="461"/>
        <v>0</v>
      </c>
    </row>
    <row r="18286" spans="13:13" x14ac:dyDescent="0.25">
      <c r="M18286" s="34">
        <f t="shared" si="461"/>
        <v>0</v>
      </c>
    </row>
    <row r="18287" spans="13:13" x14ac:dyDescent="0.25">
      <c r="M18287" s="34">
        <f t="shared" si="461"/>
        <v>0</v>
      </c>
    </row>
    <row r="18288" spans="13:13" x14ac:dyDescent="0.25">
      <c r="M18288" s="34">
        <f t="shared" si="461"/>
        <v>0</v>
      </c>
    </row>
    <row r="18289" spans="13:13" x14ac:dyDescent="0.25">
      <c r="M18289" s="34">
        <f t="shared" si="461"/>
        <v>0</v>
      </c>
    </row>
    <row r="18290" spans="13:13" x14ac:dyDescent="0.25">
      <c r="M18290" s="34">
        <f t="shared" si="461"/>
        <v>0</v>
      </c>
    </row>
    <row r="18291" spans="13:13" x14ac:dyDescent="0.25">
      <c r="M18291" s="34">
        <f t="shared" si="461"/>
        <v>0</v>
      </c>
    </row>
    <row r="18292" spans="13:13" x14ac:dyDescent="0.25">
      <c r="M18292" s="34">
        <f t="shared" si="461"/>
        <v>0</v>
      </c>
    </row>
    <row r="18293" spans="13:13" x14ac:dyDescent="0.25">
      <c r="M18293" s="34">
        <f t="shared" si="461"/>
        <v>0</v>
      </c>
    </row>
    <row r="18294" spans="13:13" x14ac:dyDescent="0.25">
      <c r="M18294" s="34">
        <f t="shared" si="461"/>
        <v>0</v>
      </c>
    </row>
    <row r="18295" spans="13:13" x14ac:dyDescent="0.25">
      <c r="M18295" s="34">
        <f t="shared" si="461"/>
        <v>0</v>
      </c>
    </row>
    <row r="18296" spans="13:13" x14ac:dyDescent="0.25">
      <c r="M18296" s="34">
        <f t="shared" si="461"/>
        <v>0</v>
      </c>
    </row>
    <row r="18297" spans="13:13" x14ac:dyDescent="0.25">
      <c r="M18297" s="34">
        <f t="shared" si="461"/>
        <v>0</v>
      </c>
    </row>
    <row r="18298" spans="13:13" x14ac:dyDescent="0.25">
      <c r="M18298" s="34">
        <f t="shared" si="461"/>
        <v>0</v>
      </c>
    </row>
    <row r="18299" spans="13:13" x14ac:dyDescent="0.25">
      <c r="M18299" s="34">
        <f t="shared" si="461"/>
        <v>0</v>
      </c>
    </row>
    <row r="18300" spans="13:13" x14ac:dyDescent="0.25">
      <c r="M18300" s="34">
        <f t="shared" si="461"/>
        <v>0</v>
      </c>
    </row>
    <row r="18301" spans="13:13" x14ac:dyDescent="0.25">
      <c r="M18301" s="34">
        <f t="shared" si="461"/>
        <v>0</v>
      </c>
    </row>
    <row r="18302" spans="13:13" x14ac:dyDescent="0.25">
      <c r="M18302" s="34">
        <f t="shared" si="461"/>
        <v>0</v>
      </c>
    </row>
    <row r="18303" spans="13:13" x14ac:dyDescent="0.25">
      <c r="M18303" s="34">
        <f t="shared" si="461"/>
        <v>0</v>
      </c>
    </row>
    <row r="18304" spans="13:13" x14ac:dyDescent="0.25">
      <c r="M18304" s="34">
        <f t="shared" si="461"/>
        <v>0</v>
      </c>
    </row>
    <row r="18305" spans="13:13" x14ac:dyDescent="0.25">
      <c r="M18305" s="34">
        <f t="shared" si="461"/>
        <v>0</v>
      </c>
    </row>
    <row r="18306" spans="13:13" x14ac:dyDescent="0.25">
      <c r="M18306" s="34">
        <f t="shared" si="461"/>
        <v>0</v>
      </c>
    </row>
    <row r="18307" spans="13:13" x14ac:dyDescent="0.25">
      <c r="M18307" s="34">
        <f t="shared" ref="M18307:M18370" si="462">IF(AND(E18307="Chèque",G18307="RECETTE"),F18307,0)</f>
        <v>0</v>
      </c>
    </row>
    <row r="18308" spans="13:13" x14ac:dyDescent="0.25">
      <c r="M18308" s="34">
        <f t="shared" si="462"/>
        <v>0</v>
      </c>
    </row>
    <row r="18309" spans="13:13" x14ac:dyDescent="0.25">
      <c r="M18309" s="34">
        <f t="shared" si="462"/>
        <v>0</v>
      </c>
    </row>
    <row r="18310" spans="13:13" x14ac:dyDescent="0.25">
      <c r="M18310" s="34">
        <f t="shared" si="462"/>
        <v>0</v>
      </c>
    </row>
    <row r="18311" spans="13:13" x14ac:dyDescent="0.25">
      <c r="M18311" s="34">
        <f t="shared" si="462"/>
        <v>0</v>
      </c>
    </row>
    <row r="18312" spans="13:13" x14ac:dyDescent="0.25">
      <c r="M18312" s="34">
        <f t="shared" si="462"/>
        <v>0</v>
      </c>
    </row>
    <row r="18313" spans="13:13" x14ac:dyDescent="0.25">
      <c r="M18313" s="34">
        <f t="shared" si="462"/>
        <v>0</v>
      </c>
    </row>
    <row r="18314" spans="13:13" x14ac:dyDescent="0.25">
      <c r="M18314" s="34">
        <f t="shared" si="462"/>
        <v>0</v>
      </c>
    </row>
    <row r="18315" spans="13:13" x14ac:dyDescent="0.25">
      <c r="M18315" s="34">
        <f t="shared" si="462"/>
        <v>0</v>
      </c>
    </row>
    <row r="18316" spans="13:13" x14ac:dyDescent="0.25">
      <c r="M18316" s="34">
        <f t="shared" si="462"/>
        <v>0</v>
      </c>
    </row>
    <row r="18317" spans="13:13" x14ac:dyDescent="0.25">
      <c r="M18317" s="34">
        <f t="shared" si="462"/>
        <v>0</v>
      </c>
    </row>
    <row r="18318" spans="13:13" x14ac:dyDescent="0.25">
      <c r="M18318" s="34">
        <f t="shared" si="462"/>
        <v>0</v>
      </c>
    </row>
    <row r="18319" spans="13:13" x14ac:dyDescent="0.25">
      <c r="M18319" s="34">
        <f t="shared" si="462"/>
        <v>0</v>
      </c>
    </row>
    <row r="18320" spans="13:13" x14ac:dyDescent="0.25">
      <c r="M18320" s="34">
        <f t="shared" si="462"/>
        <v>0</v>
      </c>
    </row>
    <row r="18321" spans="13:13" x14ac:dyDescent="0.25">
      <c r="M18321" s="34">
        <f t="shared" si="462"/>
        <v>0</v>
      </c>
    </row>
    <row r="18322" spans="13:13" x14ac:dyDescent="0.25">
      <c r="M18322" s="34">
        <f t="shared" si="462"/>
        <v>0</v>
      </c>
    </row>
    <row r="18323" spans="13:13" x14ac:dyDescent="0.25">
      <c r="M18323" s="34">
        <f t="shared" si="462"/>
        <v>0</v>
      </c>
    </row>
    <row r="18324" spans="13:13" x14ac:dyDescent="0.25">
      <c r="M18324" s="34">
        <f t="shared" si="462"/>
        <v>0</v>
      </c>
    </row>
    <row r="18325" spans="13:13" x14ac:dyDescent="0.25">
      <c r="M18325" s="34">
        <f t="shared" si="462"/>
        <v>0</v>
      </c>
    </row>
    <row r="18326" spans="13:13" x14ac:dyDescent="0.25">
      <c r="M18326" s="34">
        <f t="shared" si="462"/>
        <v>0</v>
      </c>
    </row>
    <row r="18327" spans="13:13" x14ac:dyDescent="0.25">
      <c r="M18327" s="34">
        <f t="shared" si="462"/>
        <v>0</v>
      </c>
    </row>
    <row r="18328" spans="13:13" x14ac:dyDescent="0.25">
      <c r="M18328" s="34">
        <f t="shared" si="462"/>
        <v>0</v>
      </c>
    </row>
    <row r="18329" spans="13:13" x14ac:dyDescent="0.25">
      <c r="M18329" s="34">
        <f t="shared" si="462"/>
        <v>0</v>
      </c>
    </row>
    <row r="18330" spans="13:13" x14ac:dyDescent="0.25">
      <c r="M18330" s="34">
        <f t="shared" si="462"/>
        <v>0</v>
      </c>
    </row>
    <row r="18331" spans="13:13" x14ac:dyDescent="0.25">
      <c r="M18331" s="34">
        <f t="shared" si="462"/>
        <v>0</v>
      </c>
    </row>
    <row r="18332" spans="13:13" x14ac:dyDescent="0.25">
      <c r="M18332" s="34">
        <f t="shared" si="462"/>
        <v>0</v>
      </c>
    </row>
    <row r="18333" spans="13:13" x14ac:dyDescent="0.25">
      <c r="M18333" s="34">
        <f t="shared" si="462"/>
        <v>0</v>
      </c>
    </row>
    <row r="18334" spans="13:13" x14ac:dyDescent="0.25">
      <c r="M18334" s="34">
        <f t="shared" si="462"/>
        <v>0</v>
      </c>
    </row>
    <row r="18335" spans="13:13" x14ac:dyDescent="0.25">
      <c r="M18335" s="34">
        <f t="shared" si="462"/>
        <v>0</v>
      </c>
    </row>
    <row r="18336" spans="13:13" x14ac:dyDescent="0.25">
      <c r="M18336" s="34">
        <f t="shared" si="462"/>
        <v>0</v>
      </c>
    </row>
    <row r="18337" spans="13:13" x14ac:dyDescent="0.25">
      <c r="M18337" s="34">
        <f t="shared" si="462"/>
        <v>0</v>
      </c>
    </row>
    <row r="18338" spans="13:13" x14ac:dyDescent="0.25">
      <c r="M18338" s="34">
        <f t="shared" si="462"/>
        <v>0</v>
      </c>
    </row>
    <row r="18339" spans="13:13" x14ac:dyDescent="0.25">
      <c r="M18339" s="34">
        <f t="shared" si="462"/>
        <v>0</v>
      </c>
    </row>
    <row r="18340" spans="13:13" x14ac:dyDescent="0.25">
      <c r="M18340" s="34">
        <f t="shared" si="462"/>
        <v>0</v>
      </c>
    </row>
    <row r="18341" spans="13:13" x14ac:dyDescent="0.25">
      <c r="M18341" s="34">
        <f t="shared" si="462"/>
        <v>0</v>
      </c>
    </row>
    <row r="18342" spans="13:13" x14ac:dyDescent="0.25">
      <c r="M18342" s="34">
        <f t="shared" si="462"/>
        <v>0</v>
      </c>
    </row>
    <row r="18343" spans="13:13" x14ac:dyDescent="0.25">
      <c r="M18343" s="34">
        <f t="shared" si="462"/>
        <v>0</v>
      </c>
    </row>
    <row r="18344" spans="13:13" x14ac:dyDescent="0.25">
      <c r="M18344" s="34">
        <f t="shared" si="462"/>
        <v>0</v>
      </c>
    </row>
    <row r="18345" spans="13:13" x14ac:dyDescent="0.25">
      <c r="M18345" s="34">
        <f t="shared" si="462"/>
        <v>0</v>
      </c>
    </row>
    <row r="18346" spans="13:13" x14ac:dyDescent="0.25">
      <c r="M18346" s="34">
        <f t="shared" si="462"/>
        <v>0</v>
      </c>
    </row>
    <row r="18347" spans="13:13" x14ac:dyDescent="0.25">
      <c r="M18347" s="34">
        <f t="shared" si="462"/>
        <v>0</v>
      </c>
    </row>
    <row r="18348" spans="13:13" x14ac:dyDescent="0.25">
      <c r="M18348" s="34">
        <f t="shared" si="462"/>
        <v>0</v>
      </c>
    </row>
    <row r="18349" spans="13:13" x14ac:dyDescent="0.25">
      <c r="M18349" s="34">
        <f t="shared" si="462"/>
        <v>0</v>
      </c>
    </row>
    <row r="18350" spans="13:13" x14ac:dyDescent="0.25">
      <c r="M18350" s="34">
        <f t="shared" si="462"/>
        <v>0</v>
      </c>
    </row>
    <row r="18351" spans="13:13" x14ac:dyDescent="0.25">
      <c r="M18351" s="34">
        <f t="shared" si="462"/>
        <v>0</v>
      </c>
    </row>
    <row r="18352" spans="13:13" x14ac:dyDescent="0.25">
      <c r="M18352" s="34">
        <f t="shared" si="462"/>
        <v>0</v>
      </c>
    </row>
    <row r="18353" spans="13:13" x14ac:dyDescent="0.25">
      <c r="M18353" s="34">
        <f t="shared" si="462"/>
        <v>0</v>
      </c>
    </row>
    <row r="18354" spans="13:13" x14ac:dyDescent="0.25">
      <c r="M18354" s="34">
        <f t="shared" si="462"/>
        <v>0</v>
      </c>
    </row>
    <row r="18355" spans="13:13" x14ac:dyDescent="0.25">
      <c r="M18355" s="34">
        <f t="shared" si="462"/>
        <v>0</v>
      </c>
    </row>
    <row r="18356" spans="13:13" x14ac:dyDescent="0.25">
      <c r="M18356" s="34">
        <f t="shared" si="462"/>
        <v>0</v>
      </c>
    </row>
    <row r="18357" spans="13:13" x14ac:dyDescent="0.25">
      <c r="M18357" s="34">
        <f t="shared" si="462"/>
        <v>0</v>
      </c>
    </row>
    <row r="18358" spans="13:13" x14ac:dyDescent="0.25">
      <c r="M18358" s="34">
        <f t="shared" si="462"/>
        <v>0</v>
      </c>
    </row>
    <row r="18359" spans="13:13" x14ac:dyDescent="0.25">
      <c r="M18359" s="34">
        <f t="shared" si="462"/>
        <v>0</v>
      </c>
    </row>
    <row r="18360" spans="13:13" x14ac:dyDescent="0.25">
      <c r="M18360" s="34">
        <f t="shared" si="462"/>
        <v>0</v>
      </c>
    </row>
    <row r="18361" spans="13:13" x14ac:dyDescent="0.25">
      <c r="M18361" s="34">
        <f t="shared" si="462"/>
        <v>0</v>
      </c>
    </row>
    <row r="18362" spans="13:13" x14ac:dyDescent="0.25">
      <c r="M18362" s="34">
        <f t="shared" si="462"/>
        <v>0</v>
      </c>
    </row>
    <row r="18363" spans="13:13" x14ac:dyDescent="0.25">
      <c r="M18363" s="34">
        <f t="shared" si="462"/>
        <v>0</v>
      </c>
    </row>
    <row r="18364" spans="13:13" x14ac:dyDescent="0.25">
      <c r="M18364" s="34">
        <f t="shared" si="462"/>
        <v>0</v>
      </c>
    </row>
    <row r="18365" spans="13:13" x14ac:dyDescent="0.25">
      <c r="M18365" s="34">
        <f t="shared" si="462"/>
        <v>0</v>
      </c>
    </row>
    <row r="18366" spans="13:13" x14ac:dyDescent="0.25">
      <c r="M18366" s="34">
        <f t="shared" si="462"/>
        <v>0</v>
      </c>
    </row>
    <row r="18367" spans="13:13" x14ac:dyDescent="0.25">
      <c r="M18367" s="34">
        <f t="shared" si="462"/>
        <v>0</v>
      </c>
    </row>
    <row r="18368" spans="13:13" x14ac:dyDescent="0.25">
      <c r="M18368" s="34">
        <f t="shared" si="462"/>
        <v>0</v>
      </c>
    </row>
    <row r="18369" spans="13:13" x14ac:dyDescent="0.25">
      <c r="M18369" s="34">
        <f t="shared" si="462"/>
        <v>0</v>
      </c>
    </row>
    <row r="18370" spans="13:13" x14ac:dyDescent="0.25">
      <c r="M18370" s="34">
        <f t="shared" si="462"/>
        <v>0</v>
      </c>
    </row>
    <row r="18371" spans="13:13" x14ac:dyDescent="0.25">
      <c r="M18371" s="34">
        <f t="shared" ref="M18371:M18434" si="463">IF(AND(E18371="Chèque",G18371="RECETTE"),F18371,0)</f>
        <v>0</v>
      </c>
    </row>
    <row r="18372" spans="13:13" x14ac:dyDescent="0.25">
      <c r="M18372" s="34">
        <f t="shared" si="463"/>
        <v>0</v>
      </c>
    </row>
    <row r="18373" spans="13:13" x14ac:dyDescent="0.25">
      <c r="M18373" s="34">
        <f t="shared" si="463"/>
        <v>0</v>
      </c>
    </row>
    <row r="18374" spans="13:13" x14ac:dyDescent="0.25">
      <c r="M18374" s="34">
        <f t="shared" si="463"/>
        <v>0</v>
      </c>
    </row>
    <row r="18375" spans="13:13" x14ac:dyDescent="0.25">
      <c r="M18375" s="34">
        <f t="shared" si="463"/>
        <v>0</v>
      </c>
    </row>
    <row r="18376" spans="13:13" x14ac:dyDescent="0.25">
      <c r="M18376" s="34">
        <f t="shared" si="463"/>
        <v>0</v>
      </c>
    </row>
    <row r="18377" spans="13:13" x14ac:dyDescent="0.25">
      <c r="M18377" s="34">
        <f t="shared" si="463"/>
        <v>0</v>
      </c>
    </row>
    <row r="18378" spans="13:13" x14ac:dyDescent="0.25">
      <c r="M18378" s="34">
        <f t="shared" si="463"/>
        <v>0</v>
      </c>
    </row>
    <row r="18379" spans="13:13" x14ac:dyDescent="0.25">
      <c r="M18379" s="34">
        <f t="shared" si="463"/>
        <v>0</v>
      </c>
    </row>
    <row r="18380" spans="13:13" x14ac:dyDescent="0.25">
      <c r="M18380" s="34">
        <f t="shared" si="463"/>
        <v>0</v>
      </c>
    </row>
    <row r="18381" spans="13:13" x14ac:dyDescent="0.25">
      <c r="M18381" s="34">
        <f t="shared" si="463"/>
        <v>0</v>
      </c>
    </row>
    <row r="18382" spans="13:13" x14ac:dyDescent="0.25">
      <c r="M18382" s="34">
        <f t="shared" si="463"/>
        <v>0</v>
      </c>
    </row>
    <row r="18383" spans="13:13" x14ac:dyDescent="0.25">
      <c r="M18383" s="34">
        <f t="shared" si="463"/>
        <v>0</v>
      </c>
    </row>
    <row r="18384" spans="13:13" x14ac:dyDescent="0.25">
      <c r="M18384" s="34">
        <f t="shared" si="463"/>
        <v>0</v>
      </c>
    </row>
    <row r="18385" spans="13:13" x14ac:dyDescent="0.25">
      <c r="M18385" s="34">
        <f t="shared" si="463"/>
        <v>0</v>
      </c>
    </row>
    <row r="18386" spans="13:13" x14ac:dyDescent="0.25">
      <c r="M18386" s="34">
        <f t="shared" si="463"/>
        <v>0</v>
      </c>
    </row>
    <row r="18387" spans="13:13" x14ac:dyDescent="0.25">
      <c r="M18387" s="34">
        <f t="shared" si="463"/>
        <v>0</v>
      </c>
    </row>
    <row r="18388" spans="13:13" x14ac:dyDescent="0.25">
      <c r="M18388" s="34">
        <f t="shared" si="463"/>
        <v>0</v>
      </c>
    </row>
    <row r="18389" spans="13:13" x14ac:dyDescent="0.25">
      <c r="M18389" s="34">
        <f t="shared" si="463"/>
        <v>0</v>
      </c>
    </row>
    <row r="18390" spans="13:13" x14ac:dyDescent="0.25">
      <c r="M18390" s="34">
        <f t="shared" si="463"/>
        <v>0</v>
      </c>
    </row>
    <row r="18391" spans="13:13" x14ac:dyDescent="0.25">
      <c r="M18391" s="34">
        <f t="shared" si="463"/>
        <v>0</v>
      </c>
    </row>
    <row r="18392" spans="13:13" x14ac:dyDescent="0.25">
      <c r="M18392" s="34">
        <f t="shared" si="463"/>
        <v>0</v>
      </c>
    </row>
    <row r="18393" spans="13:13" x14ac:dyDescent="0.25">
      <c r="M18393" s="34">
        <f t="shared" si="463"/>
        <v>0</v>
      </c>
    </row>
    <row r="18394" spans="13:13" x14ac:dyDescent="0.25">
      <c r="M18394" s="34">
        <f t="shared" si="463"/>
        <v>0</v>
      </c>
    </row>
    <row r="18395" spans="13:13" x14ac:dyDescent="0.25">
      <c r="M18395" s="34">
        <f t="shared" si="463"/>
        <v>0</v>
      </c>
    </row>
    <row r="18396" spans="13:13" x14ac:dyDescent="0.25">
      <c r="M18396" s="34">
        <f t="shared" si="463"/>
        <v>0</v>
      </c>
    </row>
    <row r="18397" spans="13:13" x14ac:dyDescent="0.25">
      <c r="M18397" s="34">
        <f t="shared" si="463"/>
        <v>0</v>
      </c>
    </row>
    <row r="18398" spans="13:13" x14ac:dyDescent="0.25">
      <c r="M18398" s="34">
        <f t="shared" si="463"/>
        <v>0</v>
      </c>
    </row>
    <row r="18399" spans="13:13" x14ac:dyDescent="0.25">
      <c r="M18399" s="34">
        <f t="shared" si="463"/>
        <v>0</v>
      </c>
    </row>
    <row r="18400" spans="13:13" x14ac:dyDescent="0.25">
      <c r="M18400" s="34">
        <f t="shared" si="463"/>
        <v>0</v>
      </c>
    </row>
    <row r="18401" spans="13:13" x14ac:dyDescent="0.25">
      <c r="M18401" s="34">
        <f t="shared" si="463"/>
        <v>0</v>
      </c>
    </row>
    <row r="18402" spans="13:13" x14ac:dyDescent="0.25">
      <c r="M18402" s="34">
        <f t="shared" si="463"/>
        <v>0</v>
      </c>
    </row>
    <row r="18403" spans="13:13" x14ac:dyDescent="0.25">
      <c r="M18403" s="34">
        <f t="shared" si="463"/>
        <v>0</v>
      </c>
    </row>
    <row r="18404" spans="13:13" x14ac:dyDescent="0.25">
      <c r="M18404" s="34">
        <f t="shared" si="463"/>
        <v>0</v>
      </c>
    </row>
    <row r="18405" spans="13:13" x14ac:dyDescent="0.25">
      <c r="M18405" s="34">
        <f t="shared" si="463"/>
        <v>0</v>
      </c>
    </row>
    <row r="18406" spans="13:13" x14ac:dyDescent="0.25">
      <c r="M18406" s="34">
        <f t="shared" si="463"/>
        <v>0</v>
      </c>
    </row>
    <row r="18407" spans="13:13" x14ac:dyDescent="0.25">
      <c r="M18407" s="34">
        <f t="shared" si="463"/>
        <v>0</v>
      </c>
    </row>
    <row r="18408" spans="13:13" x14ac:dyDescent="0.25">
      <c r="M18408" s="34">
        <f t="shared" si="463"/>
        <v>0</v>
      </c>
    </row>
    <row r="18409" spans="13:13" x14ac:dyDescent="0.25">
      <c r="M18409" s="34">
        <f t="shared" si="463"/>
        <v>0</v>
      </c>
    </row>
    <row r="18410" spans="13:13" x14ac:dyDescent="0.25">
      <c r="M18410" s="34">
        <f t="shared" si="463"/>
        <v>0</v>
      </c>
    </row>
    <row r="18411" spans="13:13" x14ac:dyDescent="0.25">
      <c r="M18411" s="34">
        <f t="shared" si="463"/>
        <v>0</v>
      </c>
    </row>
    <row r="18412" spans="13:13" x14ac:dyDescent="0.25">
      <c r="M18412" s="34">
        <f t="shared" si="463"/>
        <v>0</v>
      </c>
    </row>
    <row r="18413" spans="13:13" x14ac:dyDescent="0.25">
      <c r="M18413" s="34">
        <f t="shared" si="463"/>
        <v>0</v>
      </c>
    </row>
    <row r="18414" spans="13:13" x14ac:dyDescent="0.25">
      <c r="M18414" s="34">
        <f t="shared" si="463"/>
        <v>0</v>
      </c>
    </row>
    <row r="18415" spans="13:13" x14ac:dyDescent="0.25">
      <c r="M18415" s="34">
        <f t="shared" si="463"/>
        <v>0</v>
      </c>
    </row>
    <row r="18416" spans="13:13" x14ac:dyDescent="0.25">
      <c r="M18416" s="34">
        <f t="shared" si="463"/>
        <v>0</v>
      </c>
    </row>
    <row r="18417" spans="13:13" x14ac:dyDescent="0.25">
      <c r="M18417" s="34">
        <f t="shared" si="463"/>
        <v>0</v>
      </c>
    </row>
    <row r="18418" spans="13:13" x14ac:dyDescent="0.25">
      <c r="M18418" s="34">
        <f t="shared" si="463"/>
        <v>0</v>
      </c>
    </row>
    <row r="18419" spans="13:13" x14ac:dyDescent="0.25">
      <c r="M18419" s="34">
        <f t="shared" si="463"/>
        <v>0</v>
      </c>
    </row>
    <row r="18420" spans="13:13" x14ac:dyDescent="0.25">
      <c r="M18420" s="34">
        <f t="shared" si="463"/>
        <v>0</v>
      </c>
    </row>
    <row r="18421" spans="13:13" x14ac:dyDescent="0.25">
      <c r="M18421" s="34">
        <f t="shared" si="463"/>
        <v>0</v>
      </c>
    </row>
    <row r="18422" spans="13:13" x14ac:dyDescent="0.25">
      <c r="M18422" s="34">
        <f t="shared" si="463"/>
        <v>0</v>
      </c>
    </row>
    <row r="18423" spans="13:13" x14ac:dyDescent="0.25">
      <c r="M18423" s="34">
        <f t="shared" si="463"/>
        <v>0</v>
      </c>
    </row>
    <row r="18424" spans="13:13" x14ac:dyDescent="0.25">
      <c r="M18424" s="34">
        <f t="shared" si="463"/>
        <v>0</v>
      </c>
    </row>
    <row r="18425" spans="13:13" x14ac:dyDescent="0.25">
      <c r="M18425" s="34">
        <f t="shared" si="463"/>
        <v>0</v>
      </c>
    </row>
    <row r="18426" spans="13:13" x14ac:dyDescent="0.25">
      <c r="M18426" s="34">
        <f t="shared" si="463"/>
        <v>0</v>
      </c>
    </row>
    <row r="18427" spans="13:13" x14ac:dyDescent="0.25">
      <c r="M18427" s="34">
        <f t="shared" si="463"/>
        <v>0</v>
      </c>
    </row>
    <row r="18428" spans="13:13" x14ac:dyDescent="0.25">
      <c r="M18428" s="34">
        <f t="shared" si="463"/>
        <v>0</v>
      </c>
    </row>
    <row r="18429" spans="13:13" x14ac:dyDescent="0.25">
      <c r="M18429" s="34">
        <f t="shared" si="463"/>
        <v>0</v>
      </c>
    </row>
    <row r="18430" spans="13:13" x14ac:dyDescent="0.25">
      <c r="M18430" s="34">
        <f t="shared" si="463"/>
        <v>0</v>
      </c>
    </row>
    <row r="18431" spans="13:13" x14ac:dyDescent="0.25">
      <c r="M18431" s="34">
        <f t="shared" si="463"/>
        <v>0</v>
      </c>
    </row>
    <row r="18432" spans="13:13" x14ac:dyDescent="0.25">
      <c r="M18432" s="34">
        <f t="shared" si="463"/>
        <v>0</v>
      </c>
    </row>
    <row r="18433" spans="13:13" x14ac:dyDescent="0.25">
      <c r="M18433" s="34">
        <f t="shared" si="463"/>
        <v>0</v>
      </c>
    </row>
    <row r="18434" spans="13:13" x14ac:dyDescent="0.25">
      <c r="M18434" s="34">
        <f t="shared" si="463"/>
        <v>0</v>
      </c>
    </row>
    <row r="18435" spans="13:13" x14ac:dyDescent="0.25">
      <c r="M18435" s="34">
        <f t="shared" ref="M18435:M18498" si="464">IF(AND(E18435="Chèque",G18435="RECETTE"),F18435,0)</f>
        <v>0</v>
      </c>
    </row>
    <row r="18436" spans="13:13" x14ac:dyDescent="0.25">
      <c r="M18436" s="34">
        <f t="shared" si="464"/>
        <v>0</v>
      </c>
    </row>
    <row r="18437" spans="13:13" x14ac:dyDescent="0.25">
      <c r="M18437" s="34">
        <f t="shared" si="464"/>
        <v>0</v>
      </c>
    </row>
    <row r="18438" spans="13:13" x14ac:dyDescent="0.25">
      <c r="M18438" s="34">
        <f t="shared" si="464"/>
        <v>0</v>
      </c>
    </row>
    <row r="18439" spans="13:13" x14ac:dyDescent="0.25">
      <c r="M18439" s="34">
        <f t="shared" si="464"/>
        <v>0</v>
      </c>
    </row>
    <row r="18440" spans="13:13" x14ac:dyDescent="0.25">
      <c r="M18440" s="34">
        <f t="shared" si="464"/>
        <v>0</v>
      </c>
    </row>
    <row r="18441" spans="13:13" x14ac:dyDescent="0.25">
      <c r="M18441" s="34">
        <f t="shared" si="464"/>
        <v>0</v>
      </c>
    </row>
    <row r="18442" spans="13:13" x14ac:dyDescent="0.25">
      <c r="M18442" s="34">
        <f t="shared" si="464"/>
        <v>0</v>
      </c>
    </row>
    <row r="18443" spans="13:13" x14ac:dyDescent="0.25">
      <c r="M18443" s="34">
        <f t="shared" si="464"/>
        <v>0</v>
      </c>
    </row>
    <row r="18444" spans="13:13" x14ac:dyDescent="0.25">
      <c r="M18444" s="34">
        <f t="shared" si="464"/>
        <v>0</v>
      </c>
    </row>
    <row r="18445" spans="13:13" x14ac:dyDescent="0.25">
      <c r="M18445" s="34">
        <f t="shared" si="464"/>
        <v>0</v>
      </c>
    </row>
    <row r="18446" spans="13:13" x14ac:dyDescent="0.25">
      <c r="M18446" s="34">
        <f t="shared" si="464"/>
        <v>0</v>
      </c>
    </row>
    <row r="18447" spans="13:13" x14ac:dyDescent="0.25">
      <c r="M18447" s="34">
        <f t="shared" si="464"/>
        <v>0</v>
      </c>
    </row>
    <row r="18448" spans="13:13" x14ac:dyDescent="0.25">
      <c r="M18448" s="34">
        <f t="shared" si="464"/>
        <v>0</v>
      </c>
    </row>
    <row r="18449" spans="13:13" x14ac:dyDescent="0.25">
      <c r="M18449" s="34">
        <f t="shared" si="464"/>
        <v>0</v>
      </c>
    </row>
    <row r="18450" spans="13:13" x14ac:dyDescent="0.25">
      <c r="M18450" s="34">
        <f t="shared" si="464"/>
        <v>0</v>
      </c>
    </row>
    <row r="18451" spans="13:13" x14ac:dyDescent="0.25">
      <c r="M18451" s="34">
        <f t="shared" si="464"/>
        <v>0</v>
      </c>
    </row>
    <row r="18452" spans="13:13" x14ac:dyDescent="0.25">
      <c r="M18452" s="34">
        <f t="shared" si="464"/>
        <v>0</v>
      </c>
    </row>
    <row r="18453" spans="13:13" x14ac:dyDescent="0.25">
      <c r="M18453" s="34">
        <f t="shared" si="464"/>
        <v>0</v>
      </c>
    </row>
    <row r="18454" spans="13:13" x14ac:dyDescent="0.25">
      <c r="M18454" s="34">
        <f t="shared" si="464"/>
        <v>0</v>
      </c>
    </row>
    <row r="18455" spans="13:13" x14ac:dyDescent="0.25">
      <c r="M18455" s="34">
        <f t="shared" si="464"/>
        <v>0</v>
      </c>
    </row>
    <row r="18456" spans="13:13" x14ac:dyDescent="0.25">
      <c r="M18456" s="34">
        <f t="shared" si="464"/>
        <v>0</v>
      </c>
    </row>
    <row r="18457" spans="13:13" x14ac:dyDescent="0.25">
      <c r="M18457" s="34">
        <f t="shared" si="464"/>
        <v>0</v>
      </c>
    </row>
    <row r="18458" spans="13:13" x14ac:dyDescent="0.25">
      <c r="M18458" s="34">
        <f t="shared" si="464"/>
        <v>0</v>
      </c>
    </row>
    <row r="18459" spans="13:13" x14ac:dyDescent="0.25">
      <c r="M18459" s="34">
        <f t="shared" si="464"/>
        <v>0</v>
      </c>
    </row>
    <row r="18460" spans="13:13" x14ac:dyDescent="0.25">
      <c r="M18460" s="34">
        <f t="shared" si="464"/>
        <v>0</v>
      </c>
    </row>
    <row r="18461" spans="13:13" x14ac:dyDescent="0.25">
      <c r="M18461" s="34">
        <f t="shared" si="464"/>
        <v>0</v>
      </c>
    </row>
    <row r="18462" spans="13:13" x14ac:dyDescent="0.25">
      <c r="M18462" s="34">
        <f t="shared" si="464"/>
        <v>0</v>
      </c>
    </row>
    <row r="18463" spans="13:13" x14ac:dyDescent="0.25">
      <c r="M18463" s="34">
        <f t="shared" si="464"/>
        <v>0</v>
      </c>
    </row>
    <row r="18464" spans="13:13" x14ac:dyDescent="0.25">
      <c r="M18464" s="34">
        <f t="shared" si="464"/>
        <v>0</v>
      </c>
    </row>
    <row r="18465" spans="13:13" x14ac:dyDescent="0.25">
      <c r="M18465" s="34">
        <f t="shared" si="464"/>
        <v>0</v>
      </c>
    </row>
    <row r="18466" spans="13:13" x14ac:dyDescent="0.25">
      <c r="M18466" s="34">
        <f t="shared" si="464"/>
        <v>0</v>
      </c>
    </row>
    <row r="18467" spans="13:13" x14ac:dyDescent="0.25">
      <c r="M18467" s="34">
        <f t="shared" si="464"/>
        <v>0</v>
      </c>
    </row>
    <row r="18468" spans="13:13" x14ac:dyDescent="0.25">
      <c r="M18468" s="34">
        <f t="shared" si="464"/>
        <v>0</v>
      </c>
    </row>
    <row r="18469" spans="13:13" x14ac:dyDescent="0.25">
      <c r="M18469" s="34">
        <f t="shared" si="464"/>
        <v>0</v>
      </c>
    </row>
    <row r="18470" spans="13:13" x14ac:dyDescent="0.25">
      <c r="M18470" s="34">
        <f t="shared" si="464"/>
        <v>0</v>
      </c>
    </row>
    <row r="18471" spans="13:13" x14ac:dyDescent="0.25">
      <c r="M18471" s="34">
        <f t="shared" si="464"/>
        <v>0</v>
      </c>
    </row>
    <row r="18472" spans="13:13" x14ac:dyDescent="0.25">
      <c r="M18472" s="34">
        <f t="shared" si="464"/>
        <v>0</v>
      </c>
    </row>
    <row r="18473" spans="13:13" x14ac:dyDescent="0.25">
      <c r="M18473" s="34">
        <f t="shared" si="464"/>
        <v>0</v>
      </c>
    </row>
    <row r="18474" spans="13:13" x14ac:dyDescent="0.25">
      <c r="M18474" s="34">
        <f t="shared" si="464"/>
        <v>0</v>
      </c>
    </row>
    <row r="18475" spans="13:13" x14ac:dyDescent="0.25">
      <c r="M18475" s="34">
        <f t="shared" si="464"/>
        <v>0</v>
      </c>
    </row>
    <row r="18476" spans="13:13" x14ac:dyDescent="0.25">
      <c r="M18476" s="34">
        <f t="shared" si="464"/>
        <v>0</v>
      </c>
    </row>
    <row r="18477" spans="13:13" x14ac:dyDescent="0.25">
      <c r="M18477" s="34">
        <f t="shared" si="464"/>
        <v>0</v>
      </c>
    </row>
    <row r="18478" spans="13:13" x14ac:dyDescent="0.25">
      <c r="M18478" s="34">
        <f t="shared" si="464"/>
        <v>0</v>
      </c>
    </row>
    <row r="18479" spans="13:13" x14ac:dyDescent="0.25">
      <c r="M18479" s="34">
        <f t="shared" si="464"/>
        <v>0</v>
      </c>
    </row>
    <row r="18480" spans="13:13" x14ac:dyDescent="0.25">
      <c r="M18480" s="34">
        <f t="shared" si="464"/>
        <v>0</v>
      </c>
    </row>
    <row r="18481" spans="13:13" x14ac:dyDescent="0.25">
      <c r="M18481" s="34">
        <f t="shared" si="464"/>
        <v>0</v>
      </c>
    </row>
    <row r="18482" spans="13:13" x14ac:dyDescent="0.25">
      <c r="M18482" s="34">
        <f t="shared" si="464"/>
        <v>0</v>
      </c>
    </row>
    <row r="18483" spans="13:13" x14ac:dyDescent="0.25">
      <c r="M18483" s="34">
        <f t="shared" si="464"/>
        <v>0</v>
      </c>
    </row>
    <row r="18484" spans="13:13" x14ac:dyDescent="0.25">
      <c r="M18484" s="34">
        <f t="shared" si="464"/>
        <v>0</v>
      </c>
    </row>
    <row r="18485" spans="13:13" x14ac:dyDescent="0.25">
      <c r="M18485" s="34">
        <f t="shared" si="464"/>
        <v>0</v>
      </c>
    </row>
    <row r="18486" spans="13:13" x14ac:dyDescent="0.25">
      <c r="M18486" s="34">
        <f t="shared" si="464"/>
        <v>0</v>
      </c>
    </row>
    <row r="18487" spans="13:13" x14ac:dyDescent="0.25">
      <c r="M18487" s="34">
        <f t="shared" si="464"/>
        <v>0</v>
      </c>
    </row>
    <row r="18488" spans="13:13" x14ac:dyDescent="0.25">
      <c r="M18488" s="34">
        <f t="shared" si="464"/>
        <v>0</v>
      </c>
    </row>
    <row r="18489" spans="13:13" x14ac:dyDescent="0.25">
      <c r="M18489" s="34">
        <f t="shared" si="464"/>
        <v>0</v>
      </c>
    </row>
    <row r="18490" spans="13:13" x14ac:dyDescent="0.25">
      <c r="M18490" s="34">
        <f t="shared" si="464"/>
        <v>0</v>
      </c>
    </row>
    <row r="18491" spans="13:13" x14ac:dyDescent="0.25">
      <c r="M18491" s="34">
        <f t="shared" si="464"/>
        <v>0</v>
      </c>
    </row>
    <row r="18492" spans="13:13" x14ac:dyDescent="0.25">
      <c r="M18492" s="34">
        <f t="shared" si="464"/>
        <v>0</v>
      </c>
    </row>
    <row r="18493" spans="13:13" x14ac:dyDescent="0.25">
      <c r="M18493" s="34">
        <f t="shared" si="464"/>
        <v>0</v>
      </c>
    </row>
    <row r="18494" spans="13:13" x14ac:dyDescent="0.25">
      <c r="M18494" s="34">
        <f t="shared" si="464"/>
        <v>0</v>
      </c>
    </row>
    <row r="18495" spans="13:13" x14ac:dyDescent="0.25">
      <c r="M18495" s="34">
        <f t="shared" si="464"/>
        <v>0</v>
      </c>
    </row>
    <row r="18496" spans="13:13" x14ac:dyDescent="0.25">
      <c r="M18496" s="34">
        <f t="shared" si="464"/>
        <v>0</v>
      </c>
    </row>
    <row r="18497" spans="13:13" x14ac:dyDescent="0.25">
      <c r="M18497" s="34">
        <f t="shared" si="464"/>
        <v>0</v>
      </c>
    </row>
    <row r="18498" spans="13:13" x14ac:dyDescent="0.25">
      <c r="M18498" s="34">
        <f t="shared" si="464"/>
        <v>0</v>
      </c>
    </row>
    <row r="18499" spans="13:13" x14ac:dyDescent="0.25">
      <c r="M18499" s="34">
        <f t="shared" ref="M18499:M18562" si="465">IF(AND(E18499="Chèque",G18499="RECETTE"),F18499,0)</f>
        <v>0</v>
      </c>
    </row>
    <row r="18500" spans="13:13" x14ac:dyDescent="0.25">
      <c r="M18500" s="34">
        <f t="shared" si="465"/>
        <v>0</v>
      </c>
    </row>
    <row r="18501" spans="13:13" x14ac:dyDescent="0.25">
      <c r="M18501" s="34">
        <f t="shared" si="465"/>
        <v>0</v>
      </c>
    </row>
    <row r="18502" spans="13:13" x14ac:dyDescent="0.25">
      <c r="M18502" s="34">
        <f t="shared" si="465"/>
        <v>0</v>
      </c>
    </row>
    <row r="18503" spans="13:13" x14ac:dyDescent="0.25">
      <c r="M18503" s="34">
        <f t="shared" si="465"/>
        <v>0</v>
      </c>
    </row>
    <row r="18504" spans="13:13" x14ac:dyDescent="0.25">
      <c r="M18504" s="34">
        <f t="shared" si="465"/>
        <v>0</v>
      </c>
    </row>
    <row r="18505" spans="13:13" x14ac:dyDescent="0.25">
      <c r="M18505" s="34">
        <f t="shared" si="465"/>
        <v>0</v>
      </c>
    </row>
    <row r="18506" spans="13:13" x14ac:dyDescent="0.25">
      <c r="M18506" s="34">
        <f t="shared" si="465"/>
        <v>0</v>
      </c>
    </row>
    <row r="18507" spans="13:13" x14ac:dyDescent="0.25">
      <c r="M18507" s="34">
        <f t="shared" si="465"/>
        <v>0</v>
      </c>
    </row>
    <row r="18508" spans="13:13" x14ac:dyDescent="0.25">
      <c r="M18508" s="34">
        <f t="shared" si="465"/>
        <v>0</v>
      </c>
    </row>
    <row r="18509" spans="13:13" x14ac:dyDescent="0.25">
      <c r="M18509" s="34">
        <f t="shared" si="465"/>
        <v>0</v>
      </c>
    </row>
    <row r="18510" spans="13:13" x14ac:dyDescent="0.25">
      <c r="M18510" s="34">
        <f t="shared" si="465"/>
        <v>0</v>
      </c>
    </row>
    <row r="18511" spans="13:13" x14ac:dyDescent="0.25">
      <c r="M18511" s="34">
        <f t="shared" si="465"/>
        <v>0</v>
      </c>
    </row>
    <row r="18512" spans="13:13" x14ac:dyDescent="0.25">
      <c r="M18512" s="34">
        <f t="shared" si="465"/>
        <v>0</v>
      </c>
    </row>
    <row r="18513" spans="13:13" x14ac:dyDescent="0.25">
      <c r="M18513" s="34">
        <f t="shared" si="465"/>
        <v>0</v>
      </c>
    </row>
    <row r="18514" spans="13:13" x14ac:dyDescent="0.25">
      <c r="M18514" s="34">
        <f t="shared" si="465"/>
        <v>0</v>
      </c>
    </row>
    <row r="18515" spans="13:13" x14ac:dyDescent="0.25">
      <c r="M18515" s="34">
        <f t="shared" si="465"/>
        <v>0</v>
      </c>
    </row>
    <row r="18516" spans="13:13" x14ac:dyDescent="0.25">
      <c r="M18516" s="34">
        <f t="shared" si="465"/>
        <v>0</v>
      </c>
    </row>
    <row r="18517" spans="13:13" x14ac:dyDescent="0.25">
      <c r="M18517" s="34">
        <f t="shared" si="465"/>
        <v>0</v>
      </c>
    </row>
    <row r="18518" spans="13:13" x14ac:dyDescent="0.25">
      <c r="M18518" s="34">
        <f t="shared" si="465"/>
        <v>0</v>
      </c>
    </row>
    <row r="18519" spans="13:13" x14ac:dyDescent="0.25">
      <c r="M18519" s="34">
        <f t="shared" si="465"/>
        <v>0</v>
      </c>
    </row>
    <row r="18520" spans="13:13" x14ac:dyDescent="0.25">
      <c r="M18520" s="34">
        <f t="shared" si="465"/>
        <v>0</v>
      </c>
    </row>
    <row r="18521" spans="13:13" x14ac:dyDescent="0.25">
      <c r="M18521" s="34">
        <f t="shared" si="465"/>
        <v>0</v>
      </c>
    </row>
    <row r="18522" spans="13:13" x14ac:dyDescent="0.25">
      <c r="M18522" s="34">
        <f t="shared" si="465"/>
        <v>0</v>
      </c>
    </row>
    <row r="18523" spans="13:13" x14ac:dyDescent="0.25">
      <c r="M18523" s="34">
        <f t="shared" si="465"/>
        <v>0</v>
      </c>
    </row>
    <row r="18524" spans="13:13" x14ac:dyDescent="0.25">
      <c r="M18524" s="34">
        <f t="shared" si="465"/>
        <v>0</v>
      </c>
    </row>
    <row r="18525" spans="13:13" x14ac:dyDescent="0.25">
      <c r="M18525" s="34">
        <f t="shared" si="465"/>
        <v>0</v>
      </c>
    </row>
    <row r="18526" spans="13:13" x14ac:dyDescent="0.25">
      <c r="M18526" s="34">
        <f t="shared" si="465"/>
        <v>0</v>
      </c>
    </row>
    <row r="18527" spans="13:13" x14ac:dyDescent="0.25">
      <c r="M18527" s="34">
        <f t="shared" si="465"/>
        <v>0</v>
      </c>
    </row>
    <row r="18528" spans="13:13" x14ac:dyDescent="0.25">
      <c r="M18528" s="34">
        <f t="shared" si="465"/>
        <v>0</v>
      </c>
    </row>
    <row r="18529" spans="13:13" x14ac:dyDescent="0.25">
      <c r="M18529" s="34">
        <f t="shared" si="465"/>
        <v>0</v>
      </c>
    </row>
    <row r="18530" spans="13:13" x14ac:dyDescent="0.25">
      <c r="M18530" s="34">
        <f t="shared" si="465"/>
        <v>0</v>
      </c>
    </row>
    <row r="18531" spans="13:13" x14ac:dyDescent="0.25">
      <c r="M18531" s="34">
        <f t="shared" si="465"/>
        <v>0</v>
      </c>
    </row>
    <row r="18532" spans="13:13" x14ac:dyDescent="0.25">
      <c r="M18532" s="34">
        <f t="shared" si="465"/>
        <v>0</v>
      </c>
    </row>
    <row r="18533" spans="13:13" x14ac:dyDescent="0.25">
      <c r="M18533" s="34">
        <f t="shared" si="465"/>
        <v>0</v>
      </c>
    </row>
    <row r="18534" spans="13:13" x14ac:dyDescent="0.25">
      <c r="M18534" s="34">
        <f t="shared" si="465"/>
        <v>0</v>
      </c>
    </row>
    <row r="18535" spans="13:13" x14ac:dyDescent="0.25">
      <c r="M18535" s="34">
        <f t="shared" si="465"/>
        <v>0</v>
      </c>
    </row>
    <row r="18536" spans="13:13" x14ac:dyDescent="0.25">
      <c r="M18536" s="34">
        <f t="shared" si="465"/>
        <v>0</v>
      </c>
    </row>
    <row r="18537" spans="13:13" x14ac:dyDescent="0.25">
      <c r="M18537" s="34">
        <f t="shared" si="465"/>
        <v>0</v>
      </c>
    </row>
    <row r="18538" spans="13:13" x14ac:dyDescent="0.25">
      <c r="M18538" s="34">
        <f t="shared" si="465"/>
        <v>0</v>
      </c>
    </row>
    <row r="18539" spans="13:13" x14ac:dyDescent="0.25">
      <c r="M18539" s="34">
        <f t="shared" si="465"/>
        <v>0</v>
      </c>
    </row>
    <row r="18540" spans="13:13" x14ac:dyDescent="0.25">
      <c r="M18540" s="34">
        <f t="shared" si="465"/>
        <v>0</v>
      </c>
    </row>
    <row r="18541" spans="13:13" x14ac:dyDescent="0.25">
      <c r="M18541" s="34">
        <f t="shared" si="465"/>
        <v>0</v>
      </c>
    </row>
    <row r="18542" spans="13:13" x14ac:dyDescent="0.25">
      <c r="M18542" s="34">
        <f t="shared" si="465"/>
        <v>0</v>
      </c>
    </row>
    <row r="18543" spans="13:13" x14ac:dyDescent="0.25">
      <c r="M18543" s="34">
        <f t="shared" si="465"/>
        <v>0</v>
      </c>
    </row>
    <row r="18544" spans="13:13" x14ac:dyDescent="0.25">
      <c r="M18544" s="34">
        <f t="shared" si="465"/>
        <v>0</v>
      </c>
    </row>
    <row r="18545" spans="13:13" x14ac:dyDescent="0.25">
      <c r="M18545" s="34">
        <f t="shared" si="465"/>
        <v>0</v>
      </c>
    </row>
    <row r="18546" spans="13:13" x14ac:dyDescent="0.25">
      <c r="M18546" s="34">
        <f t="shared" si="465"/>
        <v>0</v>
      </c>
    </row>
    <row r="18547" spans="13:13" x14ac:dyDescent="0.25">
      <c r="M18547" s="34">
        <f t="shared" si="465"/>
        <v>0</v>
      </c>
    </row>
    <row r="18548" spans="13:13" x14ac:dyDescent="0.25">
      <c r="M18548" s="34">
        <f t="shared" si="465"/>
        <v>0</v>
      </c>
    </row>
    <row r="18549" spans="13:13" x14ac:dyDescent="0.25">
      <c r="M18549" s="34">
        <f t="shared" si="465"/>
        <v>0</v>
      </c>
    </row>
    <row r="18550" spans="13:13" x14ac:dyDescent="0.25">
      <c r="M18550" s="34">
        <f t="shared" si="465"/>
        <v>0</v>
      </c>
    </row>
    <row r="18551" spans="13:13" x14ac:dyDescent="0.25">
      <c r="M18551" s="34">
        <f t="shared" si="465"/>
        <v>0</v>
      </c>
    </row>
    <row r="18552" spans="13:13" x14ac:dyDescent="0.25">
      <c r="M18552" s="34">
        <f t="shared" si="465"/>
        <v>0</v>
      </c>
    </row>
    <row r="18553" spans="13:13" x14ac:dyDescent="0.25">
      <c r="M18553" s="34">
        <f t="shared" si="465"/>
        <v>0</v>
      </c>
    </row>
    <row r="18554" spans="13:13" x14ac:dyDescent="0.25">
      <c r="M18554" s="34">
        <f t="shared" si="465"/>
        <v>0</v>
      </c>
    </row>
    <row r="18555" spans="13:13" x14ac:dyDescent="0.25">
      <c r="M18555" s="34">
        <f t="shared" si="465"/>
        <v>0</v>
      </c>
    </row>
    <row r="18556" spans="13:13" x14ac:dyDescent="0.25">
      <c r="M18556" s="34">
        <f t="shared" si="465"/>
        <v>0</v>
      </c>
    </row>
    <row r="18557" spans="13:13" x14ac:dyDescent="0.25">
      <c r="M18557" s="34">
        <f t="shared" si="465"/>
        <v>0</v>
      </c>
    </row>
    <row r="18558" spans="13:13" x14ac:dyDescent="0.25">
      <c r="M18558" s="34">
        <f t="shared" si="465"/>
        <v>0</v>
      </c>
    </row>
    <row r="18559" spans="13:13" x14ac:dyDescent="0.25">
      <c r="M18559" s="34">
        <f t="shared" si="465"/>
        <v>0</v>
      </c>
    </row>
    <row r="18560" spans="13:13" x14ac:dyDescent="0.25">
      <c r="M18560" s="34">
        <f t="shared" si="465"/>
        <v>0</v>
      </c>
    </row>
    <row r="18561" spans="13:13" x14ac:dyDescent="0.25">
      <c r="M18561" s="34">
        <f t="shared" si="465"/>
        <v>0</v>
      </c>
    </row>
    <row r="18562" spans="13:13" x14ac:dyDescent="0.25">
      <c r="M18562" s="34">
        <f t="shared" si="465"/>
        <v>0</v>
      </c>
    </row>
    <row r="18563" spans="13:13" x14ac:dyDescent="0.25">
      <c r="M18563" s="34">
        <f t="shared" ref="M18563:M18626" si="466">IF(AND(E18563="Chèque",G18563="RECETTE"),F18563,0)</f>
        <v>0</v>
      </c>
    </row>
    <row r="18564" spans="13:13" x14ac:dyDescent="0.25">
      <c r="M18564" s="34">
        <f t="shared" si="466"/>
        <v>0</v>
      </c>
    </row>
    <row r="18565" spans="13:13" x14ac:dyDescent="0.25">
      <c r="M18565" s="34">
        <f t="shared" si="466"/>
        <v>0</v>
      </c>
    </row>
    <row r="18566" spans="13:13" x14ac:dyDescent="0.25">
      <c r="M18566" s="34">
        <f t="shared" si="466"/>
        <v>0</v>
      </c>
    </row>
    <row r="18567" spans="13:13" x14ac:dyDescent="0.25">
      <c r="M18567" s="34">
        <f t="shared" si="466"/>
        <v>0</v>
      </c>
    </row>
    <row r="18568" spans="13:13" x14ac:dyDescent="0.25">
      <c r="M18568" s="34">
        <f t="shared" si="466"/>
        <v>0</v>
      </c>
    </row>
    <row r="18569" spans="13:13" x14ac:dyDescent="0.25">
      <c r="M18569" s="34">
        <f t="shared" si="466"/>
        <v>0</v>
      </c>
    </row>
    <row r="18570" spans="13:13" x14ac:dyDescent="0.25">
      <c r="M18570" s="34">
        <f t="shared" si="466"/>
        <v>0</v>
      </c>
    </row>
    <row r="18571" spans="13:13" x14ac:dyDescent="0.25">
      <c r="M18571" s="34">
        <f t="shared" si="466"/>
        <v>0</v>
      </c>
    </row>
    <row r="18572" spans="13:13" x14ac:dyDescent="0.25">
      <c r="M18572" s="34">
        <f t="shared" si="466"/>
        <v>0</v>
      </c>
    </row>
    <row r="18573" spans="13:13" x14ac:dyDescent="0.25">
      <c r="M18573" s="34">
        <f t="shared" si="466"/>
        <v>0</v>
      </c>
    </row>
    <row r="18574" spans="13:13" x14ac:dyDescent="0.25">
      <c r="M18574" s="34">
        <f t="shared" si="466"/>
        <v>0</v>
      </c>
    </row>
    <row r="18575" spans="13:13" x14ac:dyDescent="0.25">
      <c r="M18575" s="34">
        <f t="shared" si="466"/>
        <v>0</v>
      </c>
    </row>
    <row r="18576" spans="13:13" x14ac:dyDescent="0.25">
      <c r="M18576" s="34">
        <f t="shared" si="466"/>
        <v>0</v>
      </c>
    </row>
    <row r="18577" spans="13:13" x14ac:dyDescent="0.25">
      <c r="M18577" s="34">
        <f t="shared" si="466"/>
        <v>0</v>
      </c>
    </row>
    <row r="18578" spans="13:13" x14ac:dyDescent="0.25">
      <c r="M18578" s="34">
        <f t="shared" si="466"/>
        <v>0</v>
      </c>
    </row>
    <row r="18579" spans="13:13" x14ac:dyDescent="0.25">
      <c r="M18579" s="34">
        <f t="shared" si="466"/>
        <v>0</v>
      </c>
    </row>
    <row r="18580" spans="13:13" x14ac:dyDescent="0.25">
      <c r="M18580" s="34">
        <f t="shared" si="466"/>
        <v>0</v>
      </c>
    </row>
    <row r="18581" spans="13:13" x14ac:dyDescent="0.25">
      <c r="M18581" s="34">
        <f t="shared" si="466"/>
        <v>0</v>
      </c>
    </row>
    <row r="18582" spans="13:13" x14ac:dyDescent="0.25">
      <c r="M18582" s="34">
        <f t="shared" si="466"/>
        <v>0</v>
      </c>
    </row>
    <row r="18583" spans="13:13" x14ac:dyDescent="0.25">
      <c r="M18583" s="34">
        <f t="shared" si="466"/>
        <v>0</v>
      </c>
    </row>
    <row r="18584" spans="13:13" x14ac:dyDescent="0.25">
      <c r="M18584" s="34">
        <f t="shared" si="466"/>
        <v>0</v>
      </c>
    </row>
    <row r="18585" spans="13:13" x14ac:dyDescent="0.25">
      <c r="M18585" s="34">
        <f t="shared" si="466"/>
        <v>0</v>
      </c>
    </row>
    <row r="18586" spans="13:13" x14ac:dyDescent="0.25">
      <c r="M18586" s="34">
        <f t="shared" si="466"/>
        <v>0</v>
      </c>
    </row>
    <row r="18587" spans="13:13" x14ac:dyDescent="0.25">
      <c r="M18587" s="34">
        <f t="shared" si="466"/>
        <v>0</v>
      </c>
    </row>
    <row r="18588" spans="13:13" x14ac:dyDescent="0.25">
      <c r="M18588" s="34">
        <f t="shared" si="466"/>
        <v>0</v>
      </c>
    </row>
    <row r="18589" spans="13:13" x14ac:dyDescent="0.25">
      <c r="M18589" s="34">
        <f t="shared" si="466"/>
        <v>0</v>
      </c>
    </row>
    <row r="18590" spans="13:13" x14ac:dyDescent="0.25">
      <c r="M18590" s="34">
        <f t="shared" si="466"/>
        <v>0</v>
      </c>
    </row>
    <row r="18591" spans="13:13" x14ac:dyDescent="0.25">
      <c r="M18591" s="34">
        <f t="shared" si="466"/>
        <v>0</v>
      </c>
    </row>
    <row r="18592" spans="13:13" x14ac:dyDescent="0.25">
      <c r="M18592" s="34">
        <f t="shared" si="466"/>
        <v>0</v>
      </c>
    </row>
    <row r="18593" spans="13:13" x14ac:dyDescent="0.25">
      <c r="M18593" s="34">
        <f t="shared" si="466"/>
        <v>0</v>
      </c>
    </row>
    <row r="18594" spans="13:13" x14ac:dyDescent="0.25">
      <c r="M18594" s="34">
        <f t="shared" si="466"/>
        <v>0</v>
      </c>
    </row>
    <row r="18595" spans="13:13" x14ac:dyDescent="0.25">
      <c r="M18595" s="34">
        <f t="shared" si="466"/>
        <v>0</v>
      </c>
    </row>
    <row r="18596" spans="13:13" x14ac:dyDescent="0.25">
      <c r="M18596" s="34">
        <f t="shared" si="466"/>
        <v>0</v>
      </c>
    </row>
    <row r="18597" spans="13:13" x14ac:dyDescent="0.25">
      <c r="M18597" s="34">
        <f t="shared" si="466"/>
        <v>0</v>
      </c>
    </row>
    <row r="18598" spans="13:13" x14ac:dyDescent="0.25">
      <c r="M18598" s="34">
        <f t="shared" si="466"/>
        <v>0</v>
      </c>
    </row>
    <row r="18599" spans="13:13" x14ac:dyDescent="0.25">
      <c r="M18599" s="34">
        <f t="shared" si="466"/>
        <v>0</v>
      </c>
    </row>
    <row r="18600" spans="13:13" x14ac:dyDescent="0.25">
      <c r="M18600" s="34">
        <f t="shared" si="466"/>
        <v>0</v>
      </c>
    </row>
    <row r="18601" spans="13:13" x14ac:dyDescent="0.25">
      <c r="M18601" s="34">
        <f t="shared" si="466"/>
        <v>0</v>
      </c>
    </row>
    <row r="18602" spans="13:13" x14ac:dyDescent="0.25">
      <c r="M18602" s="34">
        <f t="shared" si="466"/>
        <v>0</v>
      </c>
    </row>
    <row r="18603" spans="13:13" x14ac:dyDescent="0.25">
      <c r="M18603" s="34">
        <f t="shared" si="466"/>
        <v>0</v>
      </c>
    </row>
    <row r="18604" spans="13:13" x14ac:dyDescent="0.25">
      <c r="M18604" s="34">
        <f t="shared" si="466"/>
        <v>0</v>
      </c>
    </row>
    <row r="18605" spans="13:13" x14ac:dyDescent="0.25">
      <c r="M18605" s="34">
        <f t="shared" si="466"/>
        <v>0</v>
      </c>
    </row>
    <row r="18606" spans="13:13" x14ac:dyDescent="0.25">
      <c r="M18606" s="34">
        <f t="shared" si="466"/>
        <v>0</v>
      </c>
    </row>
    <row r="18607" spans="13:13" x14ac:dyDescent="0.25">
      <c r="M18607" s="34">
        <f t="shared" si="466"/>
        <v>0</v>
      </c>
    </row>
    <row r="18608" spans="13:13" x14ac:dyDescent="0.25">
      <c r="M18608" s="34">
        <f t="shared" si="466"/>
        <v>0</v>
      </c>
    </row>
    <row r="18609" spans="13:13" x14ac:dyDescent="0.25">
      <c r="M18609" s="34">
        <f t="shared" si="466"/>
        <v>0</v>
      </c>
    </row>
    <row r="18610" spans="13:13" x14ac:dyDescent="0.25">
      <c r="M18610" s="34">
        <f t="shared" si="466"/>
        <v>0</v>
      </c>
    </row>
    <row r="18611" spans="13:13" x14ac:dyDescent="0.25">
      <c r="M18611" s="34">
        <f t="shared" si="466"/>
        <v>0</v>
      </c>
    </row>
    <row r="18612" spans="13:13" x14ac:dyDescent="0.25">
      <c r="M18612" s="34">
        <f t="shared" si="466"/>
        <v>0</v>
      </c>
    </row>
    <row r="18613" spans="13:13" x14ac:dyDescent="0.25">
      <c r="M18613" s="34">
        <f t="shared" si="466"/>
        <v>0</v>
      </c>
    </row>
    <row r="18614" spans="13:13" x14ac:dyDescent="0.25">
      <c r="M18614" s="34">
        <f t="shared" si="466"/>
        <v>0</v>
      </c>
    </row>
    <row r="18615" spans="13:13" x14ac:dyDescent="0.25">
      <c r="M18615" s="34">
        <f t="shared" si="466"/>
        <v>0</v>
      </c>
    </row>
    <row r="18616" spans="13:13" x14ac:dyDescent="0.25">
      <c r="M18616" s="34">
        <f t="shared" si="466"/>
        <v>0</v>
      </c>
    </row>
    <row r="18617" spans="13:13" x14ac:dyDescent="0.25">
      <c r="M18617" s="34">
        <f t="shared" si="466"/>
        <v>0</v>
      </c>
    </row>
    <row r="18618" spans="13:13" x14ac:dyDescent="0.25">
      <c r="M18618" s="34">
        <f t="shared" si="466"/>
        <v>0</v>
      </c>
    </row>
    <row r="18619" spans="13:13" x14ac:dyDescent="0.25">
      <c r="M18619" s="34">
        <f t="shared" si="466"/>
        <v>0</v>
      </c>
    </row>
    <row r="18620" spans="13:13" x14ac:dyDescent="0.25">
      <c r="M18620" s="34">
        <f t="shared" si="466"/>
        <v>0</v>
      </c>
    </row>
    <row r="18621" spans="13:13" x14ac:dyDescent="0.25">
      <c r="M18621" s="34">
        <f t="shared" si="466"/>
        <v>0</v>
      </c>
    </row>
    <row r="18622" spans="13:13" x14ac:dyDescent="0.25">
      <c r="M18622" s="34">
        <f t="shared" si="466"/>
        <v>0</v>
      </c>
    </row>
    <row r="18623" spans="13:13" x14ac:dyDescent="0.25">
      <c r="M18623" s="34">
        <f t="shared" si="466"/>
        <v>0</v>
      </c>
    </row>
    <row r="18624" spans="13:13" x14ac:dyDescent="0.25">
      <c r="M18624" s="34">
        <f t="shared" si="466"/>
        <v>0</v>
      </c>
    </row>
    <row r="18625" spans="13:13" x14ac:dyDescent="0.25">
      <c r="M18625" s="34">
        <f t="shared" si="466"/>
        <v>0</v>
      </c>
    </row>
    <row r="18626" spans="13:13" x14ac:dyDescent="0.25">
      <c r="M18626" s="34">
        <f t="shared" si="466"/>
        <v>0</v>
      </c>
    </row>
    <row r="18627" spans="13:13" x14ac:dyDescent="0.25">
      <c r="M18627" s="34">
        <f t="shared" ref="M18627:M18690" si="467">IF(AND(E18627="Chèque",G18627="RECETTE"),F18627,0)</f>
        <v>0</v>
      </c>
    </row>
    <row r="18628" spans="13:13" x14ac:dyDescent="0.25">
      <c r="M18628" s="34">
        <f t="shared" si="467"/>
        <v>0</v>
      </c>
    </row>
    <row r="18629" spans="13:13" x14ac:dyDescent="0.25">
      <c r="M18629" s="34">
        <f t="shared" si="467"/>
        <v>0</v>
      </c>
    </row>
    <row r="18630" spans="13:13" x14ac:dyDescent="0.25">
      <c r="M18630" s="34">
        <f t="shared" si="467"/>
        <v>0</v>
      </c>
    </row>
    <row r="18631" spans="13:13" x14ac:dyDescent="0.25">
      <c r="M18631" s="34">
        <f t="shared" si="467"/>
        <v>0</v>
      </c>
    </row>
    <row r="18632" spans="13:13" x14ac:dyDescent="0.25">
      <c r="M18632" s="34">
        <f t="shared" si="467"/>
        <v>0</v>
      </c>
    </row>
    <row r="18633" spans="13:13" x14ac:dyDescent="0.25">
      <c r="M18633" s="34">
        <f t="shared" si="467"/>
        <v>0</v>
      </c>
    </row>
    <row r="18634" spans="13:13" x14ac:dyDescent="0.25">
      <c r="M18634" s="34">
        <f t="shared" si="467"/>
        <v>0</v>
      </c>
    </row>
    <row r="18635" spans="13:13" x14ac:dyDescent="0.25">
      <c r="M18635" s="34">
        <f t="shared" si="467"/>
        <v>0</v>
      </c>
    </row>
    <row r="18636" spans="13:13" x14ac:dyDescent="0.25">
      <c r="M18636" s="34">
        <f t="shared" si="467"/>
        <v>0</v>
      </c>
    </row>
    <row r="18637" spans="13:13" x14ac:dyDescent="0.25">
      <c r="M18637" s="34">
        <f t="shared" si="467"/>
        <v>0</v>
      </c>
    </row>
    <row r="18638" spans="13:13" x14ac:dyDescent="0.25">
      <c r="M18638" s="34">
        <f t="shared" si="467"/>
        <v>0</v>
      </c>
    </row>
    <row r="18639" spans="13:13" x14ac:dyDescent="0.25">
      <c r="M18639" s="34">
        <f t="shared" si="467"/>
        <v>0</v>
      </c>
    </row>
    <row r="18640" spans="13:13" x14ac:dyDescent="0.25">
      <c r="M18640" s="34">
        <f t="shared" si="467"/>
        <v>0</v>
      </c>
    </row>
    <row r="18641" spans="13:13" x14ac:dyDescent="0.25">
      <c r="M18641" s="34">
        <f t="shared" si="467"/>
        <v>0</v>
      </c>
    </row>
    <row r="18642" spans="13:13" x14ac:dyDescent="0.25">
      <c r="M18642" s="34">
        <f t="shared" si="467"/>
        <v>0</v>
      </c>
    </row>
    <row r="18643" spans="13:13" x14ac:dyDescent="0.25">
      <c r="M18643" s="34">
        <f t="shared" si="467"/>
        <v>0</v>
      </c>
    </row>
    <row r="18644" spans="13:13" x14ac:dyDescent="0.25">
      <c r="M18644" s="34">
        <f t="shared" si="467"/>
        <v>0</v>
      </c>
    </row>
    <row r="18645" spans="13:13" x14ac:dyDescent="0.25">
      <c r="M18645" s="34">
        <f t="shared" si="467"/>
        <v>0</v>
      </c>
    </row>
    <row r="18646" spans="13:13" x14ac:dyDescent="0.25">
      <c r="M18646" s="34">
        <f t="shared" si="467"/>
        <v>0</v>
      </c>
    </row>
    <row r="18647" spans="13:13" x14ac:dyDescent="0.25">
      <c r="M18647" s="34">
        <f t="shared" si="467"/>
        <v>0</v>
      </c>
    </row>
    <row r="18648" spans="13:13" x14ac:dyDescent="0.25">
      <c r="M18648" s="34">
        <f t="shared" si="467"/>
        <v>0</v>
      </c>
    </row>
    <row r="18649" spans="13:13" x14ac:dyDescent="0.25">
      <c r="M18649" s="34">
        <f t="shared" si="467"/>
        <v>0</v>
      </c>
    </row>
    <row r="18650" spans="13:13" x14ac:dyDescent="0.25">
      <c r="M18650" s="34">
        <f t="shared" si="467"/>
        <v>0</v>
      </c>
    </row>
    <row r="18651" spans="13:13" x14ac:dyDescent="0.25">
      <c r="M18651" s="34">
        <f t="shared" si="467"/>
        <v>0</v>
      </c>
    </row>
    <row r="18652" spans="13:13" x14ac:dyDescent="0.25">
      <c r="M18652" s="34">
        <f t="shared" si="467"/>
        <v>0</v>
      </c>
    </row>
    <row r="18653" spans="13:13" x14ac:dyDescent="0.25">
      <c r="M18653" s="34">
        <f t="shared" si="467"/>
        <v>0</v>
      </c>
    </row>
    <row r="18654" spans="13:13" x14ac:dyDescent="0.25">
      <c r="M18654" s="34">
        <f t="shared" si="467"/>
        <v>0</v>
      </c>
    </row>
    <row r="18655" spans="13:13" x14ac:dyDescent="0.25">
      <c r="M18655" s="34">
        <f t="shared" si="467"/>
        <v>0</v>
      </c>
    </row>
    <row r="18656" spans="13:13" x14ac:dyDescent="0.25">
      <c r="M18656" s="34">
        <f t="shared" si="467"/>
        <v>0</v>
      </c>
    </row>
    <row r="18657" spans="13:13" x14ac:dyDescent="0.25">
      <c r="M18657" s="34">
        <f t="shared" si="467"/>
        <v>0</v>
      </c>
    </row>
    <row r="18658" spans="13:13" x14ac:dyDescent="0.25">
      <c r="M18658" s="34">
        <f t="shared" si="467"/>
        <v>0</v>
      </c>
    </row>
    <row r="18659" spans="13:13" x14ac:dyDescent="0.25">
      <c r="M18659" s="34">
        <f t="shared" si="467"/>
        <v>0</v>
      </c>
    </row>
    <row r="18660" spans="13:13" x14ac:dyDescent="0.25">
      <c r="M18660" s="34">
        <f t="shared" si="467"/>
        <v>0</v>
      </c>
    </row>
    <row r="18661" spans="13:13" x14ac:dyDescent="0.25">
      <c r="M18661" s="34">
        <f t="shared" si="467"/>
        <v>0</v>
      </c>
    </row>
    <row r="18662" spans="13:13" x14ac:dyDescent="0.25">
      <c r="M18662" s="34">
        <f t="shared" si="467"/>
        <v>0</v>
      </c>
    </row>
    <row r="18663" spans="13:13" x14ac:dyDescent="0.25">
      <c r="M18663" s="34">
        <f t="shared" si="467"/>
        <v>0</v>
      </c>
    </row>
    <row r="18664" spans="13:13" x14ac:dyDescent="0.25">
      <c r="M18664" s="34">
        <f t="shared" si="467"/>
        <v>0</v>
      </c>
    </row>
    <row r="18665" spans="13:13" x14ac:dyDescent="0.25">
      <c r="M18665" s="34">
        <f t="shared" si="467"/>
        <v>0</v>
      </c>
    </row>
    <row r="18666" spans="13:13" x14ac:dyDescent="0.25">
      <c r="M18666" s="34">
        <f t="shared" si="467"/>
        <v>0</v>
      </c>
    </row>
    <row r="18667" spans="13:13" x14ac:dyDescent="0.25">
      <c r="M18667" s="34">
        <f t="shared" si="467"/>
        <v>0</v>
      </c>
    </row>
    <row r="18668" spans="13:13" x14ac:dyDescent="0.25">
      <c r="M18668" s="34">
        <f t="shared" si="467"/>
        <v>0</v>
      </c>
    </row>
    <row r="18669" spans="13:13" x14ac:dyDescent="0.25">
      <c r="M18669" s="34">
        <f t="shared" si="467"/>
        <v>0</v>
      </c>
    </row>
    <row r="18670" spans="13:13" x14ac:dyDescent="0.25">
      <c r="M18670" s="34">
        <f t="shared" si="467"/>
        <v>0</v>
      </c>
    </row>
    <row r="18671" spans="13:13" x14ac:dyDescent="0.25">
      <c r="M18671" s="34">
        <f t="shared" si="467"/>
        <v>0</v>
      </c>
    </row>
    <row r="18672" spans="13:13" x14ac:dyDescent="0.25">
      <c r="M18672" s="34">
        <f t="shared" si="467"/>
        <v>0</v>
      </c>
    </row>
    <row r="18673" spans="13:13" x14ac:dyDescent="0.25">
      <c r="M18673" s="34">
        <f t="shared" si="467"/>
        <v>0</v>
      </c>
    </row>
    <row r="18674" spans="13:13" x14ac:dyDescent="0.25">
      <c r="M18674" s="34">
        <f t="shared" si="467"/>
        <v>0</v>
      </c>
    </row>
    <row r="18675" spans="13:13" x14ac:dyDescent="0.25">
      <c r="M18675" s="34">
        <f t="shared" si="467"/>
        <v>0</v>
      </c>
    </row>
    <row r="18676" spans="13:13" x14ac:dyDescent="0.25">
      <c r="M18676" s="34">
        <f t="shared" si="467"/>
        <v>0</v>
      </c>
    </row>
    <row r="18677" spans="13:13" x14ac:dyDescent="0.25">
      <c r="M18677" s="34">
        <f t="shared" si="467"/>
        <v>0</v>
      </c>
    </row>
    <row r="18678" spans="13:13" x14ac:dyDescent="0.25">
      <c r="M18678" s="34">
        <f t="shared" si="467"/>
        <v>0</v>
      </c>
    </row>
    <row r="18679" spans="13:13" x14ac:dyDescent="0.25">
      <c r="M18679" s="34">
        <f t="shared" si="467"/>
        <v>0</v>
      </c>
    </row>
    <row r="18680" spans="13:13" x14ac:dyDescent="0.25">
      <c r="M18680" s="34">
        <f t="shared" si="467"/>
        <v>0</v>
      </c>
    </row>
    <row r="18681" spans="13:13" x14ac:dyDescent="0.25">
      <c r="M18681" s="34">
        <f t="shared" si="467"/>
        <v>0</v>
      </c>
    </row>
    <row r="18682" spans="13:13" x14ac:dyDescent="0.25">
      <c r="M18682" s="34">
        <f t="shared" si="467"/>
        <v>0</v>
      </c>
    </row>
    <row r="18683" spans="13:13" x14ac:dyDescent="0.25">
      <c r="M18683" s="34">
        <f t="shared" si="467"/>
        <v>0</v>
      </c>
    </row>
    <row r="18684" spans="13:13" x14ac:dyDescent="0.25">
      <c r="M18684" s="34">
        <f t="shared" si="467"/>
        <v>0</v>
      </c>
    </row>
    <row r="18685" spans="13:13" x14ac:dyDescent="0.25">
      <c r="M18685" s="34">
        <f t="shared" si="467"/>
        <v>0</v>
      </c>
    </row>
    <row r="18686" spans="13:13" x14ac:dyDescent="0.25">
      <c r="M18686" s="34">
        <f t="shared" si="467"/>
        <v>0</v>
      </c>
    </row>
    <row r="18687" spans="13:13" x14ac:dyDescent="0.25">
      <c r="M18687" s="34">
        <f t="shared" si="467"/>
        <v>0</v>
      </c>
    </row>
    <row r="18688" spans="13:13" x14ac:dyDescent="0.25">
      <c r="M18688" s="34">
        <f t="shared" si="467"/>
        <v>0</v>
      </c>
    </row>
    <row r="18689" spans="13:13" x14ac:dyDescent="0.25">
      <c r="M18689" s="34">
        <f t="shared" si="467"/>
        <v>0</v>
      </c>
    </row>
    <row r="18690" spans="13:13" x14ac:dyDescent="0.25">
      <c r="M18690" s="34">
        <f t="shared" si="467"/>
        <v>0</v>
      </c>
    </row>
    <row r="18691" spans="13:13" x14ac:dyDescent="0.25">
      <c r="M18691" s="34">
        <f t="shared" ref="M18691:M18754" si="468">IF(AND(E18691="Chèque",G18691="RECETTE"),F18691,0)</f>
        <v>0</v>
      </c>
    </row>
    <row r="18692" spans="13:13" x14ac:dyDescent="0.25">
      <c r="M18692" s="34">
        <f t="shared" si="468"/>
        <v>0</v>
      </c>
    </row>
    <row r="18693" spans="13:13" x14ac:dyDescent="0.25">
      <c r="M18693" s="34">
        <f t="shared" si="468"/>
        <v>0</v>
      </c>
    </row>
    <row r="18694" spans="13:13" x14ac:dyDescent="0.25">
      <c r="M18694" s="34">
        <f t="shared" si="468"/>
        <v>0</v>
      </c>
    </row>
    <row r="18695" spans="13:13" x14ac:dyDescent="0.25">
      <c r="M18695" s="34">
        <f t="shared" si="468"/>
        <v>0</v>
      </c>
    </row>
    <row r="18696" spans="13:13" x14ac:dyDescent="0.25">
      <c r="M18696" s="34">
        <f t="shared" si="468"/>
        <v>0</v>
      </c>
    </row>
    <row r="18697" spans="13:13" x14ac:dyDescent="0.25">
      <c r="M18697" s="34">
        <f t="shared" si="468"/>
        <v>0</v>
      </c>
    </row>
    <row r="18698" spans="13:13" x14ac:dyDescent="0.25">
      <c r="M18698" s="34">
        <f t="shared" si="468"/>
        <v>0</v>
      </c>
    </row>
    <row r="18699" spans="13:13" x14ac:dyDescent="0.25">
      <c r="M18699" s="34">
        <f t="shared" si="468"/>
        <v>0</v>
      </c>
    </row>
    <row r="18700" spans="13:13" x14ac:dyDescent="0.25">
      <c r="M18700" s="34">
        <f t="shared" si="468"/>
        <v>0</v>
      </c>
    </row>
    <row r="18701" spans="13:13" x14ac:dyDescent="0.25">
      <c r="M18701" s="34">
        <f t="shared" si="468"/>
        <v>0</v>
      </c>
    </row>
    <row r="18702" spans="13:13" x14ac:dyDescent="0.25">
      <c r="M18702" s="34">
        <f t="shared" si="468"/>
        <v>0</v>
      </c>
    </row>
    <row r="18703" spans="13:13" x14ac:dyDescent="0.25">
      <c r="M18703" s="34">
        <f t="shared" si="468"/>
        <v>0</v>
      </c>
    </row>
    <row r="18704" spans="13:13" x14ac:dyDescent="0.25">
      <c r="M18704" s="34">
        <f t="shared" si="468"/>
        <v>0</v>
      </c>
    </row>
    <row r="18705" spans="13:13" x14ac:dyDescent="0.25">
      <c r="M18705" s="34">
        <f t="shared" si="468"/>
        <v>0</v>
      </c>
    </row>
    <row r="18706" spans="13:13" x14ac:dyDescent="0.25">
      <c r="M18706" s="34">
        <f t="shared" si="468"/>
        <v>0</v>
      </c>
    </row>
    <row r="18707" spans="13:13" x14ac:dyDescent="0.25">
      <c r="M18707" s="34">
        <f t="shared" si="468"/>
        <v>0</v>
      </c>
    </row>
    <row r="18708" spans="13:13" x14ac:dyDescent="0.25">
      <c r="M18708" s="34">
        <f t="shared" si="468"/>
        <v>0</v>
      </c>
    </row>
    <row r="18709" spans="13:13" x14ac:dyDescent="0.25">
      <c r="M18709" s="34">
        <f t="shared" si="468"/>
        <v>0</v>
      </c>
    </row>
    <row r="18710" spans="13:13" x14ac:dyDescent="0.25">
      <c r="M18710" s="34">
        <f t="shared" si="468"/>
        <v>0</v>
      </c>
    </row>
    <row r="18711" spans="13:13" x14ac:dyDescent="0.25">
      <c r="M18711" s="34">
        <f t="shared" si="468"/>
        <v>0</v>
      </c>
    </row>
    <row r="18712" spans="13:13" x14ac:dyDescent="0.25">
      <c r="M18712" s="34">
        <f t="shared" si="468"/>
        <v>0</v>
      </c>
    </row>
    <row r="18713" spans="13:13" x14ac:dyDescent="0.25">
      <c r="M18713" s="34">
        <f t="shared" si="468"/>
        <v>0</v>
      </c>
    </row>
    <row r="18714" spans="13:13" x14ac:dyDescent="0.25">
      <c r="M18714" s="34">
        <f t="shared" si="468"/>
        <v>0</v>
      </c>
    </row>
    <row r="18715" spans="13:13" x14ac:dyDescent="0.25">
      <c r="M18715" s="34">
        <f t="shared" si="468"/>
        <v>0</v>
      </c>
    </row>
    <row r="18716" spans="13:13" x14ac:dyDescent="0.25">
      <c r="M18716" s="34">
        <f t="shared" si="468"/>
        <v>0</v>
      </c>
    </row>
    <row r="18717" spans="13:13" x14ac:dyDescent="0.25">
      <c r="M18717" s="34">
        <f t="shared" si="468"/>
        <v>0</v>
      </c>
    </row>
    <row r="18718" spans="13:13" x14ac:dyDescent="0.25">
      <c r="M18718" s="34">
        <f t="shared" si="468"/>
        <v>0</v>
      </c>
    </row>
    <row r="18719" spans="13:13" x14ac:dyDescent="0.25">
      <c r="M18719" s="34">
        <f t="shared" si="468"/>
        <v>0</v>
      </c>
    </row>
    <row r="18720" spans="13:13" x14ac:dyDescent="0.25">
      <c r="M18720" s="34">
        <f t="shared" si="468"/>
        <v>0</v>
      </c>
    </row>
    <row r="18721" spans="13:13" x14ac:dyDescent="0.25">
      <c r="M18721" s="34">
        <f t="shared" si="468"/>
        <v>0</v>
      </c>
    </row>
    <row r="18722" spans="13:13" x14ac:dyDescent="0.25">
      <c r="M18722" s="34">
        <f t="shared" si="468"/>
        <v>0</v>
      </c>
    </row>
    <row r="18723" spans="13:13" x14ac:dyDescent="0.25">
      <c r="M18723" s="34">
        <f t="shared" si="468"/>
        <v>0</v>
      </c>
    </row>
    <row r="18724" spans="13:13" x14ac:dyDescent="0.25">
      <c r="M18724" s="34">
        <f t="shared" si="468"/>
        <v>0</v>
      </c>
    </row>
    <row r="18725" spans="13:13" x14ac:dyDescent="0.25">
      <c r="M18725" s="34">
        <f t="shared" si="468"/>
        <v>0</v>
      </c>
    </row>
    <row r="18726" spans="13:13" x14ac:dyDescent="0.25">
      <c r="M18726" s="34">
        <f t="shared" si="468"/>
        <v>0</v>
      </c>
    </row>
    <row r="18727" spans="13:13" x14ac:dyDescent="0.25">
      <c r="M18727" s="34">
        <f t="shared" si="468"/>
        <v>0</v>
      </c>
    </row>
    <row r="18728" spans="13:13" x14ac:dyDescent="0.25">
      <c r="M18728" s="34">
        <f t="shared" si="468"/>
        <v>0</v>
      </c>
    </row>
    <row r="18729" spans="13:13" x14ac:dyDescent="0.25">
      <c r="M18729" s="34">
        <f t="shared" si="468"/>
        <v>0</v>
      </c>
    </row>
    <row r="18730" spans="13:13" x14ac:dyDescent="0.25">
      <c r="M18730" s="34">
        <f t="shared" si="468"/>
        <v>0</v>
      </c>
    </row>
    <row r="18731" spans="13:13" x14ac:dyDescent="0.25">
      <c r="M18731" s="34">
        <f t="shared" si="468"/>
        <v>0</v>
      </c>
    </row>
    <row r="18732" spans="13:13" x14ac:dyDescent="0.25">
      <c r="M18732" s="34">
        <f t="shared" si="468"/>
        <v>0</v>
      </c>
    </row>
    <row r="18733" spans="13:13" x14ac:dyDescent="0.25">
      <c r="M18733" s="34">
        <f t="shared" si="468"/>
        <v>0</v>
      </c>
    </row>
    <row r="18734" spans="13:13" x14ac:dyDescent="0.25">
      <c r="M18734" s="34">
        <f t="shared" si="468"/>
        <v>0</v>
      </c>
    </row>
    <row r="18735" spans="13:13" x14ac:dyDescent="0.25">
      <c r="M18735" s="34">
        <f t="shared" si="468"/>
        <v>0</v>
      </c>
    </row>
    <row r="18736" spans="13:13" x14ac:dyDescent="0.25">
      <c r="M18736" s="34">
        <f t="shared" si="468"/>
        <v>0</v>
      </c>
    </row>
    <row r="18737" spans="13:13" x14ac:dyDescent="0.25">
      <c r="M18737" s="34">
        <f t="shared" si="468"/>
        <v>0</v>
      </c>
    </row>
    <row r="18738" spans="13:13" x14ac:dyDescent="0.25">
      <c r="M18738" s="34">
        <f t="shared" si="468"/>
        <v>0</v>
      </c>
    </row>
    <row r="18739" spans="13:13" x14ac:dyDescent="0.25">
      <c r="M18739" s="34">
        <f t="shared" si="468"/>
        <v>0</v>
      </c>
    </row>
    <row r="18740" spans="13:13" x14ac:dyDescent="0.25">
      <c r="M18740" s="34">
        <f t="shared" si="468"/>
        <v>0</v>
      </c>
    </row>
    <row r="18741" spans="13:13" x14ac:dyDescent="0.25">
      <c r="M18741" s="34">
        <f t="shared" si="468"/>
        <v>0</v>
      </c>
    </row>
    <row r="18742" spans="13:13" x14ac:dyDescent="0.25">
      <c r="M18742" s="34">
        <f t="shared" si="468"/>
        <v>0</v>
      </c>
    </row>
    <row r="18743" spans="13:13" x14ac:dyDescent="0.25">
      <c r="M18743" s="34">
        <f t="shared" si="468"/>
        <v>0</v>
      </c>
    </row>
    <row r="18744" spans="13:13" x14ac:dyDescent="0.25">
      <c r="M18744" s="34">
        <f t="shared" si="468"/>
        <v>0</v>
      </c>
    </row>
    <row r="18745" spans="13:13" x14ac:dyDescent="0.25">
      <c r="M18745" s="34">
        <f t="shared" si="468"/>
        <v>0</v>
      </c>
    </row>
    <row r="18746" spans="13:13" x14ac:dyDescent="0.25">
      <c r="M18746" s="34">
        <f t="shared" si="468"/>
        <v>0</v>
      </c>
    </row>
    <row r="18747" spans="13:13" x14ac:dyDescent="0.25">
      <c r="M18747" s="34">
        <f t="shared" si="468"/>
        <v>0</v>
      </c>
    </row>
    <row r="18748" spans="13:13" x14ac:dyDescent="0.25">
      <c r="M18748" s="34">
        <f t="shared" si="468"/>
        <v>0</v>
      </c>
    </row>
    <row r="18749" spans="13:13" x14ac:dyDescent="0.25">
      <c r="M18749" s="34">
        <f t="shared" si="468"/>
        <v>0</v>
      </c>
    </row>
    <row r="18750" spans="13:13" x14ac:dyDescent="0.25">
      <c r="M18750" s="34">
        <f t="shared" si="468"/>
        <v>0</v>
      </c>
    </row>
    <row r="18751" spans="13:13" x14ac:dyDescent="0.25">
      <c r="M18751" s="34">
        <f t="shared" si="468"/>
        <v>0</v>
      </c>
    </row>
    <row r="18752" spans="13:13" x14ac:dyDescent="0.25">
      <c r="M18752" s="34">
        <f t="shared" si="468"/>
        <v>0</v>
      </c>
    </row>
    <row r="18753" spans="13:13" x14ac:dyDescent="0.25">
      <c r="M18753" s="34">
        <f t="shared" si="468"/>
        <v>0</v>
      </c>
    </row>
    <row r="18754" spans="13:13" x14ac:dyDescent="0.25">
      <c r="M18754" s="34">
        <f t="shared" si="468"/>
        <v>0</v>
      </c>
    </row>
    <row r="18755" spans="13:13" x14ac:dyDescent="0.25">
      <c r="M18755" s="34">
        <f t="shared" ref="M18755:M18818" si="469">IF(AND(E18755="Chèque",G18755="RECETTE"),F18755,0)</f>
        <v>0</v>
      </c>
    </row>
    <row r="18756" spans="13:13" x14ac:dyDescent="0.25">
      <c r="M18756" s="34">
        <f t="shared" si="469"/>
        <v>0</v>
      </c>
    </row>
    <row r="18757" spans="13:13" x14ac:dyDescent="0.25">
      <c r="M18757" s="34">
        <f t="shared" si="469"/>
        <v>0</v>
      </c>
    </row>
    <row r="18758" spans="13:13" x14ac:dyDescent="0.25">
      <c r="M18758" s="34">
        <f t="shared" si="469"/>
        <v>0</v>
      </c>
    </row>
    <row r="18759" spans="13:13" x14ac:dyDescent="0.25">
      <c r="M18759" s="34">
        <f t="shared" si="469"/>
        <v>0</v>
      </c>
    </row>
    <row r="18760" spans="13:13" x14ac:dyDescent="0.25">
      <c r="M18760" s="34">
        <f t="shared" si="469"/>
        <v>0</v>
      </c>
    </row>
    <row r="18761" spans="13:13" x14ac:dyDescent="0.25">
      <c r="M18761" s="34">
        <f t="shared" si="469"/>
        <v>0</v>
      </c>
    </row>
    <row r="18762" spans="13:13" x14ac:dyDescent="0.25">
      <c r="M18762" s="34">
        <f t="shared" si="469"/>
        <v>0</v>
      </c>
    </row>
    <row r="18763" spans="13:13" x14ac:dyDescent="0.25">
      <c r="M18763" s="34">
        <f t="shared" si="469"/>
        <v>0</v>
      </c>
    </row>
    <row r="18764" spans="13:13" x14ac:dyDescent="0.25">
      <c r="M18764" s="34">
        <f t="shared" si="469"/>
        <v>0</v>
      </c>
    </row>
    <row r="18765" spans="13:13" x14ac:dyDescent="0.25">
      <c r="M18765" s="34">
        <f t="shared" si="469"/>
        <v>0</v>
      </c>
    </row>
    <row r="18766" spans="13:13" x14ac:dyDescent="0.25">
      <c r="M18766" s="34">
        <f t="shared" si="469"/>
        <v>0</v>
      </c>
    </row>
    <row r="18767" spans="13:13" x14ac:dyDescent="0.25">
      <c r="M18767" s="34">
        <f t="shared" si="469"/>
        <v>0</v>
      </c>
    </row>
    <row r="18768" spans="13:13" x14ac:dyDescent="0.25">
      <c r="M18768" s="34">
        <f t="shared" si="469"/>
        <v>0</v>
      </c>
    </row>
    <row r="18769" spans="13:13" x14ac:dyDescent="0.25">
      <c r="M18769" s="34">
        <f t="shared" si="469"/>
        <v>0</v>
      </c>
    </row>
    <row r="18770" spans="13:13" x14ac:dyDescent="0.25">
      <c r="M18770" s="34">
        <f t="shared" si="469"/>
        <v>0</v>
      </c>
    </row>
    <row r="18771" spans="13:13" x14ac:dyDescent="0.25">
      <c r="M18771" s="34">
        <f t="shared" si="469"/>
        <v>0</v>
      </c>
    </row>
    <row r="18772" spans="13:13" x14ac:dyDescent="0.25">
      <c r="M18772" s="34">
        <f t="shared" si="469"/>
        <v>0</v>
      </c>
    </row>
    <row r="18773" spans="13:13" x14ac:dyDescent="0.25">
      <c r="M18773" s="34">
        <f t="shared" si="469"/>
        <v>0</v>
      </c>
    </row>
    <row r="18774" spans="13:13" x14ac:dyDescent="0.25">
      <c r="M18774" s="34">
        <f t="shared" si="469"/>
        <v>0</v>
      </c>
    </row>
    <row r="18775" spans="13:13" x14ac:dyDescent="0.25">
      <c r="M18775" s="34">
        <f t="shared" si="469"/>
        <v>0</v>
      </c>
    </row>
    <row r="18776" spans="13:13" x14ac:dyDescent="0.25">
      <c r="M18776" s="34">
        <f t="shared" si="469"/>
        <v>0</v>
      </c>
    </row>
    <row r="18777" spans="13:13" x14ac:dyDescent="0.25">
      <c r="M18777" s="34">
        <f t="shared" si="469"/>
        <v>0</v>
      </c>
    </row>
    <row r="18778" spans="13:13" x14ac:dyDescent="0.25">
      <c r="M18778" s="34">
        <f t="shared" si="469"/>
        <v>0</v>
      </c>
    </row>
    <row r="18779" spans="13:13" x14ac:dyDescent="0.25">
      <c r="M18779" s="34">
        <f t="shared" si="469"/>
        <v>0</v>
      </c>
    </row>
    <row r="18780" spans="13:13" x14ac:dyDescent="0.25">
      <c r="M18780" s="34">
        <f t="shared" si="469"/>
        <v>0</v>
      </c>
    </row>
    <row r="18781" spans="13:13" x14ac:dyDescent="0.25">
      <c r="M18781" s="34">
        <f t="shared" si="469"/>
        <v>0</v>
      </c>
    </row>
    <row r="18782" spans="13:13" x14ac:dyDescent="0.25">
      <c r="M18782" s="34">
        <f t="shared" si="469"/>
        <v>0</v>
      </c>
    </row>
    <row r="18783" spans="13:13" x14ac:dyDescent="0.25">
      <c r="M18783" s="34">
        <f t="shared" si="469"/>
        <v>0</v>
      </c>
    </row>
    <row r="18784" spans="13:13" x14ac:dyDescent="0.25">
      <c r="M18784" s="34">
        <f t="shared" si="469"/>
        <v>0</v>
      </c>
    </row>
    <row r="18785" spans="13:13" x14ac:dyDescent="0.25">
      <c r="M18785" s="34">
        <f t="shared" si="469"/>
        <v>0</v>
      </c>
    </row>
    <row r="18786" spans="13:13" x14ac:dyDescent="0.25">
      <c r="M18786" s="34">
        <f t="shared" si="469"/>
        <v>0</v>
      </c>
    </row>
    <row r="18787" spans="13:13" x14ac:dyDescent="0.25">
      <c r="M18787" s="34">
        <f t="shared" si="469"/>
        <v>0</v>
      </c>
    </row>
    <row r="18788" spans="13:13" x14ac:dyDescent="0.25">
      <c r="M18788" s="34">
        <f t="shared" si="469"/>
        <v>0</v>
      </c>
    </row>
    <row r="18789" spans="13:13" x14ac:dyDescent="0.25">
      <c r="M18789" s="34">
        <f t="shared" si="469"/>
        <v>0</v>
      </c>
    </row>
    <row r="18790" spans="13:13" x14ac:dyDescent="0.25">
      <c r="M18790" s="34">
        <f t="shared" si="469"/>
        <v>0</v>
      </c>
    </row>
    <row r="18791" spans="13:13" x14ac:dyDescent="0.25">
      <c r="M18791" s="34">
        <f t="shared" si="469"/>
        <v>0</v>
      </c>
    </row>
    <row r="18792" spans="13:13" x14ac:dyDescent="0.25">
      <c r="M18792" s="34">
        <f t="shared" si="469"/>
        <v>0</v>
      </c>
    </row>
    <row r="18793" spans="13:13" x14ac:dyDescent="0.25">
      <c r="M18793" s="34">
        <f t="shared" si="469"/>
        <v>0</v>
      </c>
    </row>
    <row r="18794" spans="13:13" x14ac:dyDescent="0.25">
      <c r="M18794" s="34">
        <f t="shared" si="469"/>
        <v>0</v>
      </c>
    </row>
    <row r="18795" spans="13:13" x14ac:dyDescent="0.25">
      <c r="M18795" s="34">
        <f t="shared" si="469"/>
        <v>0</v>
      </c>
    </row>
    <row r="18796" spans="13:13" x14ac:dyDescent="0.25">
      <c r="M18796" s="34">
        <f t="shared" si="469"/>
        <v>0</v>
      </c>
    </row>
    <row r="18797" spans="13:13" x14ac:dyDescent="0.25">
      <c r="M18797" s="34">
        <f t="shared" si="469"/>
        <v>0</v>
      </c>
    </row>
    <row r="18798" spans="13:13" x14ac:dyDescent="0.25">
      <c r="M18798" s="34">
        <f t="shared" si="469"/>
        <v>0</v>
      </c>
    </row>
    <row r="18799" spans="13:13" x14ac:dyDescent="0.25">
      <c r="M18799" s="34">
        <f t="shared" si="469"/>
        <v>0</v>
      </c>
    </row>
    <row r="18800" spans="13:13" x14ac:dyDescent="0.25">
      <c r="M18800" s="34">
        <f t="shared" si="469"/>
        <v>0</v>
      </c>
    </row>
    <row r="18801" spans="13:13" x14ac:dyDescent="0.25">
      <c r="M18801" s="34">
        <f t="shared" si="469"/>
        <v>0</v>
      </c>
    </row>
    <row r="18802" spans="13:13" x14ac:dyDescent="0.25">
      <c r="M18802" s="34">
        <f t="shared" si="469"/>
        <v>0</v>
      </c>
    </row>
    <row r="18803" spans="13:13" x14ac:dyDescent="0.25">
      <c r="M18803" s="34">
        <f t="shared" si="469"/>
        <v>0</v>
      </c>
    </row>
    <row r="18804" spans="13:13" x14ac:dyDescent="0.25">
      <c r="M18804" s="34">
        <f t="shared" si="469"/>
        <v>0</v>
      </c>
    </row>
    <row r="18805" spans="13:13" x14ac:dyDescent="0.25">
      <c r="M18805" s="34">
        <f t="shared" si="469"/>
        <v>0</v>
      </c>
    </row>
    <row r="18806" spans="13:13" x14ac:dyDescent="0.25">
      <c r="M18806" s="34">
        <f t="shared" si="469"/>
        <v>0</v>
      </c>
    </row>
    <row r="18807" spans="13:13" x14ac:dyDescent="0.25">
      <c r="M18807" s="34">
        <f t="shared" si="469"/>
        <v>0</v>
      </c>
    </row>
    <row r="18808" spans="13:13" x14ac:dyDescent="0.25">
      <c r="M18808" s="34">
        <f t="shared" si="469"/>
        <v>0</v>
      </c>
    </row>
    <row r="18809" spans="13:13" x14ac:dyDescent="0.25">
      <c r="M18809" s="34">
        <f t="shared" si="469"/>
        <v>0</v>
      </c>
    </row>
    <row r="18810" spans="13:13" x14ac:dyDescent="0.25">
      <c r="M18810" s="34">
        <f t="shared" si="469"/>
        <v>0</v>
      </c>
    </row>
    <row r="18811" spans="13:13" x14ac:dyDescent="0.25">
      <c r="M18811" s="34">
        <f t="shared" si="469"/>
        <v>0</v>
      </c>
    </row>
    <row r="18812" spans="13:13" x14ac:dyDescent="0.25">
      <c r="M18812" s="34">
        <f t="shared" si="469"/>
        <v>0</v>
      </c>
    </row>
    <row r="18813" spans="13:13" x14ac:dyDescent="0.25">
      <c r="M18813" s="34">
        <f t="shared" si="469"/>
        <v>0</v>
      </c>
    </row>
    <row r="18814" spans="13:13" x14ac:dyDescent="0.25">
      <c r="M18814" s="34">
        <f t="shared" si="469"/>
        <v>0</v>
      </c>
    </row>
    <row r="18815" spans="13:13" x14ac:dyDescent="0.25">
      <c r="M18815" s="34">
        <f t="shared" si="469"/>
        <v>0</v>
      </c>
    </row>
    <row r="18816" spans="13:13" x14ac:dyDescent="0.25">
      <c r="M18816" s="34">
        <f t="shared" si="469"/>
        <v>0</v>
      </c>
    </row>
    <row r="18817" spans="13:13" x14ac:dyDescent="0.25">
      <c r="M18817" s="34">
        <f t="shared" si="469"/>
        <v>0</v>
      </c>
    </row>
    <row r="18818" spans="13:13" x14ac:dyDescent="0.25">
      <c r="M18818" s="34">
        <f t="shared" si="469"/>
        <v>0</v>
      </c>
    </row>
    <row r="18819" spans="13:13" x14ac:dyDescent="0.25">
      <c r="M18819" s="34">
        <f t="shared" ref="M18819:M18882" si="470">IF(AND(E18819="Chèque",G18819="RECETTE"),F18819,0)</f>
        <v>0</v>
      </c>
    </row>
    <row r="18820" spans="13:13" x14ac:dyDescent="0.25">
      <c r="M18820" s="34">
        <f t="shared" si="470"/>
        <v>0</v>
      </c>
    </row>
    <row r="18821" spans="13:13" x14ac:dyDescent="0.25">
      <c r="M18821" s="34">
        <f t="shared" si="470"/>
        <v>0</v>
      </c>
    </row>
    <row r="18822" spans="13:13" x14ac:dyDescent="0.25">
      <c r="M18822" s="34">
        <f t="shared" si="470"/>
        <v>0</v>
      </c>
    </row>
    <row r="18823" spans="13:13" x14ac:dyDescent="0.25">
      <c r="M18823" s="34">
        <f t="shared" si="470"/>
        <v>0</v>
      </c>
    </row>
    <row r="18824" spans="13:13" x14ac:dyDescent="0.25">
      <c r="M18824" s="34">
        <f t="shared" si="470"/>
        <v>0</v>
      </c>
    </row>
    <row r="18825" spans="13:13" x14ac:dyDescent="0.25">
      <c r="M18825" s="34">
        <f t="shared" si="470"/>
        <v>0</v>
      </c>
    </row>
    <row r="18826" spans="13:13" x14ac:dyDescent="0.25">
      <c r="M18826" s="34">
        <f t="shared" si="470"/>
        <v>0</v>
      </c>
    </row>
    <row r="18827" spans="13:13" x14ac:dyDescent="0.25">
      <c r="M18827" s="34">
        <f t="shared" si="470"/>
        <v>0</v>
      </c>
    </row>
    <row r="18828" spans="13:13" x14ac:dyDescent="0.25">
      <c r="M18828" s="34">
        <f t="shared" si="470"/>
        <v>0</v>
      </c>
    </row>
    <row r="18829" spans="13:13" x14ac:dyDescent="0.25">
      <c r="M18829" s="34">
        <f t="shared" si="470"/>
        <v>0</v>
      </c>
    </row>
    <row r="18830" spans="13:13" x14ac:dyDescent="0.25">
      <c r="M18830" s="34">
        <f t="shared" si="470"/>
        <v>0</v>
      </c>
    </row>
    <row r="18831" spans="13:13" x14ac:dyDescent="0.25">
      <c r="M18831" s="34">
        <f t="shared" si="470"/>
        <v>0</v>
      </c>
    </row>
    <row r="18832" spans="13:13" x14ac:dyDescent="0.25">
      <c r="M18832" s="34">
        <f t="shared" si="470"/>
        <v>0</v>
      </c>
    </row>
    <row r="18833" spans="13:13" x14ac:dyDescent="0.25">
      <c r="M18833" s="34">
        <f t="shared" si="470"/>
        <v>0</v>
      </c>
    </row>
    <row r="18834" spans="13:13" x14ac:dyDescent="0.25">
      <c r="M18834" s="34">
        <f t="shared" si="470"/>
        <v>0</v>
      </c>
    </row>
    <row r="18835" spans="13:13" x14ac:dyDescent="0.25">
      <c r="M18835" s="34">
        <f t="shared" si="470"/>
        <v>0</v>
      </c>
    </row>
    <row r="18836" spans="13:13" x14ac:dyDescent="0.25">
      <c r="M18836" s="34">
        <f t="shared" si="470"/>
        <v>0</v>
      </c>
    </row>
    <row r="18837" spans="13:13" x14ac:dyDescent="0.25">
      <c r="M18837" s="34">
        <f t="shared" si="470"/>
        <v>0</v>
      </c>
    </row>
    <row r="18838" spans="13:13" x14ac:dyDescent="0.25">
      <c r="M18838" s="34">
        <f t="shared" si="470"/>
        <v>0</v>
      </c>
    </row>
    <row r="18839" spans="13:13" x14ac:dyDescent="0.25">
      <c r="M18839" s="34">
        <f t="shared" si="470"/>
        <v>0</v>
      </c>
    </row>
    <row r="18840" spans="13:13" x14ac:dyDescent="0.25">
      <c r="M18840" s="34">
        <f t="shared" si="470"/>
        <v>0</v>
      </c>
    </row>
    <row r="18841" spans="13:13" x14ac:dyDescent="0.25">
      <c r="M18841" s="34">
        <f t="shared" si="470"/>
        <v>0</v>
      </c>
    </row>
    <row r="18842" spans="13:13" x14ac:dyDescent="0.25">
      <c r="M18842" s="34">
        <f t="shared" si="470"/>
        <v>0</v>
      </c>
    </row>
    <row r="18843" spans="13:13" x14ac:dyDescent="0.25">
      <c r="M18843" s="34">
        <f t="shared" si="470"/>
        <v>0</v>
      </c>
    </row>
    <row r="18844" spans="13:13" x14ac:dyDescent="0.25">
      <c r="M18844" s="34">
        <f t="shared" si="470"/>
        <v>0</v>
      </c>
    </row>
    <row r="18845" spans="13:13" x14ac:dyDescent="0.25">
      <c r="M18845" s="34">
        <f t="shared" si="470"/>
        <v>0</v>
      </c>
    </row>
    <row r="18846" spans="13:13" x14ac:dyDescent="0.25">
      <c r="M18846" s="34">
        <f t="shared" si="470"/>
        <v>0</v>
      </c>
    </row>
    <row r="18847" spans="13:13" x14ac:dyDescent="0.25">
      <c r="M18847" s="34">
        <f t="shared" si="470"/>
        <v>0</v>
      </c>
    </row>
    <row r="18848" spans="13:13" x14ac:dyDescent="0.25">
      <c r="M18848" s="34">
        <f t="shared" si="470"/>
        <v>0</v>
      </c>
    </row>
    <row r="18849" spans="13:13" x14ac:dyDescent="0.25">
      <c r="M18849" s="34">
        <f t="shared" si="470"/>
        <v>0</v>
      </c>
    </row>
    <row r="18850" spans="13:13" x14ac:dyDescent="0.25">
      <c r="M18850" s="34">
        <f t="shared" si="470"/>
        <v>0</v>
      </c>
    </row>
    <row r="18851" spans="13:13" x14ac:dyDescent="0.25">
      <c r="M18851" s="34">
        <f t="shared" si="470"/>
        <v>0</v>
      </c>
    </row>
    <row r="18852" spans="13:13" x14ac:dyDescent="0.25">
      <c r="M18852" s="34">
        <f t="shared" si="470"/>
        <v>0</v>
      </c>
    </row>
    <row r="18853" spans="13:13" x14ac:dyDescent="0.25">
      <c r="M18853" s="34">
        <f t="shared" si="470"/>
        <v>0</v>
      </c>
    </row>
    <row r="18854" spans="13:13" x14ac:dyDescent="0.25">
      <c r="M18854" s="34">
        <f t="shared" si="470"/>
        <v>0</v>
      </c>
    </row>
    <row r="18855" spans="13:13" x14ac:dyDescent="0.25">
      <c r="M18855" s="34">
        <f t="shared" si="470"/>
        <v>0</v>
      </c>
    </row>
    <row r="18856" spans="13:13" x14ac:dyDescent="0.25">
      <c r="M18856" s="34">
        <f t="shared" si="470"/>
        <v>0</v>
      </c>
    </row>
    <row r="18857" spans="13:13" x14ac:dyDescent="0.25">
      <c r="M18857" s="34">
        <f t="shared" si="470"/>
        <v>0</v>
      </c>
    </row>
    <row r="18858" spans="13:13" x14ac:dyDescent="0.25">
      <c r="M18858" s="34">
        <f t="shared" si="470"/>
        <v>0</v>
      </c>
    </row>
    <row r="18859" spans="13:13" x14ac:dyDescent="0.25">
      <c r="M18859" s="34">
        <f t="shared" si="470"/>
        <v>0</v>
      </c>
    </row>
    <row r="18860" spans="13:13" x14ac:dyDescent="0.25">
      <c r="M18860" s="34">
        <f t="shared" si="470"/>
        <v>0</v>
      </c>
    </row>
    <row r="18861" spans="13:13" x14ac:dyDescent="0.25">
      <c r="M18861" s="34">
        <f t="shared" si="470"/>
        <v>0</v>
      </c>
    </row>
    <row r="18862" spans="13:13" x14ac:dyDescent="0.25">
      <c r="M18862" s="34">
        <f t="shared" si="470"/>
        <v>0</v>
      </c>
    </row>
    <row r="18863" spans="13:13" x14ac:dyDescent="0.25">
      <c r="M18863" s="34">
        <f t="shared" si="470"/>
        <v>0</v>
      </c>
    </row>
    <row r="18864" spans="13:13" x14ac:dyDescent="0.25">
      <c r="M18864" s="34">
        <f t="shared" si="470"/>
        <v>0</v>
      </c>
    </row>
    <row r="18865" spans="13:13" x14ac:dyDescent="0.25">
      <c r="M18865" s="34">
        <f t="shared" si="470"/>
        <v>0</v>
      </c>
    </row>
    <row r="18866" spans="13:13" x14ac:dyDescent="0.25">
      <c r="M18866" s="34">
        <f t="shared" si="470"/>
        <v>0</v>
      </c>
    </row>
    <row r="18867" spans="13:13" x14ac:dyDescent="0.25">
      <c r="M18867" s="34">
        <f t="shared" si="470"/>
        <v>0</v>
      </c>
    </row>
    <row r="18868" spans="13:13" x14ac:dyDescent="0.25">
      <c r="M18868" s="34">
        <f t="shared" si="470"/>
        <v>0</v>
      </c>
    </row>
    <row r="18869" spans="13:13" x14ac:dyDescent="0.25">
      <c r="M18869" s="34">
        <f t="shared" si="470"/>
        <v>0</v>
      </c>
    </row>
    <row r="18870" spans="13:13" x14ac:dyDescent="0.25">
      <c r="M18870" s="34">
        <f t="shared" si="470"/>
        <v>0</v>
      </c>
    </row>
    <row r="18871" spans="13:13" x14ac:dyDescent="0.25">
      <c r="M18871" s="34">
        <f t="shared" si="470"/>
        <v>0</v>
      </c>
    </row>
    <row r="18872" spans="13:13" x14ac:dyDescent="0.25">
      <c r="M18872" s="34">
        <f t="shared" si="470"/>
        <v>0</v>
      </c>
    </row>
    <row r="18873" spans="13:13" x14ac:dyDescent="0.25">
      <c r="M18873" s="34">
        <f t="shared" si="470"/>
        <v>0</v>
      </c>
    </row>
    <row r="18874" spans="13:13" x14ac:dyDescent="0.25">
      <c r="M18874" s="34">
        <f t="shared" si="470"/>
        <v>0</v>
      </c>
    </row>
    <row r="18875" spans="13:13" x14ac:dyDescent="0.25">
      <c r="M18875" s="34">
        <f t="shared" si="470"/>
        <v>0</v>
      </c>
    </row>
    <row r="18876" spans="13:13" x14ac:dyDescent="0.25">
      <c r="M18876" s="34">
        <f t="shared" si="470"/>
        <v>0</v>
      </c>
    </row>
    <row r="18877" spans="13:13" x14ac:dyDescent="0.25">
      <c r="M18877" s="34">
        <f t="shared" si="470"/>
        <v>0</v>
      </c>
    </row>
    <row r="18878" spans="13:13" x14ac:dyDescent="0.25">
      <c r="M18878" s="34">
        <f t="shared" si="470"/>
        <v>0</v>
      </c>
    </row>
    <row r="18879" spans="13:13" x14ac:dyDescent="0.25">
      <c r="M18879" s="34">
        <f t="shared" si="470"/>
        <v>0</v>
      </c>
    </row>
    <row r="18880" spans="13:13" x14ac:dyDescent="0.25">
      <c r="M18880" s="34">
        <f t="shared" si="470"/>
        <v>0</v>
      </c>
    </row>
    <row r="18881" spans="13:13" x14ac:dyDescent="0.25">
      <c r="M18881" s="34">
        <f t="shared" si="470"/>
        <v>0</v>
      </c>
    </row>
    <row r="18882" spans="13:13" x14ac:dyDescent="0.25">
      <c r="M18882" s="34">
        <f t="shared" si="470"/>
        <v>0</v>
      </c>
    </row>
    <row r="18883" spans="13:13" x14ac:dyDescent="0.25">
      <c r="M18883" s="34">
        <f t="shared" ref="M18883:M18946" si="471">IF(AND(E18883="Chèque",G18883="RECETTE"),F18883,0)</f>
        <v>0</v>
      </c>
    </row>
    <row r="18884" spans="13:13" x14ac:dyDescent="0.25">
      <c r="M18884" s="34">
        <f t="shared" si="471"/>
        <v>0</v>
      </c>
    </row>
    <row r="18885" spans="13:13" x14ac:dyDescent="0.25">
      <c r="M18885" s="34">
        <f t="shared" si="471"/>
        <v>0</v>
      </c>
    </row>
    <row r="18886" spans="13:13" x14ac:dyDescent="0.25">
      <c r="M18886" s="34">
        <f t="shared" si="471"/>
        <v>0</v>
      </c>
    </row>
    <row r="18887" spans="13:13" x14ac:dyDescent="0.25">
      <c r="M18887" s="34">
        <f t="shared" si="471"/>
        <v>0</v>
      </c>
    </row>
    <row r="18888" spans="13:13" x14ac:dyDescent="0.25">
      <c r="M18888" s="34">
        <f t="shared" si="471"/>
        <v>0</v>
      </c>
    </row>
    <row r="18889" spans="13:13" x14ac:dyDescent="0.25">
      <c r="M18889" s="34">
        <f t="shared" si="471"/>
        <v>0</v>
      </c>
    </row>
    <row r="18890" spans="13:13" x14ac:dyDescent="0.25">
      <c r="M18890" s="34">
        <f t="shared" si="471"/>
        <v>0</v>
      </c>
    </row>
    <row r="18891" spans="13:13" x14ac:dyDescent="0.25">
      <c r="M18891" s="34">
        <f t="shared" si="471"/>
        <v>0</v>
      </c>
    </row>
    <row r="18892" spans="13:13" x14ac:dyDescent="0.25">
      <c r="M18892" s="34">
        <f t="shared" si="471"/>
        <v>0</v>
      </c>
    </row>
    <row r="18893" spans="13:13" x14ac:dyDescent="0.25">
      <c r="M18893" s="34">
        <f t="shared" si="471"/>
        <v>0</v>
      </c>
    </row>
    <row r="18894" spans="13:13" x14ac:dyDescent="0.25">
      <c r="M18894" s="34">
        <f t="shared" si="471"/>
        <v>0</v>
      </c>
    </row>
    <row r="18895" spans="13:13" x14ac:dyDescent="0.25">
      <c r="M18895" s="34">
        <f t="shared" si="471"/>
        <v>0</v>
      </c>
    </row>
    <row r="18896" spans="13:13" x14ac:dyDescent="0.25">
      <c r="M18896" s="34">
        <f t="shared" si="471"/>
        <v>0</v>
      </c>
    </row>
    <row r="18897" spans="13:13" x14ac:dyDescent="0.25">
      <c r="M18897" s="34">
        <f t="shared" si="471"/>
        <v>0</v>
      </c>
    </row>
    <row r="18898" spans="13:13" x14ac:dyDescent="0.25">
      <c r="M18898" s="34">
        <f t="shared" si="471"/>
        <v>0</v>
      </c>
    </row>
    <row r="18899" spans="13:13" x14ac:dyDescent="0.25">
      <c r="M18899" s="34">
        <f t="shared" si="471"/>
        <v>0</v>
      </c>
    </row>
    <row r="18900" spans="13:13" x14ac:dyDescent="0.25">
      <c r="M18900" s="34">
        <f t="shared" si="471"/>
        <v>0</v>
      </c>
    </row>
    <row r="18901" spans="13:13" x14ac:dyDescent="0.25">
      <c r="M18901" s="34">
        <f t="shared" si="471"/>
        <v>0</v>
      </c>
    </row>
    <row r="18902" spans="13:13" x14ac:dyDescent="0.25">
      <c r="M18902" s="34">
        <f t="shared" si="471"/>
        <v>0</v>
      </c>
    </row>
    <row r="18903" spans="13:13" x14ac:dyDescent="0.25">
      <c r="M18903" s="34">
        <f t="shared" si="471"/>
        <v>0</v>
      </c>
    </row>
    <row r="18904" spans="13:13" x14ac:dyDescent="0.25">
      <c r="M18904" s="34">
        <f t="shared" si="471"/>
        <v>0</v>
      </c>
    </row>
    <row r="18905" spans="13:13" x14ac:dyDescent="0.25">
      <c r="M18905" s="34">
        <f t="shared" si="471"/>
        <v>0</v>
      </c>
    </row>
    <row r="18906" spans="13:13" x14ac:dyDescent="0.25">
      <c r="M18906" s="34">
        <f t="shared" si="471"/>
        <v>0</v>
      </c>
    </row>
    <row r="18907" spans="13:13" x14ac:dyDescent="0.25">
      <c r="M18907" s="34">
        <f t="shared" si="471"/>
        <v>0</v>
      </c>
    </row>
    <row r="18908" spans="13:13" x14ac:dyDescent="0.25">
      <c r="M18908" s="34">
        <f t="shared" si="471"/>
        <v>0</v>
      </c>
    </row>
    <row r="18909" spans="13:13" x14ac:dyDescent="0.25">
      <c r="M18909" s="34">
        <f t="shared" si="471"/>
        <v>0</v>
      </c>
    </row>
    <row r="18910" spans="13:13" x14ac:dyDescent="0.25">
      <c r="M18910" s="34">
        <f t="shared" si="471"/>
        <v>0</v>
      </c>
    </row>
    <row r="18911" spans="13:13" x14ac:dyDescent="0.25">
      <c r="M18911" s="34">
        <f t="shared" si="471"/>
        <v>0</v>
      </c>
    </row>
    <row r="18912" spans="13:13" x14ac:dyDescent="0.25">
      <c r="M18912" s="34">
        <f t="shared" si="471"/>
        <v>0</v>
      </c>
    </row>
    <row r="18913" spans="13:13" x14ac:dyDescent="0.25">
      <c r="M18913" s="34">
        <f t="shared" si="471"/>
        <v>0</v>
      </c>
    </row>
    <row r="18914" spans="13:13" x14ac:dyDescent="0.25">
      <c r="M18914" s="34">
        <f t="shared" si="471"/>
        <v>0</v>
      </c>
    </row>
    <row r="18915" spans="13:13" x14ac:dyDescent="0.25">
      <c r="M18915" s="34">
        <f t="shared" si="471"/>
        <v>0</v>
      </c>
    </row>
    <row r="18916" spans="13:13" x14ac:dyDescent="0.25">
      <c r="M18916" s="34">
        <f t="shared" si="471"/>
        <v>0</v>
      </c>
    </row>
    <row r="18917" spans="13:13" x14ac:dyDescent="0.25">
      <c r="M18917" s="34">
        <f t="shared" si="471"/>
        <v>0</v>
      </c>
    </row>
    <row r="18918" spans="13:13" x14ac:dyDescent="0.25">
      <c r="M18918" s="34">
        <f t="shared" si="471"/>
        <v>0</v>
      </c>
    </row>
    <row r="18919" spans="13:13" x14ac:dyDescent="0.25">
      <c r="M18919" s="34">
        <f t="shared" si="471"/>
        <v>0</v>
      </c>
    </row>
    <row r="18920" spans="13:13" x14ac:dyDescent="0.25">
      <c r="M18920" s="34">
        <f t="shared" si="471"/>
        <v>0</v>
      </c>
    </row>
    <row r="18921" spans="13:13" x14ac:dyDescent="0.25">
      <c r="M18921" s="34">
        <f t="shared" si="471"/>
        <v>0</v>
      </c>
    </row>
    <row r="18922" spans="13:13" x14ac:dyDescent="0.25">
      <c r="M18922" s="34">
        <f t="shared" si="471"/>
        <v>0</v>
      </c>
    </row>
    <row r="18923" spans="13:13" x14ac:dyDescent="0.25">
      <c r="M18923" s="34">
        <f t="shared" si="471"/>
        <v>0</v>
      </c>
    </row>
    <row r="18924" spans="13:13" x14ac:dyDescent="0.25">
      <c r="M18924" s="34">
        <f t="shared" si="471"/>
        <v>0</v>
      </c>
    </row>
    <row r="18925" spans="13:13" x14ac:dyDescent="0.25">
      <c r="M18925" s="34">
        <f t="shared" si="471"/>
        <v>0</v>
      </c>
    </row>
    <row r="18926" spans="13:13" x14ac:dyDescent="0.25">
      <c r="M18926" s="34">
        <f t="shared" si="471"/>
        <v>0</v>
      </c>
    </row>
    <row r="18927" spans="13:13" x14ac:dyDescent="0.25">
      <c r="M18927" s="34">
        <f t="shared" si="471"/>
        <v>0</v>
      </c>
    </row>
    <row r="18928" spans="13:13" x14ac:dyDescent="0.25">
      <c r="M18928" s="34">
        <f t="shared" si="471"/>
        <v>0</v>
      </c>
    </row>
    <row r="18929" spans="13:13" x14ac:dyDescent="0.25">
      <c r="M18929" s="34">
        <f t="shared" si="471"/>
        <v>0</v>
      </c>
    </row>
    <row r="18930" spans="13:13" x14ac:dyDescent="0.25">
      <c r="M18930" s="34">
        <f t="shared" si="471"/>
        <v>0</v>
      </c>
    </row>
    <row r="18931" spans="13:13" x14ac:dyDescent="0.25">
      <c r="M18931" s="34">
        <f t="shared" si="471"/>
        <v>0</v>
      </c>
    </row>
    <row r="18932" spans="13:13" x14ac:dyDescent="0.25">
      <c r="M18932" s="34">
        <f t="shared" si="471"/>
        <v>0</v>
      </c>
    </row>
    <row r="18933" spans="13:13" x14ac:dyDescent="0.25">
      <c r="M18933" s="34">
        <f t="shared" si="471"/>
        <v>0</v>
      </c>
    </row>
    <row r="18934" spans="13:13" x14ac:dyDescent="0.25">
      <c r="M18934" s="34">
        <f t="shared" si="471"/>
        <v>0</v>
      </c>
    </row>
    <row r="18935" spans="13:13" x14ac:dyDescent="0.25">
      <c r="M18935" s="34">
        <f t="shared" si="471"/>
        <v>0</v>
      </c>
    </row>
    <row r="18936" spans="13:13" x14ac:dyDescent="0.25">
      <c r="M18936" s="34">
        <f t="shared" si="471"/>
        <v>0</v>
      </c>
    </row>
    <row r="18937" spans="13:13" x14ac:dyDescent="0.25">
      <c r="M18937" s="34">
        <f t="shared" si="471"/>
        <v>0</v>
      </c>
    </row>
    <row r="18938" spans="13:13" x14ac:dyDescent="0.25">
      <c r="M18938" s="34">
        <f t="shared" si="471"/>
        <v>0</v>
      </c>
    </row>
    <row r="18939" spans="13:13" x14ac:dyDescent="0.25">
      <c r="M18939" s="34">
        <f t="shared" si="471"/>
        <v>0</v>
      </c>
    </row>
    <row r="18940" spans="13:13" x14ac:dyDescent="0.25">
      <c r="M18940" s="34">
        <f t="shared" si="471"/>
        <v>0</v>
      </c>
    </row>
    <row r="18941" spans="13:13" x14ac:dyDescent="0.25">
      <c r="M18941" s="34">
        <f t="shared" si="471"/>
        <v>0</v>
      </c>
    </row>
    <row r="18942" spans="13:13" x14ac:dyDescent="0.25">
      <c r="M18942" s="34">
        <f t="shared" si="471"/>
        <v>0</v>
      </c>
    </row>
    <row r="18943" spans="13:13" x14ac:dyDescent="0.25">
      <c r="M18943" s="34">
        <f t="shared" si="471"/>
        <v>0</v>
      </c>
    </row>
    <row r="18944" spans="13:13" x14ac:dyDescent="0.25">
      <c r="M18944" s="34">
        <f t="shared" si="471"/>
        <v>0</v>
      </c>
    </row>
    <row r="18945" spans="13:13" x14ac:dyDescent="0.25">
      <c r="M18945" s="34">
        <f t="shared" si="471"/>
        <v>0</v>
      </c>
    </row>
    <row r="18946" spans="13:13" x14ac:dyDescent="0.25">
      <c r="M18946" s="34">
        <f t="shared" si="471"/>
        <v>0</v>
      </c>
    </row>
    <row r="18947" spans="13:13" x14ac:dyDescent="0.25">
      <c r="M18947" s="34">
        <f t="shared" ref="M18947:M19010" si="472">IF(AND(E18947="Chèque",G18947="RECETTE"),F18947,0)</f>
        <v>0</v>
      </c>
    </row>
    <row r="18948" spans="13:13" x14ac:dyDescent="0.25">
      <c r="M18948" s="34">
        <f t="shared" si="472"/>
        <v>0</v>
      </c>
    </row>
    <row r="18949" spans="13:13" x14ac:dyDescent="0.25">
      <c r="M18949" s="34">
        <f t="shared" si="472"/>
        <v>0</v>
      </c>
    </row>
    <row r="18950" spans="13:13" x14ac:dyDescent="0.25">
      <c r="M18950" s="34">
        <f t="shared" si="472"/>
        <v>0</v>
      </c>
    </row>
    <row r="18951" spans="13:13" x14ac:dyDescent="0.25">
      <c r="M18951" s="34">
        <f t="shared" si="472"/>
        <v>0</v>
      </c>
    </row>
    <row r="18952" spans="13:13" x14ac:dyDescent="0.25">
      <c r="M18952" s="34">
        <f t="shared" si="472"/>
        <v>0</v>
      </c>
    </row>
    <row r="18953" spans="13:13" x14ac:dyDescent="0.25">
      <c r="M18953" s="34">
        <f t="shared" si="472"/>
        <v>0</v>
      </c>
    </row>
    <row r="18954" spans="13:13" x14ac:dyDescent="0.25">
      <c r="M18954" s="34">
        <f t="shared" si="472"/>
        <v>0</v>
      </c>
    </row>
    <row r="18955" spans="13:13" x14ac:dyDescent="0.25">
      <c r="M18955" s="34">
        <f t="shared" si="472"/>
        <v>0</v>
      </c>
    </row>
    <row r="18956" spans="13:13" x14ac:dyDescent="0.25">
      <c r="M18956" s="34">
        <f t="shared" si="472"/>
        <v>0</v>
      </c>
    </row>
    <row r="18957" spans="13:13" x14ac:dyDescent="0.25">
      <c r="M18957" s="34">
        <f t="shared" si="472"/>
        <v>0</v>
      </c>
    </row>
    <row r="18958" spans="13:13" x14ac:dyDescent="0.25">
      <c r="M18958" s="34">
        <f t="shared" si="472"/>
        <v>0</v>
      </c>
    </row>
    <row r="18959" spans="13:13" x14ac:dyDescent="0.25">
      <c r="M18959" s="34">
        <f t="shared" si="472"/>
        <v>0</v>
      </c>
    </row>
    <row r="18960" spans="13:13" x14ac:dyDescent="0.25">
      <c r="M18960" s="34">
        <f t="shared" si="472"/>
        <v>0</v>
      </c>
    </row>
    <row r="18961" spans="13:13" x14ac:dyDescent="0.25">
      <c r="M18961" s="34">
        <f t="shared" si="472"/>
        <v>0</v>
      </c>
    </row>
    <row r="18962" spans="13:13" x14ac:dyDescent="0.25">
      <c r="M18962" s="34">
        <f t="shared" si="472"/>
        <v>0</v>
      </c>
    </row>
    <row r="18963" spans="13:13" x14ac:dyDescent="0.25">
      <c r="M18963" s="34">
        <f t="shared" si="472"/>
        <v>0</v>
      </c>
    </row>
    <row r="18964" spans="13:13" x14ac:dyDescent="0.25">
      <c r="M18964" s="34">
        <f t="shared" si="472"/>
        <v>0</v>
      </c>
    </row>
    <row r="18965" spans="13:13" x14ac:dyDescent="0.25">
      <c r="M18965" s="34">
        <f t="shared" si="472"/>
        <v>0</v>
      </c>
    </row>
    <row r="18966" spans="13:13" x14ac:dyDescent="0.25">
      <c r="M18966" s="34">
        <f t="shared" si="472"/>
        <v>0</v>
      </c>
    </row>
    <row r="18967" spans="13:13" x14ac:dyDescent="0.25">
      <c r="M18967" s="34">
        <f t="shared" si="472"/>
        <v>0</v>
      </c>
    </row>
    <row r="18968" spans="13:13" x14ac:dyDescent="0.25">
      <c r="M18968" s="34">
        <f t="shared" si="472"/>
        <v>0</v>
      </c>
    </row>
    <row r="18969" spans="13:13" x14ac:dyDescent="0.25">
      <c r="M18969" s="34">
        <f t="shared" si="472"/>
        <v>0</v>
      </c>
    </row>
    <row r="18970" spans="13:13" x14ac:dyDescent="0.25">
      <c r="M18970" s="34">
        <f t="shared" si="472"/>
        <v>0</v>
      </c>
    </row>
    <row r="18971" spans="13:13" x14ac:dyDescent="0.25">
      <c r="M18971" s="34">
        <f t="shared" si="472"/>
        <v>0</v>
      </c>
    </row>
    <row r="18972" spans="13:13" x14ac:dyDescent="0.25">
      <c r="M18972" s="34">
        <f t="shared" si="472"/>
        <v>0</v>
      </c>
    </row>
    <row r="18973" spans="13:13" x14ac:dyDescent="0.25">
      <c r="M18973" s="34">
        <f t="shared" si="472"/>
        <v>0</v>
      </c>
    </row>
    <row r="18974" spans="13:13" x14ac:dyDescent="0.25">
      <c r="M18974" s="34">
        <f t="shared" si="472"/>
        <v>0</v>
      </c>
    </row>
    <row r="18975" spans="13:13" x14ac:dyDescent="0.25">
      <c r="M18975" s="34">
        <f t="shared" si="472"/>
        <v>0</v>
      </c>
    </row>
    <row r="18976" spans="13:13" x14ac:dyDescent="0.25">
      <c r="M18976" s="34">
        <f t="shared" si="472"/>
        <v>0</v>
      </c>
    </row>
    <row r="18977" spans="13:13" x14ac:dyDescent="0.25">
      <c r="M18977" s="34">
        <f t="shared" si="472"/>
        <v>0</v>
      </c>
    </row>
    <row r="18978" spans="13:13" x14ac:dyDescent="0.25">
      <c r="M18978" s="34">
        <f t="shared" si="472"/>
        <v>0</v>
      </c>
    </row>
    <row r="18979" spans="13:13" x14ac:dyDescent="0.25">
      <c r="M18979" s="34">
        <f t="shared" si="472"/>
        <v>0</v>
      </c>
    </row>
    <row r="18980" spans="13:13" x14ac:dyDescent="0.25">
      <c r="M18980" s="34">
        <f t="shared" si="472"/>
        <v>0</v>
      </c>
    </row>
    <row r="18981" spans="13:13" x14ac:dyDescent="0.25">
      <c r="M18981" s="34">
        <f t="shared" si="472"/>
        <v>0</v>
      </c>
    </row>
    <row r="18982" spans="13:13" x14ac:dyDescent="0.25">
      <c r="M18982" s="34">
        <f t="shared" si="472"/>
        <v>0</v>
      </c>
    </row>
    <row r="18983" spans="13:13" x14ac:dyDescent="0.25">
      <c r="M18983" s="34">
        <f t="shared" si="472"/>
        <v>0</v>
      </c>
    </row>
    <row r="18984" spans="13:13" x14ac:dyDescent="0.25">
      <c r="M18984" s="34">
        <f t="shared" si="472"/>
        <v>0</v>
      </c>
    </row>
    <row r="18985" spans="13:13" x14ac:dyDescent="0.25">
      <c r="M18985" s="34">
        <f t="shared" si="472"/>
        <v>0</v>
      </c>
    </row>
    <row r="18986" spans="13:13" x14ac:dyDescent="0.25">
      <c r="M18986" s="34">
        <f t="shared" si="472"/>
        <v>0</v>
      </c>
    </row>
    <row r="18987" spans="13:13" x14ac:dyDescent="0.25">
      <c r="M18987" s="34">
        <f t="shared" si="472"/>
        <v>0</v>
      </c>
    </row>
    <row r="18988" spans="13:13" x14ac:dyDescent="0.25">
      <c r="M18988" s="34">
        <f t="shared" si="472"/>
        <v>0</v>
      </c>
    </row>
    <row r="18989" spans="13:13" x14ac:dyDescent="0.25">
      <c r="M18989" s="34">
        <f t="shared" si="472"/>
        <v>0</v>
      </c>
    </row>
    <row r="18990" spans="13:13" x14ac:dyDescent="0.25">
      <c r="M18990" s="34">
        <f t="shared" si="472"/>
        <v>0</v>
      </c>
    </row>
    <row r="18991" spans="13:13" x14ac:dyDescent="0.25">
      <c r="M18991" s="34">
        <f t="shared" si="472"/>
        <v>0</v>
      </c>
    </row>
    <row r="18992" spans="13:13" x14ac:dyDescent="0.25">
      <c r="M18992" s="34">
        <f t="shared" si="472"/>
        <v>0</v>
      </c>
    </row>
    <row r="18993" spans="13:13" x14ac:dyDescent="0.25">
      <c r="M18993" s="34">
        <f t="shared" si="472"/>
        <v>0</v>
      </c>
    </row>
    <row r="18994" spans="13:13" x14ac:dyDescent="0.25">
      <c r="M18994" s="34">
        <f t="shared" si="472"/>
        <v>0</v>
      </c>
    </row>
    <row r="18995" spans="13:13" x14ac:dyDescent="0.25">
      <c r="M18995" s="34">
        <f t="shared" si="472"/>
        <v>0</v>
      </c>
    </row>
    <row r="18996" spans="13:13" x14ac:dyDescent="0.25">
      <c r="M18996" s="34">
        <f t="shared" si="472"/>
        <v>0</v>
      </c>
    </row>
    <row r="18997" spans="13:13" x14ac:dyDescent="0.25">
      <c r="M18997" s="34">
        <f t="shared" si="472"/>
        <v>0</v>
      </c>
    </row>
    <row r="18998" spans="13:13" x14ac:dyDescent="0.25">
      <c r="M18998" s="34">
        <f t="shared" si="472"/>
        <v>0</v>
      </c>
    </row>
    <row r="18999" spans="13:13" x14ac:dyDescent="0.25">
      <c r="M18999" s="34">
        <f t="shared" si="472"/>
        <v>0</v>
      </c>
    </row>
    <row r="19000" spans="13:13" x14ac:dyDescent="0.25">
      <c r="M19000" s="34">
        <f t="shared" si="472"/>
        <v>0</v>
      </c>
    </row>
    <row r="19001" spans="13:13" x14ac:dyDescent="0.25">
      <c r="M19001" s="34">
        <f t="shared" si="472"/>
        <v>0</v>
      </c>
    </row>
    <row r="19002" spans="13:13" x14ac:dyDescent="0.25">
      <c r="M19002" s="34">
        <f t="shared" si="472"/>
        <v>0</v>
      </c>
    </row>
    <row r="19003" spans="13:13" x14ac:dyDescent="0.25">
      <c r="M19003" s="34">
        <f t="shared" si="472"/>
        <v>0</v>
      </c>
    </row>
    <row r="19004" spans="13:13" x14ac:dyDescent="0.25">
      <c r="M19004" s="34">
        <f t="shared" si="472"/>
        <v>0</v>
      </c>
    </row>
    <row r="19005" spans="13:13" x14ac:dyDescent="0.25">
      <c r="M19005" s="34">
        <f t="shared" si="472"/>
        <v>0</v>
      </c>
    </row>
    <row r="19006" spans="13:13" x14ac:dyDescent="0.25">
      <c r="M19006" s="34">
        <f t="shared" si="472"/>
        <v>0</v>
      </c>
    </row>
    <row r="19007" spans="13:13" x14ac:dyDescent="0.25">
      <c r="M19007" s="34">
        <f t="shared" si="472"/>
        <v>0</v>
      </c>
    </row>
    <row r="19008" spans="13:13" x14ac:dyDescent="0.25">
      <c r="M19008" s="34">
        <f t="shared" si="472"/>
        <v>0</v>
      </c>
    </row>
    <row r="19009" spans="13:13" x14ac:dyDescent="0.25">
      <c r="M19009" s="34">
        <f t="shared" si="472"/>
        <v>0</v>
      </c>
    </row>
    <row r="19010" spans="13:13" x14ac:dyDescent="0.25">
      <c r="M19010" s="34">
        <f t="shared" si="472"/>
        <v>0</v>
      </c>
    </row>
    <row r="19011" spans="13:13" x14ac:dyDescent="0.25">
      <c r="M19011" s="34">
        <f t="shared" ref="M19011:M19074" si="473">IF(AND(E19011="Chèque",G19011="RECETTE"),F19011,0)</f>
        <v>0</v>
      </c>
    </row>
    <row r="19012" spans="13:13" x14ac:dyDescent="0.25">
      <c r="M19012" s="34">
        <f t="shared" si="473"/>
        <v>0</v>
      </c>
    </row>
    <row r="19013" spans="13:13" x14ac:dyDescent="0.25">
      <c r="M19013" s="34">
        <f t="shared" si="473"/>
        <v>0</v>
      </c>
    </row>
    <row r="19014" spans="13:13" x14ac:dyDescent="0.25">
      <c r="M19014" s="34">
        <f t="shared" si="473"/>
        <v>0</v>
      </c>
    </row>
    <row r="19015" spans="13:13" x14ac:dyDescent="0.25">
      <c r="M19015" s="34">
        <f t="shared" si="473"/>
        <v>0</v>
      </c>
    </row>
    <row r="19016" spans="13:13" x14ac:dyDescent="0.25">
      <c r="M19016" s="34">
        <f t="shared" si="473"/>
        <v>0</v>
      </c>
    </row>
    <row r="19017" spans="13:13" x14ac:dyDescent="0.25">
      <c r="M19017" s="34">
        <f t="shared" si="473"/>
        <v>0</v>
      </c>
    </row>
    <row r="19018" spans="13:13" x14ac:dyDescent="0.25">
      <c r="M19018" s="34">
        <f t="shared" si="473"/>
        <v>0</v>
      </c>
    </row>
    <row r="19019" spans="13:13" x14ac:dyDescent="0.25">
      <c r="M19019" s="34">
        <f t="shared" si="473"/>
        <v>0</v>
      </c>
    </row>
    <row r="19020" spans="13:13" x14ac:dyDescent="0.25">
      <c r="M19020" s="34">
        <f t="shared" si="473"/>
        <v>0</v>
      </c>
    </row>
    <row r="19021" spans="13:13" x14ac:dyDescent="0.25">
      <c r="M19021" s="34">
        <f t="shared" si="473"/>
        <v>0</v>
      </c>
    </row>
    <row r="19022" spans="13:13" x14ac:dyDescent="0.25">
      <c r="M19022" s="34">
        <f t="shared" si="473"/>
        <v>0</v>
      </c>
    </row>
    <row r="19023" spans="13:13" x14ac:dyDescent="0.25">
      <c r="M19023" s="34">
        <f t="shared" si="473"/>
        <v>0</v>
      </c>
    </row>
    <row r="19024" spans="13:13" x14ac:dyDescent="0.25">
      <c r="M19024" s="34">
        <f t="shared" si="473"/>
        <v>0</v>
      </c>
    </row>
    <row r="19025" spans="13:13" x14ac:dyDescent="0.25">
      <c r="M19025" s="34">
        <f t="shared" si="473"/>
        <v>0</v>
      </c>
    </row>
    <row r="19026" spans="13:13" x14ac:dyDescent="0.25">
      <c r="M19026" s="34">
        <f t="shared" si="473"/>
        <v>0</v>
      </c>
    </row>
    <row r="19027" spans="13:13" x14ac:dyDescent="0.25">
      <c r="M19027" s="34">
        <f t="shared" si="473"/>
        <v>0</v>
      </c>
    </row>
    <row r="19028" spans="13:13" x14ac:dyDescent="0.25">
      <c r="M19028" s="34">
        <f t="shared" si="473"/>
        <v>0</v>
      </c>
    </row>
    <row r="19029" spans="13:13" x14ac:dyDescent="0.25">
      <c r="M19029" s="34">
        <f t="shared" si="473"/>
        <v>0</v>
      </c>
    </row>
    <row r="19030" spans="13:13" x14ac:dyDescent="0.25">
      <c r="M19030" s="34">
        <f t="shared" si="473"/>
        <v>0</v>
      </c>
    </row>
    <row r="19031" spans="13:13" x14ac:dyDescent="0.25">
      <c r="M19031" s="34">
        <f t="shared" si="473"/>
        <v>0</v>
      </c>
    </row>
    <row r="19032" spans="13:13" x14ac:dyDescent="0.25">
      <c r="M19032" s="34">
        <f t="shared" si="473"/>
        <v>0</v>
      </c>
    </row>
    <row r="19033" spans="13:13" x14ac:dyDescent="0.25">
      <c r="M19033" s="34">
        <f t="shared" si="473"/>
        <v>0</v>
      </c>
    </row>
    <row r="19034" spans="13:13" x14ac:dyDescent="0.25">
      <c r="M19034" s="34">
        <f t="shared" si="473"/>
        <v>0</v>
      </c>
    </row>
    <row r="19035" spans="13:13" x14ac:dyDescent="0.25">
      <c r="M19035" s="34">
        <f t="shared" si="473"/>
        <v>0</v>
      </c>
    </row>
    <row r="19036" spans="13:13" x14ac:dyDescent="0.25">
      <c r="M19036" s="34">
        <f t="shared" si="473"/>
        <v>0</v>
      </c>
    </row>
    <row r="19037" spans="13:13" x14ac:dyDescent="0.25">
      <c r="M19037" s="34">
        <f t="shared" si="473"/>
        <v>0</v>
      </c>
    </row>
    <row r="19038" spans="13:13" x14ac:dyDescent="0.25">
      <c r="M19038" s="34">
        <f t="shared" si="473"/>
        <v>0</v>
      </c>
    </row>
    <row r="19039" spans="13:13" x14ac:dyDescent="0.25">
      <c r="M19039" s="34">
        <f t="shared" si="473"/>
        <v>0</v>
      </c>
    </row>
    <row r="19040" spans="13:13" x14ac:dyDescent="0.25">
      <c r="M19040" s="34">
        <f t="shared" si="473"/>
        <v>0</v>
      </c>
    </row>
    <row r="19041" spans="13:13" x14ac:dyDescent="0.25">
      <c r="M19041" s="34">
        <f t="shared" si="473"/>
        <v>0</v>
      </c>
    </row>
    <row r="19042" spans="13:13" x14ac:dyDescent="0.25">
      <c r="M19042" s="34">
        <f t="shared" si="473"/>
        <v>0</v>
      </c>
    </row>
    <row r="19043" spans="13:13" x14ac:dyDescent="0.25">
      <c r="M19043" s="34">
        <f t="shared" si="473"/>
        <v>0</v>
      </c>
    </row>
    <row r="19044" spans="13:13" x14ac:dyDescent="0.25">
      <c r="M19044" s="34">
        <f t="shared" si="473"/>
        <v>0</v>
      </c>
    </row>
    <row r="19045" spans="13:13" x14ac:dyDescent="0.25">
      <c r="M19045" s="34">
        <f t="shared" si="473"/>
        <v>0</v>
      </c>
    </row>
    <row r="19046" spans="13:13" x14ac:dyDescent="0.25">
      <c r="M19046" s="34">
        <f t="shared" si="473"/>
        <v>0</v>
      </c>
    </row>
    <row r="19047" spans="13:13" x14ac:dyDescent="0.25">
      <c r="M19047" s="34">
        <f t="shared" si="473"/>
        <v>0</v>
      </c>
    </row>
    <row r="19048" spans="13:13" x14ac:dyDescent="0.25">
      <c r="M19048" s="34">
        <f t="shared" si="473"/>
        <v>0</v>
      </c>
    </row>
    <row r="19049" spans="13:13" x14ac:dyDescent="0.25">
      <c r="M19049" s="34">
        <f t="shared" si="473"/>
        <v>0</v>
      </c>
    </row>
    <row r="19050" spans="13:13" x14ac:dyDescent="0.25">
      <c r="M19050" s="34">
        <f t="shared" si="473"/>
        <v>0</v>
      </c>
    </row>
    <row r="19051" spans="13:13" x14ac:dyDescent="0.25">
      <c r="M19051" s="34">
        <f t="shared" si="473"/>
        <v>0</v>
      </c>
    </row>
    <row r="19052" spans="13:13" x14ac:dyDescent="0.25">
      <c r="M19052" s="34">
        <f t="shared" si="473"/>
        <v>0</v>
      </c>
    </row>
    <row r="19053" spans="13:13" x14ac:dyDescent="0.25">
      <c r="M19053" s="34">
        <f t="shared" si="473"/>
        <v>0</v>
      </c>
    </row>
    <row r="19054" spans="13:13" x14ac:dyDescent="0.25">
      <c r="M19054" s="34">
        <f t="shared" si="473"/>
        <v>0</v>
      </c>
    </row>
    <row r="19055" spans="13:13" x14ac:dyDescent="0.25">
      <c r="M19055" s="34">
        <f t="shared" si="473"/>
        <v>0</v>
      </c>
    </row>
    <row r="19056" spans="13:13" x14ac:dyDescent="0.25">
      <c r="M19056" s="34">
        <f t="shared" si="473"/>
        <v>0</v>
      </c>
    </row>
    <row r="19057" spans="13:13" x14ac:dyDescent="0.25">
      <c r="M19057" s="34">
        <f t="shared" si="473"/>
        <v>0</v>
      </c>
    </row>
    <row r="19058" spans="13:13" x14ac:dyDescent="0.25">
      <c r="M19058" s="34">
        <f t="shared" si="473"/>
        <v>0</v>
      </c>
    </row>
    <row r="19059" spans="13:13" x14ac:dyDescent="0.25">
      <c r="M19059" s="34">
        <f t="shared" si="473"/>
        <v>0</v>
      </c>
    </row>
    <row r="19060" spans="13:13" x14ac:dyDescent="0.25">
      <c r="M19060" s="34">
        <f t="shared" si="473"/>
        <v>0</v>
      </c>
    </row>
    <row r="19061" spans="13:13" x14ac:dyDescent="0.25">
      <c r="M19061" s="34">
        <f t="shared" si="473"/>
        <v>0</v>
      </c>
    </row>
    <row r="19062" spans="13:13" x14ac:dyDescent="0.25">
      <c r="M19062" s="34">
        <f t="shared" si="473"/>
        <v>0</v>
      </c>
    </row>
    <row r="19063" spans="13:13" x14ac:dyDescent="0.25">
      <c r="M19063" s="34">
        <f t="shared" si="473"/>
        <v>0</v>
      </c>
    </row>
    <row r="19064" spans="13:13" x14ac:dyDescent="0.25">
      <c r="M19064" s="34">
        <f t="shared" si="473"/>
        <v>0</v>
      </c>
    </row>
    <row r="19065" spans="13:13" x14ac:dyDescent="0.25">
      <c r="M19065" s="34">
        <f t="shared" si="473"/>
        <v>0</v>
      </c>
    </row>
    <row r="19066" spans="13:13" x14ac:dyDescent="0.25">
      <c r="M19066" s="34">
        <f t="shared" si="473"/>
        <v>0</v>
      </c>
    </row>
    <row r="19067" spans="13:13" x14ac:dyDescent="0.25">
      <c r="M19067" s="34">
        <f t="shared" si="473"/>
        <v>0</v>
      </c>
    </row>
    <row r="19068" spans="13:13" x14ac:dyDescent="0.25">
      <c r="M19068" s="34">
        <f t="shared" si="473"/>
        <v>0</v>
      </c>
    </row>
    <row r="19069" spans="13:13" x14ac:dyDescent="0.25">
      <c r="M19069" s="34">
        <f t="shared" si="473"/>
        <v>0</v>
      </c>
    </row>
    <row r="19070" spans="13:13" x14ac:dyDescent="0.25">
      <c r="M19070" s="34">
        <f t="shared" si="473"/>
        <v>0</v>
      </c>
    </row>
    <row r="19071" spans="13:13" x14ac:dyDescent="0.25">
      <c r="M19071" s="34">
        <f t="shared" si="473"/>
        <v>0</v>
      </c>
    </row>
    <row r="19072" spans="13:13" x14ac:dyDescent="0.25">
      <c r="M19072" s="34">
        <f t="shared" si="473"/>
        <v>0</v>
      </c>
    </row>
    <row r="19073" spans="13:13" x14ac:dyDescent="0.25">
      <c r="M19073" s="34">
        <f t="shared" si="473"/>
        <v>0</v>
      </c>
    </row>
    <row r="19074" spans="13:13" x14ac:dyDescent="0.25">
      <c r="M19074" s="34">
        <f t="shared" si="473"/>
        <v>0</v>
      </c>
    </row>
    <row r="19075" spans="13:13" x14ac:dyDescent="0.25">
      <c r="M19075" s="34">
        <f t="shared" ref="M19075:M19138" si="474">IF(AND(E19075="Chèque",G19075="RECETTE"),F19075,0)</f>
        <v>0</v>
      </c>
    </row>
    <row r="19076" spans="13:13" x14ac:dyDescent="0.25">
      <c r="M19076" s="34">
        <f t="shared" si="474"/>
        <v>0</v>
      </c>
    </row>
    <row r="19077" spans="13:13" x14ac:dyDescent="0.25">
      <c r="M19077" s="34">
        <f t="shared" si="474"/>
        <v>0</v>
      </c>
    </row>
    <row r="19078" spans="13:13" x14ac:dyDescent="0.25">
      <c r="M19078" s="34">
        <f t="shared" si="474"/>
        <v>0</v>
      </c>
    </row>
    <row r="19079" spans="13:13" x14ac:dyDescent="0.25">
      <c r="M19079" s="34">
        <f t="shared" si="474"/>
        <v>0</v>
      </c>
    </row>
    <row r="19080" spans="13:13" x14ac:dyDescent="0.25">
      <c r="M19080" s="34">
        <f t="shared" si="474"/>
        <v>0</v>
      </c>
    </row>
    <row r="19081" spans="13:13" x14ac:dyDescent="0.25">
      <c r="M19081" s="34">
        <f t="shared" si="474"/>
        <v>0</v>
      </c>
    </row>
    <row r="19082" spans="13:13" x14ac:dyDescent="0.25">
      <c r="M19082" s="34">
        <f t="shared" si="474"/>
        <v>0</v>
      </c>
    </row>
    <row r="19083" spans="13:13" x14ac:dyDescent="0.25">
      <c r="M19083" s="34">
        <f t="shared" si="474"/>
        <v>0</v>
      </c>
    </row>
    <row r="19084" spans="13:13" x14ac:dyDescent="0.25">
      <c r="M19084" s="34">
        <f t="shared" si="474"/>
        <v>0</v>
      </c>
    </row>
    <row r="19085" spans="13:13" x14ac:dyDescent="0.25">
      <c r="M19085" s="34">
        <f t="shared" si="474"/>
        <v>0</v>
      </c>
    </row>
    <row r="19086" spans="13:13" x14ac:dyDescent="0.25">
      <c r="M19086" s="34">
        <f t="shared" si="474"/>
        <v>0</v>
      </c>
    </row>
    <row r="19087" spans="13:13" x14ac:dyDescent="0.25">
      <c r="M19087" s="34">
        <f t="shared" si="474"/>
        <v>0</v>
      </c>
    </row>
    <row r="19088" spans="13:13" x14ac:dyDescent="0.25">
      <c r="M19088" s="34">
        <f t="shared" si="474"/>
        <v>0</v>
      </c>
    </row>
    <row r="19089" spans="13:13" x14ac:dyDescent="0.25">
      <c r="M19089" s="34">
        <f t="shared" si="474"/>
        <v>0</v>
      </c>
    </row>
    <row r="19090" spans="13:13" x14ac:dyDescent="0.25">
      <c r="M19090" s="34">
        <f t="shared" si="474"/>
        <v>0</v>
      </c>
    </row>
    <row r="19091" spans="13:13" x14ac:dyDescent="0.25">
      <c r="M19091" s="34">
        <f t="shared" si="474"/>
        <v>0</v>
      </c>
    </row>
    <row r="19092" spans="13:13" x14ac:dyDescent="0.25">
      <c r="M19092" s="34">
        <f t="shared" si="474"/>
        <v>0</v>
      </c>
    </row>
    <row r="19093" spans="13:13" x14ac:dyDescent="0.25">
      <c r="M19093" s="34">
        <f t="shared" si="474"/>
        <v>0</v>
      </c>
    </row>
    <row r="19094" spans="13:13" x14ac:dyDescent="0.25">
      <c r="M19094" s="34">
        <f t="shared" si="474"/>
        <v>0</v>
      </c>
    </row>
    <row r="19095" spans="13:13" x14ac:dyDescent="0.25">
      <c r="M19095" s="34">
        <f t="shared" si="474"/>
        <v>0</v>
      </c>
    </row>
    <row r="19096" spans="13:13" x14ac:dyDescent="0.25">
      <c r="M19096" s="34">
        <f t="shared" si="474"/>
        <v>0</v>
      </c>
    </row>
    <row r="19097" spans="13:13" x14ac:dyDescent="0.25">
      <c r="M19097" s="34">
        <f t="shared" si="474"/>
        <v>0</v>
      </c>
    </row>
    <row r="19098" spans="13:13" x14ac:dyDescent="0.25">
      <c r="M19098" s="34">
        <f t="shared" si="474"/>
        <v>0</v>
      </c>
    </row>
    <row r="19099" spans="13:13" x14ac:dyDescent="0.25">
      <c r="M19099" s="34">
        <f t="shared" si="474"/>
        <v>0</v>
      </c>
    </row>
    <row r="19100" spans="13:13" x14ac:dyDescent="0.25">
      <c r="M19100" s="34">
        <f t="shared" si="474"/>
        <v>0</v>
      </c>
    </row>
    <row r="19101" spans="13:13" x14ac:dyDescent="0.25">
      <c r="M19101" s="34">
        <f t="shared" si="474"/>
        <v>0</v>
      </c>
    </row>
    <row r="19102" spans="13:13" x14ac:dyDescent="0.25">
      <c r="M19102" s="34">
        <f t="shared" si="474"/>
        <v>0</v>
      </c>
    </row>
    <row r="19103" spans="13:13" x14ac:dyDescent="0.25">
      <c r="M19103" s="34">
        <f t="shared" si="474"/>
        <v>0</v>
      </c>
    </row>
    <row r="19104" spans="13:13" x14ac:dyDescent="0.25">
      <c r="M19104" s="34">
        <f t="shared" si="474"/>
        <v>0</v>
      </c>
    </row>
    <row r="19105" spans="13:13" x14ac:dyDescent="0.25">
      <c r="M19105" s="34">
        <f t="shared" si="474"/>
        <v>0</v>
      </c>
    </row>
    <row r="19106" spans="13:13" x14ac:dyDescent="0.25">
      <c r="M19106" s="34">
        <f t="shared" si="474"/>
        <v>0</v>
      </c>
    </row>
    <row r="19107" spans="13:13" x14ac:dyDescent="0.25">
      <c r="M19107" s="34">
        <f t="shared" si="474"/>
        <v>0</v>
      </c>
    </row>
    <row r="19108" spans="13:13" x14ac:dyDescent="0.25">
      <c r="M19108" s="34">
        <f t="shared" si="474"/>
        <v>0</v>
      </c>
    </row>
    <row r="19109" spans="13:13" x14ac:dyDescent="0.25">
      <c r="M19109" s="34">
        <f t="shared" si="474"/>
        <v>0</v>
      </c>
    </row>
    <row r="19110" spans="13:13" x14ac:dyDescent="0.25">
      <c r="M19110" s="34">
        <f t="shared" si="474"/>
        <v>0</v>
      </c>
    </row>
    <row r="19111" spans="13:13" x14ac:dyDescent="0.25">
      <c r="M19111" s="34">
        <f t="shared" si="474"/>
        <v>0</v>
      </c>
    </row>
    <row r="19112" spans="13:13" x14ac:dyDescent="0.25">
      <c r="M19112" s="34">
        <f t="shared" si="474"/>
        <v>0</v>
      </c>
    </row>
    <row r="19113" spans="13:13" x14ac:dyDescent="0.25">
      <c r="M19113" s="34">
        <f t="shared" si="474"/>
        <v>0</v>
      </c>
    </row>
    <row r="19114" spans="13:13" x14ac:dyDescent="0.25">
      <c r="M19114" s="34">
        <f t="shared" si="474"/>
        <v>0</v>
      </c>
    </row>
    <row r="19115" spans="13:13" x14ac:dyDescent="0.25">
      <c r="M19115" s="34">
        <f t="shared" si="474"/>
        <v>0</v>
      </c>
    </row>
    <row r="19116" spans="13:13" x14ac:dyDescent="0.25">
      <c r="M19116" s="34">
        <f t="shared" si="474"/>
        <v>0</v>
      </c>
    </row>
    <row r="19117" spans="13:13" x14ac:dyDescent="0.25">
      <c r="M19117" s="34">
        <f t="shared" si="474"/>
        <v>0</v>
      </c>
    </row>
    <row r="19118" spans="13:13" x14ac:dyDescent="0.25">
      <c r="M19118" s="34">
        <f t="shared" si="474"/>
        <v>0</v>
      </c>
    </row>
    <row r="19119" spans="13:13" x14ac:dyDescent="0.25">
      <c r="M19119" s="34">
        <f t="shared" si="474"/>
        <v>0</v>
      </c>
    </row>
    <row r="19120" spans="13:13" x14ac:dyDescent="0.25">
      <c r="M19120" s="34">
        <f t="shared" si="474"/>
        <v>0</v>
      </c>
    </row>
    <row r="19121" spans="13:13" x14ac:dyDescent="0.25">
      <c r="M19121" s="34">
        <f t="shared" si="474"/>
        <v>0</v>
      </c>
    </row>
    <row r="19122" spans="13:13" x14ac:dyDescent="0.25">
      <c r="M19122" s="34">
        <f t="shared" si="474"/>
        <v>0</v>
      </c>
    </row>
    <row r="19123" spans="13:13" x14ac:dyDescent="0.25">
      <c r="M19123" s="34">
        <f t="shared" si="474"/>
        <v>0</v>
      </c>
    </row>
    <row r="19124" spans="13:13" x14ac:dyDescent="0.25">
      <c r="M19124" s="34">
        <f t="shared" si="474"/>
        <v>0</v>
      </c>
    </row>
    <row r="19125" spans="13:13" x14ac:dyDescent="0.25">
      <c r="M19125" s="34">
        <f t="shared" si="474"/>
        <v>0</v>
      </c>
    </row>
    <row r="19126" spans="13:13" x14ac:dyDescent="0.25">
      <c r="M19126" s="34">
        <f t="shared" si="474"/>
        <v>0</v>
      </c>
    </row>
    <row r="19127" spans="13:13" x14ac:dyDescent="0.25">
      <c r="M19127" s="34">
        <f t="shared" si="474"/>
        <v>0</v>
      </c>
    </row>
    <row r="19128" spans="13:13" x14ac:dyDescent="0.25">
      <c r="M19128" s="34">
        <f t="shared" si="474"/>
        <v>0</v>
      </c>
    </row>
    <row r="19129" spans="13:13" x14ac:dyDescent="0.25">
      <c r="M19129" s="34">
        <f t="shared" si="474"/>
        <v>0</v>
      </c>
    </row>
    <row r="19130" spans="13:13" x14ac:dyDescent="0.25">
      <c r="M19130" s="34">
        <f t="shared" si="474"/>
        <v>0</v>
      </c>
    </row>
    <row r="19131" spans="13:13" x14ac:dyDescent="0.25">
      <c r="M19131" s="34">
        <f t="shared" si="474"/>
        <v>0</v>
      </c>
    </row>
    <row r="19132" spans="13:13" x14ac:dyDescent="0.25">
      <c r="M19132" s="34">
        <f t="shared" si="474"/>
        <v>0</v>
      </c>
    </row>
    <row r="19133" spans="13:13" x14ac:dyDescent="0.25">
      <c r="M19133" s="34">
        <f t="shared" si="474"/>
        <v>0</v>
      </c>
    </row>
    <row r="19134" spans="13:13" x14ac:dyDescent="0.25">
      <c r="M19134" s="34">
        <f t="shared" si="474"/>
        <v>0</v>
      </c>
    </row>
    <row r="19135" spans="13:13" x14ac:dyDescent="0.25">
      <c r="M19135" s="34">
        <f t="shared" si="474"/>
        <v>0</v>
      </c>
    </row>
    <row r="19136" spans="13:13" x14ac:dyDescent="0.25">
      <c r="M19136" s="34">
        <f t="shared" si="474"/>
        <v>0</v>
      </c>
    </row>
    <row r="19137" spans="13:13" x14ac:dyDescent="0.25">
      <c r="M19137" s="34">
        <f t="shared" si="474"/>
        <v>0</v>
      </c>
    </row>
    <row r="19138" spans="13:13" x14ac:dyDescent="0.25">
      <c r="M19138" s="34">
        <f t="shared" si="474"/>
        <v>0</v>
      </c>
    </row>
    <row r="19139" spans="13:13" x14ac:dyDescent="0.25">
      <c r="M19139" s="34">
        <f t="shared" ref="M19139:M19202" si="475">IF(AND(E19139="Chèque",G19139="RECETTE"),F19139,0)</f>
        <v>0</v>
      </c>
    </row>
    <row r="19140" spans="13:13" x14ac:dyDescent="0.25">
      <c r="M19140" s="34">
        <f t="shared" si="475"/>
        <v>0</v>
      </c>
    </row>
    <row r="19141" spans="13:13" x14ac:dyDescent="0.25">
      <c r="M19141" s="34">
        <f t="shared" si="475"/>
        <v>0</v>
      </c>
    </row>
    <row r="19142" spans="13:13" x14ac:dyDescent="0.25">
      <c r="M19142" s="34">
        <f t="shared" si="475"/>
        <v>0</v>
      </c>
    </row>
    <row r="19143" spans="13:13" x14ac:dyDescent="0.25">
      <c r="M19143" s="34">
        <f t="shared" si="475"/>
        <v>0</v>
      </c>
    </row>
    <row r="19144" spans="13:13" x14ac:dyDescent="0.25">
      <c r="M19144" s="34">
        <f t="shared" si="475"/>
        <v>0</v>
      </c>
    </row>
    <row r="19145" spans="13:13" x14ac:dyDescent="0.25">
      <c r="M19145" s="34">
        <f t="shared" si="475"/>
        <v>0</v>
      </c>
    </row>
    <row r="19146" spans="13:13" x14ac:dyDescent="0.25">
      <c r="M19146" s="34">
        <f t="shared" si="475"/>
        <v>0</v>
      </c>
    </row>
    <row r="19147" spans="13:13" x14ac:dyDescent="0.25">
      <c r="M19147" s="34">
        <f t="shared" si="475"/>
        <v>0</v>
      </c>
    </row>
    <row r="19148" spans="13:13" x14ac:dyDescent="0.25">
      <c r="M19148" s="34">
        <f t="shared" si="475"/>
        <v>0</v>
      </c>
    </row>
    <row r="19149" spans="13:13" x14ac:dyDescent="0.25">
      <c r="M19149" s="34">
        <f t="shared" si="475"/>
        <v>0</v>
      </c>
    </row>
    <row r="19150" spans="13:13" x14ac:dyDescent="0.25">
      <c r="M19150" s="34">
        <f t="shared" si="475"/>
        <v>0</v>
      </c>
    </row>
    <row r="19151" spans="13:13" x14ac:dyDescent="0.25">
      <c r="M19151" s="34">
        <f t="shared" si="475"/>
        <v>0</v>
      </c>
    </row>
    <row r="19152" spans="13:13" x14ac:dyDescent="0.25">
      <c r="M19152" s="34">
        <f t="shared" si="475"/>
        <v>0</v>
      </c>
    </row>
    <row r="19153" spans="13:13" x14ac:dyDescent="0.25">
      <c r="M19153" s="34">
        <f t="shared" si="475"/>
        <v>0</v>
      </c>
    </row>
    <row r="19154" spans="13:13" x14ac:dyDescent="0.25">
      <c r="M19154" s="34">
        <f t="shared" si="475"/>
        <v>0</v>
      </c>
    </row>
    <row r="19155" spans="13:13" x14ac:dyDescent="0.25">
      <c r="M19155" s="34">
        <f t="shared" si="475"/>
        <v>0</v>
      </c>
    </row>
    <row r="19156" spans="13:13" x14ac:dyDescent="0.25">
      <c r="M19156" s="34">
        <f t="shared" si="475"/>
        <v>0</v>
      </c>
    </row>
    <row r="19157" spans="13:13" x14ac:dyDescent="0.25">
      <c r="M19157" s="34">
        <f t="shared" si="475"/>
        <v>0</v>
      </c>
    </row>
    <row r="19158" spans="13:13" x14ac:dyDescent="0.25">
      <c r="M19158" s="34">
        <f t="shared" si="475"/>
        <v>0</v>
      </c>
    </row>
    <row r="19159" spans="13:13" x14ac:dyDescent="0.25">
      <c r="M19159" s="34">
        <f t="shared" si="475"/>
        <v>0</v>
      </c>
    </row>
    <row r="19160" spans="13:13" x14ac:dyDescent="0.25">
      <c r="M19160" s="34">
        <f t="shared" si="475"/>
        <v>0</v>
      </c>
    </row>
    <row r="19161" spans="13:13" x14ac:dyDescent="0.25">
      <c r="M19161" s="34">
        <f t="shared" si="475"/>
        <v>0</v>
      </c>
    </row>
    <row r="19162" spans="13:13" x14ac:dyDescent="0.25">
      <c r="M19162" s="34">
        <f t="shared" si="475"/>
        <v>0</v>
      </c>
    </row>
    <row r="19163" spans="13:13" x14ac:dyDescent="0.25">
      <c r="M19163" s="34">
        <f t="shared" si="475"/>
        <v>0</v>
      </c>
    </row>
    <row r="19164" spans="13:13" x14ac:dyDescent="0.25">
      <c r="M19164" s="34">
        <f t="shared" si="475"/>
        <v>0</v>
      </c>
    </row>
    <row r="19165" spans="13:13" x14ac:dyDescent="0.25">
      <c r="M19165" s="34">
        <f t="shared" si="475"/>
        <v>0</v>
      </c>
    </row>
    <row r="19166" spans="13:13" x14ac:dyDescent="0.25">
      <c r="M19166" s="34">
        <f t="shared" si="475"/>
        <v>0</v>
      </c>
    </row>
    <row r="19167" spans="13:13" x14ac:dyDescent="0.25">
      <c r="M19167" s="34">
        <f t="shared" si="475"/>
        <v>0</v>
      </c>
    </row>
    <row r="19168" spans="13:13" x14ac:dyDescent="0.25">
      <c r="M19168" s="34">
        <f t="shared" si="475"/>
        <v>0</v>
      </c>
    </row>
    <row r="19169" spans="13:13" x14ac:dyDescent="0.25">
      <c r="M19169" s="34">
        <f t="shared" si="475"/>
        <v>0</v>
      </c>
    </row>
    <row r="19170" spans="13:13" x14ac:dyDescent="0.25">
      <c r="M19170" s="34">
        <f t="shared" si="475"/>
        <v>0</v>
      </c>
    </row>
    <row r="19171" spans="13:13" x14ac:dyDescent="0.25">
      <c r="M19171" s="34">
        <f t="shared" si="475"/>
        <v>0</v>
      </c>
    </row>
    <row r="19172" spans="13:13" x14ac:dyDescent="0.25">
      <c r="M19172" s="34">
        <f t="shared" si="475"/>
        <v>0</v>
      </c>
    </row>
    <row r="19173" spans="13:13" x14ac:dyDescent="0.25">
      <c r="M19173" s="34">
        <f t="shared" si="475"/>
        <v>0</v>
      </c>
    </row>
    <row r="19174" spans="13:13" x14ac:dyDescent="0.25">
      <c r="M19174" s="34">
        <f t="shared" si="475"/>
        <v>0</v>
      </c>
    </row>
    <row r="19175" spans="13:13" x14ac:dyDescent="0.25">
      <c r="M19175" s="34">
        <f t="shared" si="475"/>
        <v>0</v>
      </c>
    </row>
    <row r="19176" spans="13:13" x14ac:dyDescent="0.25">
      <c r="M19176" s="34">
        <f t="shared" si="475"/>
        <v>0</v>
      </c>
    </row>
    <row r="19177" spans="13:13" x14ac:dyDescent="0.25">
      <c r="M19177" s="34">
        <f t="shared" si="475"/>
        <v>0</v>
      </c>
    </row>
    <row r="19178" spans="13:13" x14ac:dyDescent="0.25">
      <c r="M19178" s="34">
        <f t="shared" si="475"/>
        <v>0</v>
      </c>
    </row>
    <row r="19179" spans="13:13" x14ac:dyDescent="0.25">
      <c r="M19179" s="34">
        <f t="shared" si="475"/>
        <v>0</v>
      </c>
    </row>
    <row r="19180" spans="13:13" x14ac:dyDescent="0.25">
      <c r="M19180" s="34">
        <f t="shared" si="475"/>
        <v>0</v>
      </c>
    </row>
    <row r="19181" spans="13:13" x14ac:dyDescent="0.25">
      <c r="M19181" s="34">
        <f t="shared" si="475"/>
        <v>0</v>
      </c>
    </row>
    <row r="19182" spans="13:13" x14ac:dyDescent="0.25">
      <c r="M19182" s="34">
        <f t="shared" si="475"/>
        <v>0</v>
      </c>
    </row>
    <row r="19183" spans="13:13" x14ac:dyDescent="0.25">
      <c r="M19183" s="34">
        <f t="shared" si="475"/>
        <v>0</v>
      </c>
    </row>
    <row r="19184" spans="13:13" x14ac:dyDescent="0.25">
      <c r="M19184" s="34">
        <f t="shared" si="475"/>
        <v>0</v>
      </c>
    </row>
    <row r="19185" spans="13:13" x14ac:dyDescent="0.25">
      <c r="M19185" s="34">
        <f t="shared" si="475"/>
        <v>0</v>
      </c>
    </row>
    <row r="19186" spans="13:13" x14ac:dyDescent="0.25">
      <c r="M19186" s="34">
        <f t="shared" si="475"/>
        <v>0</v>
      </c>
    </row>
    <row r="19187" spans="13:13" x14ac:dyDescent="0.25">
      <c r="M19187" s="34">
        <f t="shared" si="475"/>
        <v>0</v>
      </c>
    </row>
    <row r="19188" spans="13:13" x14ac:dyDescent="0.25">
      <c r="M19188" s="34">
        <f t="shared" si="475"/>
        <v>0</v>
      </c>
    </row>
    <row r="19189" spans="13:13" x14ac:dyDescent="0.25">
      <c r="M19189" s="34">
        <f t="shared" si="475"/>
        <v>0</v>
      </c>
    </row>
    <row r="19190" spans="13:13" x14ac:dyDescent="0.25">
      <c r="M19190" s="34">
        <f t="shared" si="475"/>
        <v>0</v>
      </c>
    </row>
    <row r="19191" spans="13:13" x14ac:dyDescent="0.25">
      <c r="M19191" s="34">
        <f t="shared" si="475"/>
        <v>0</v>
      </c>
    </row>
    <row r="19192" spans="13:13" x14ac:dyDescent="0.25">
      <c r="M19192" s="34">
        <f t="shared" si="475"/>
        <v>0</v>
      </c>
    </row>
    <row r="19193" spans="13:13" x14ac:dyDescent="0.25">
      <c r="M19193" s="34">
        <f t="shared" si="475"/>
        <v>0</v>
      </c>
    </row>
    <row r="19194" spans="13:13" x14ac:dyDescent="0.25">
      <c r="M19194" s="34">
        <f t="shared" si="475"/>
        <v>0</v>
      </c>
    </row>
    <row r="19195" spans="13:13" x14ac:dyDescent="0.25">
      <c r="M19195" s="34">
        <f t="shared" si="475"/>
        <v>0</v>
      </c>
    </row>
    <row r="19196" spans="13:13" x14ac:dyDescent="0.25">
      <c r="M19196" s="34">
        <f t="shared" si="475"/>
        <v>0</v>
      </c>
    </row>
    <row r="19197" spans="13:13" x14ac:dyDescent="0.25">
      <c r="M19197" s="34">
        <f t="shared" si="475"/>
        <v>0</v>
      </c>
    </row>
    <row r="19198" spans="13:13" x14ac:dyDescent="0.25">
      <c r="M19198" s="34">
        <f t="shared" si="475"/>
        <v>0</v>
      </c>
    </row>
    <row r="19199" spans="13:13" x14ac:dyDescent="0.25">
      <c r="M19199" s="34">
        <f t="shared" si="475"/>
        <v>0</v>
      </c>
    </row>
    <row r="19200" spans="13:13" x14ac:dyDescent="0.25">
      <c r="M19200" s="34">
        <f t="shared" si="475"/>
        <v>0</v>
      </c>
    </row>
    <row r="19201" spans="13:13" x14ac:dyDescent="0.25">
      <c r="M19201" s="34">
        <f t="shared" si="475"/>
        <v>0</v>
      </c>
    </row>
    <row r="19202" spans="13:13" x14ac:dyDescent="0.25">
      <c r="M19202" s="34">
        <f t="shared" si="475"/>
        <v>0</v>
      </c>
    </row>
    <row r="19203" spans="13:13" x14ac:dyDescent="0.25">
      <c r="M19203" s="34">
        <f t="shared" ref="M19203:M19266" si="476">IF(AND(E19203="Chèque",G19203="RECETTE"),F19203,0)</f>
        <v>0</v>
      </c>
    </row>
    <row r="19204" spans="13:13" x14ac:dyDescent="0.25">
      <c r="M19204" s="34">
        <f t="shared" si="476"/>
        <v>0</v>
      </c>
    </row>
    <row r="19205" spans="13:13" x14ac:dyDescent="0.25">
      <c r="M19205" s="34">
        <f t="shared" si="476"/>
        <v>0</v>
      </c>
    </row>
    <row r="19206" spans="13:13" x14ac:dyDescent="0.25">
      <c r="M19206" s="34">
        <f t="shared" si="476"/>
        <v>0</v>
      </c>
    </row>
    <row r="19207" spans="13:13" x14ac:dyDescent="0.25">
      <c r="M19207" s="34">
        <f t="shared" si="476"/>
        <v>0</v>
      </c>
    </row>
    <row r="19208" spans="13:13" x14ac:dyDescent="0.25">
      <c r="M19208" s="34">
        <f t="shared" si="476"/>
        <v>0</v>
      </c>
    </row>
    <row r="19209" spans="13:13" x14ac:dyDescent="0.25">
      <c r="M19209" s="34">
        <f t="shared" si="476"/>
        <v>0</v>
      </c>
    </row>
    <row r="19210" spans="13:13" x14ac:dyDescent="0.25">
      <c r="M19210" s="34">
        <f t="shared" si="476"/>
        <v>0</v>
      </c>
    </row>
    <row r="19211" spans="13:13" x14ac:dyDescent="0.25">
      <c r="M19211" s="34">
        <f t="shared" si="476"/>
        <v>0</v>
      </c>
    </row>
    <row r="19212" spans="13:13" x14ac:dyDescent="0.25">
      <c r="M19212" s="34">
        <f t="shared" si="476"/>
        <v>0</v>
      </c>
    </row>
    <row r="19213" spans="13:13" x14ac:dyDescent="0.25">
      <c r="M19213" s="34">
        <f t="shared" si="476"/>
        <v>0</v>
      </c>
    </row>
    <row r="19214" spans="13:13" x14ac:dyDescent="0.25">
      <c r="M19214" s="34">
        <f t="shared" si="476"/>
        <v>0</v>
      </c>
    </row>
    <row r="19215" spans="13:13" x14ac:dyDescent="0.25">
      <c r="M19215" s="34">
        <f t="shared" si="476"/>
        <v>0</v>
      </c>
    </row>
    <row r="19216" spans="13:13" x14ac:dyDescent="0.25">
      <c r="M19216" s="34">
        <f t="shared" si="476"/>
        <v>0</v>
      </c>
    </row>
    <row r="19217" spans="13:13" x14ac:dyDescent="0.25">
      <c r="M19217" s="34">
        <f t="shared" si="476"/>
        <v>0</v>
      </c>
    </row>
    <row r="19218" spans="13:13" x14ac:dyDescent="0.25">
      <c r="M19218" s="34">
        <f t="shared" si="476"/>
        <v>0</v>
      </c>
    </row>
    <row r="19219" spans="13:13" x14ac:dyDescent="0.25">
      <c r="M19219" s="34">
        <f t="shared" si="476"/>
        <v>0</v>
      </c>
    </row>
    <row r="19220" spans="13:13" x14ac:dyDescent="0.25">
      <c r="M19220" s="34">
        <f t="shared" si="476"/>
        <v>0</v>
      </c>
    </row>
    <row r="19221" spans="13:13" x14ac:dyDescent="0.25">
      <c r="M19221" s="34">
        <f t="shared" si="476"/>
        <v>0</v>
      </c>
    </row>
    <row r="19222" spans="13:13" x14ac:dyDescent="0.25">
      <c r="M19222" s="34">
        <f t="shared" si="476"/>
        <v>0</v>
      </c>
    </row>
    <row r="19223" spans="13:13" x14ac:dyDescent="0.25">
      <c r="M19223" s="34">
        <f t="shared" si="476"/>
        <v>0</v>
      </c>
    </row>
    <row r="19224" spans="13:13" x14ac:dyDescent="0.25">
      <c r="M19224" s="34">
        <f t="shared" si="476"/>
        <v>0</v>
      </c>
    </row>
    <row r="19225" spans="13:13" x14ac:dyDescent="0.25">
      <c r="M19225" s="34">
        <f t="shared" si="476"/>
        <v>0</v>
      </c>
    </row>
    <row r="19226" spans="13:13" x14ac:dyDescent="0.25">
      <c r="M19226" s="34">
        <f t="shared" si="476"/>
        <v>0</v>
      </c>
    </row>
    <row r="19227" spans="13:13" x14ac:dyDescent="0.25">
      <c r="M19227" s="34">
        <f t="shared" si="476"/>
        <v>0</v>
      </c>
    </row>
    <row r="19228" spans="13:13" x14ac:dyDescent="0.25">
      <c r="M19228" s="34">
        <f t="shared" si="476"/>
        <v>0</v>
      </c>
    </row>
    <row r="19229" spans="13:13" x14ac:dyDescent="0.25">
      <c r="M19229" s="34">
        <f t="shared" si="476"/>
        <v>0</v>
      </c>
    </row>
    <row r="19230" spans="13:13" x14ac:dyDescent="0.25">
      <c r="M19230" s="34">
        <f t="shared" si="476"/>
        <v>0</v>
      </c>
    </row>
    <row r="19231" spans="13:13" x14ac:dyDescent="0.25">
      <c r="M19231" s="34">
        <f t="shared" si="476"/>
        <v>0</v>
      </c>
    </row>
    <row r="19232" spans="13:13" x14ac:dyDescent="0.25">
      <c r="M19232" s="34">
        <f t="shared" si="476"/>
        <v>0</v>
      </c>
    </row>
    <row r="19233" spans="13:13" x14ac:dyDescent="0.25">
      <c r="M19233" s="34">
        <f t="shared" si="476"/>
        <v>0</v>
      </c>
    </row>
    <row r="19234" spans="13:13" x14ac:dyDescent="0.25">
      <c r="M19234" s="34">
        <f t="shared" si="476"/>
        <v>0</v>
      </c>
    </row>
    <row r="19235" spans="13:13" x14ac:dyDescent="0.25">
      <c r="M19235" s="34">
        <f t="shared" si="476"/>
        <v>0</v>
      </c>
    </row>
    <row r="19236" spans="13:13" x14ac:dyDescent="0.25">
      <c r="M19236" s="34">
        <f t="shared" si="476"/>
        <v>0</v>
      </c>
    </row>
    <row r="19237" spans="13:13" x14ac:dyDescent="0.25">
      <c r="M19237" s="34">
        <f t="shared" si="476"/>
        <v>0</v>
      </c>
    </row>
    <row r="19238" spans="13:13" x14ac:dyDescent="0.25">
      <c r="M19238" s="34">
        <f t="shared" si="476"/>
        <v>0</v>
      </c>
    </row>
    <row r="19239" spans="13:13" x14ac:dyDescent="0.25">
      <c r="M19239" s="34">
        <f t="shared" si="476"/>
        <v>0</v>
      </c>
    </row>
    <row r="19240" spans="13:13" x14ac:dyDescent="0.25">
      <c r="M19240" s="34">
        <f t="shared" si="476"/>
        <v>0</v>
      </c>
    </row>
    <row r="19241" spans="13:13" x14ac:dyDescent="0.25">
      <c r="M19241" s="34">
        <f t="shared" si="476"/>
        <v>0</v>
      </c>
    </row>
    <row r="19242" spans="13:13" x14ac:dyDescent="0.25">
      <c r="M19242" s="34">
        <f t="shared" si="476"/>
        <v>0</v>
      </c>
    </row>
    <row r="19243" spans="13:13" x14ac:dyDescent="0.25">
      <c r="M19243" s="34">
        <f t="shared" si="476"/>
        <v>0</v>
      </c>
    </row>
    <row r="19244" spans="13:13" x14ac:dyDescent="0.25">
      <c r="M19244" s="34">
        <f t="shared" si="476"/>
        <v>0</v>
      </c>
    </row>
    <row r="19245" spans="13:13" x14ac:dyDescent="0.25">
      <c r="M19245" s="34">
        <f t="shared" si="476"/>
        <v>0</v>
      </c>
    </row>
    <row r="19246" spans="13:13" x14ac:dyDescent="0.25">
      <c r="M19246" s="34">
        <f t="shared" si="476"/>
        <v>0</v>
      </c>
    </row>
    <row r="19247" spans="13:13" x14ac:dyDescent="0.25">
      <c r="M19247" s="34">
        <f t="shared" si="476"/>
        <v>0</v>
      </c>
    </row>
    <row r="19248" spans="13:13" x14ac:dyDescent="0.25">
      <c r="M19248" s="34">
        <f t="shared" si="476"/>
        <v>0</v>
      </c>
    </row>
    <row r="19249" spans="13:13" x14ac:dyDescent="0.25">
      <c r="M19249" s="34">
        <f t="shared" si="476"/>
        <v>0</v>
      </c>
    </row>
    <row r="19250" spans="13:13" x14ac:dyDescent="0.25">
      <c r="M19250" s="34">
        <f t="shared" si="476"/>
        <v>0</v>
      </c>
    </row>
    <row r="19251" spans="13:13" x14ac:dyDescent="0.25">
      <c r="M19251" s="34">
        <f t="shared" si="476"/>
        <v>0</v>
      </c>
    </row>
    <row r="19252" spans="13:13" x14ac:dyDescent="0.25">
      <c r="M19252" s="34">
        <f t="shared" si="476"/>
        <v>0</v>
      </c>
    </row>
    <row r="19253" spans="13:13" x14ac:dyDescent="0.25">
      <c r="M19253" s="34">
        <f t="shared" si="476"/>
        <v>0</v>
      </c>
    </row>
    <row r="19254" spans="13:13" x14ac:dyDescent="0.25">
      <c r="M19254" s="34">
        <f t="shared" si="476"/>
        <v>0</v>
      </c>
    </row>
    <row r="19255" spans="13:13" x14ac:dyDescent="0.25">
      <c r="M19255" s="34">
        <f t="shared" si="476"/>
        <v>0</v>
      </c>
    </row>
    <row r="19256" spans="13:13" x14ac:dyDescent="0.25">
      <c r="M19256" s="34">
        <f t="shared" si="476"/>
        <v>0</v>
      </c>
    </row>
    <row r="19257" spans="13:13" x14ac:dyDescent="0.25">
      <c r="M19257" s="34">
        <f t="shared" si="476"/>
        <v>0</v>
      </c>
    </row>
    <row r="19258" spans="13:13" x14ac:dyDescent="0.25">
      <c r="M19258" s="34">
        <f t="shared" si="476"/>
        <v>0</v>
      </c>
    </row>
    <row r="19259" spans="13:13" x14ac:dyDescent="0.25">
      <c r="M19259" s="34">
        <f t="shared" si="476"/>
        <v>0</v>
      </c>
    </row>
    <row r="19260" spans="13:13" x14ac:dyDescent="0.25">
      <c r="M19260" s="34">
        <f t="shared" si="476"/>
        <v>0</v>
      </c>
    </row>
    <row r="19261" spans="13:13" x14ac:dyDescent="0.25">
      <c r="M19261" s="34">
        <f t="shared" si="476"/>
        <v>0</v>
      </c>
    </row>
    <row r="19262" spans="13:13" x14ac:dyDescent="0.25">
      <c r="M19262" s="34">
        <f t="shared" si="476"/>
        <v>0</v>
      </c>
    </row>
    <row r="19263" spans="13:13" x14ac:dyDescent="0.25">
      <c r="M19263" s="34">
        <f t="shared" si="476"/>
        <v>0</v>
      </c>
    </row>
    <row r="19264" spans="13:13" x14ac:dyDescent="0.25">
      <c r="M19264" s="34">
        <f t="shared" si="476"/>
        <v>0</v>
      </c>
    </row>
    <row r="19265" spans="13:13" x14ac:dyDescent="0.25">
      <c r="M19265" s="34">
        <f t="shared" si="476"/>
        <v>0</v>
      </c>
    </row>
    <row r="19266" spans="13:13" x14ac:dyDescent="0.25">
      <c r="M19266" s="34">
        <f t="shared" si="476"/>
        <v>0</v>
      </c>
    </row>
    <row r="19267" spans="13:13" x14ac:dyDescent="0.25">
      <c r="M19267" s="34">
        <f t="shared" ref="M19267:M19330" si="477">IF(AND(E19267="Chèque",G19267="RECETTE"),F19267,0)</f>
        <v>0</v>
      </c>
    </row>
    <row r="19268" spans="13:13" x14ac:dyDescent="0.25">
      <c r="M19268" s="34">
        <f t="shared" si="477"/>
        <v>0</v>
      </c>
    </row>
    <row r="19269" spans="13:13" x14ac:dyDescent="0.25">
      <c r="M19269" s="34">
        <f t="shared" si="477"/>
        <v>0</v>
      </c>
    </row>
    <row r="19270" spans="13:13" x14ac:dyDescent="0.25">
      <c r="M19270" s="34">
        <f t="shared" si="477"/>
        <v>0</v>
      </c>
    </row>
    <row r="19271" spans="13:13" x14ac:dyDescent="0.25">
      <c r="M19271" s="34">
        <f t="shared" si="477"/>
        <v>0</v>
      </c>
    </row>
    <row r="19272" spans="13:13" x14ac:dyDescent="0.25">
      <c r="M19272" s="34">
        <f t="shared" si="477"/>
        <v>0</v>
      </c>
    </row>
    <row r="19273" spans="13:13" x14ac:dyDescent="0.25">
      <c r="M19273" s="34">
        <f t="shared" si="477"/>
        <v>0</v>
      </c>
    </row>
    <row r="19274" spans="13:13" x14ac:dyDescent="0.25">
      <c r="M19274" s="34">
        <f t="shared" si="477"/>
        <v>0</v>
      </c>
    </row>
    <row r="19275" spans="13:13" x14ac:dyDescent="0.25">
      <c r="M19275" s="34">
        <f t="shared" si="477"/>
        <v>0</v>
      </c>
    </row>
    <row r="19276" spans="13:13" x14ac:dyDescent="0.25">
      <c r="M19276" s="34">
        <f t="shared" si="477"/>
        <v>0</v>
      </c>
    </row>
    <row r="19277" spans="13:13" x14ac:dyDescent="0.25">
      <c r="M19277" s="34">
        <f t="shared" si="477"/>
        <v>0</v>
      </c>
    </row>
    <row r="19278" spans="13:13" x14ac:dyDescent="0.25">
      <c r="M19278" s="34">
        <f t="shared" si="477"/>
        <v>0</v>
      </c>
    </row>
    <row r="19279" spans="13:13" x14ac:dyDescent="0.25">
      <c r="M19279" s="34">
        <f t="shared" si="477"/>
        <v>0</v>
      </c>
    </row>
    <row r="19280" spans="13:13" x14ac:dyDescent="0.25">
      <c r="M19280" s="34">
        <f t="shared" si="477"/>
        <v>0</v>
      </c>
    </row>
    <row r="19281" spans="13:13" x14ac:dyDescent="0.25">
      <c r="M19281" s="34">
        <f t="shared" si="477"/>
        <v>0</v>
      </c>
    </row>
    <row r="19282" spans="13:13" x14ac:dyDescent="0.25">
      <c r="M19282" s="34">
        <f t="shared" si="477"/>
        <v>0</v>
      </c>
    </row>
    <row r="19283" spans="13:13" x14ac:dyDescent="0.25">
      <c r="M19283" s="34">
        <f t="shared" si="477"/>
        <v>0</v>
      </c>
    </row>
    <row r="19284" spans="13:13" x14ac:dyDescent="0.25">
      <c r="M19284" s="34">
        <f t="shared" si="477"/>
        <v>0</v>
      </c>
    </row>
    <row r="19285" spans="13:13" x14ac:dyDescent="0.25">
      <c r="M19285" s="34">
        <f t="shared" si="477"/>
        <v>0</v>
      </c>
    </row>
    <row r="19286" spans="13:13" x14ac:dyDescent="0.25">
      <c r="M19286" s="34">
        <f t="shared" si="477"/>
        <v>0</v>
      </c>
    </row>
    <row r="19287" spans="13:13" x14ac:dyDescent="0.25">
      <c r="M19287" s="34">
        <f t="shared" si="477"/>
        <v>0</v>
      </c>
    </row>
    <row r="19288" spans="13:13" x14ac:dyDescent="0.25">
      <c r="M19288" s="34">
        <f t="shared" si="477"/>
        <v>0</v>
      </c>
    </row>
    <row r="19289" spans="13:13" x14ac:dyDescent="0.25">
      <c r="M19289" s="34">
        <f t="shared" si="477"/>
        <v>0</v>
      </c>
    </row>
    <row r="19290" spans="13:13" x14ac:dyDescent="0.25">
      <c r="M19290" s="34">
        <f t="shared" si="477"/>
        <v>0</v>
      </c>
    </row>
    <row r="19291" spans="13:13" x14ac:dyDescent="0.25">
      <c r="M19291" s="34">
        <f t="shared" si="477"/>
        <v>0</v>
      </c>
    </row>
    <row r="19292" spans="13:13" x14ac:dyDescent="0.25">
      <c r="M19292" s="34">
        <f t="shared" si="477"/>
        <v>0</v>
      </c>
    </row>
    <row r="19293" spans="13:13" x14ac:dyDescent="0.25">
      <c r="M19293" s="34">
        <f t="shared" si="477"/>
        <v>0</v>
      </c>
    </row>
    <row r="19294" spans="13:13" x14ac:dyDescent="0.25">
      <c r="M19294" s="34">
        <f t="shared" si="477"/>
        <v>0</v>
      </c>
    </row>
    <row r="19295" spans="13:13" x14ac:dyDescent="0.25">
      <c r="M19295" s="34">
        <f t="shared" si="477"/>
        <v>0</v>
      </c>
    </row>
    <row r="19296" spans="13:13" x14ac:dyDescent="0.25">
      <c r="M19296" s="34">
        <f t="shared" si="477"/>
        <v>0</v>
      </c>
    </row>
    <row r="19297" spans="13:13" x14ac:dyDescent="0.25">
      <c r="M19297" s="34">
        <f t="shared" si="477"/>
        <v>0</v>
      </c>
    </row>
    <row r="19298" spans="13:13" x14ac:dyDescent="0.25">
      <c r="M19298" s="34">
        <f t="shared" si="477"/>
        <v>0</v>
      </c>
    </row>
    <row r="19299" spans="13:13" x14ac:dyDescent="0.25">
      <c r="M19299" s="34">
        <f t="shared" si="477"/>
        <v>0</v>
      </c>
    </row>
    <row r="19300" spans="13:13" x14ac:dyDescent="0.25">
      <c r="M19300" s="34">
        <f t="shared" si="477"/>
        <v>0</v>
      </c>
    </row>
    <row r="19301" spans="13:13" x14ac:dyDescent="0.25">
      <c r="M19301" s="34">
        <f t="shared" si="477"/>
        <v>0</v>
      </c>
    </row>
    <row r="19302" spans="13:13" x14ac:dyDescent="0.25">
      <c r="M19302" s="34">
        <f t="shared" si="477"/>
        <v>0</v>
      </c>
    </row>
    <row r="19303" spans="13:13" x14ac:dyDescent="0.25">
      <c r="M19303" s="34">
        <f t="shared" si="477"/>
        <v>0</v>
      </c>
    </row>
    <row r="19304" spans="13:13" x14ac:dyDescent="0.25">
      <c r="M19304" s="34">
        <f t="shared" si="477"/>
        <v>0</v>
      </c>
    </row>
    <row r="19305" spans="13:13" x14ac:dyDescent="0.25">
      <c r="M19305" s="34">
        <f t="shared" si="477"/>
        <v>0</v>
      </c>
    </row>
    <row r="19306" spans="13:13" x14ac:dyDescent="0.25">
      <c r="M19306" s="34">
        <f t="shared" si="477"/>
        <v>0</v>
      </c>
    </row>
    <row r="19307" spans="13:13" x14ac:dyDescent="0.25">
      <c r="M19307" s="34">
        <f t="shared" si="477"/>
        <v>0</v>
      </c>
    </row>
    <row r="19308" spans="13:13" x14ac:dyDescent="0.25">
      <c r="M19308" s="34">
        <f t="shared" si="477"/>
        <v>0</v>
      </c>
    </row>
    <row r="19309" spans="13:13" x14ac:dyDescent="0.25">
      <c r="M19309" s="34">
        <f t="shared" si="477"/>
        <v>0</v>
      </c>
    </row>
    <row r="19310" spans="13:13" x14ac:dyDescent="0.25">
      <c r="M19310" s="34">
        <f t="shared" si="477"/>
        <v>0</v>
      </c>
    </row>
    <row r="19311" spans="13:13" x14ac:dyDescent="0.25">
      <c r="M19311" s="34">
        <f t="shared" si="477"/>
        <v>0</v>
      </c>
    </row>
    <row r="19312" spans="13:13" x14ac:dyDescent="0.25">
      <c r="M19312" s="34">
        <f t="shared" si="477"/>
        <v>0</v>
      </c>
    </row>
    <row r="19313" spans="13:13" x14ac:dyDescent="0.25">
      <c r="M19313" s="34">
        <f t="shared" si="477"/>
        <v>0</v>
      </c>
    </row>
    <row r="19314" spans="13:13" x14ac:dyDescent="0.25">
      <c r="M19314" s="34">
        <f t="shared" si="477"/>
        <v>0</v>
      </c>
    </row>
    <row r="19315" spans="13:13" x14ac:dyDescent="0.25">
      <c r="M19315" s="34">
        <f t="shared" si="477"/>
        <v>0</v>
      </c>
    </row>
    <row r="19316" spans="13:13" x14ac:dyDescent="0.25">
      <c r="M19316" s="34">
        <f t="shared" si="477"/>
        <v>0</v>
      </c>
    </row>
    <row r="19317" spans="13:13" x14ac:dyDescent="0.25">
      <c r="M19317" s="34">
        <f t="shared" si="477"/>
        <v>0</v>
      </c>
    </row>
    <row r="19318" spans="13:13" x14ac:dyDescent="0.25">
      <c r="M19318" s="34">
        <f t="shared" si="477"/>
        <v>0</v>
      </c>
    </row>
    <row r="19319" spans="13:13" x14ac:dyDescent="0.25">
      <c r="M19319" s="34">
        <f t="shared" si="477"/>
        <v>0</v>
      </c>
    </row>
    <row r="19320" spans="13:13" x14ac:dyDescent="0.25">
      <c r="M19320" s="34">
        <f t="shared" si="477"/>
        <v>0</v>
      </c>
    </row>
    <row r="19321" spans="13:13" x14ac:dyDescent="0.25">
      <c r="M19321" s="34">
        <f t="shared" si="477"/>
        <v>0</v>
      </c>
    </row>
    <row r="19322" spans="13:13" x14ac:dyDescent="0.25">
      <c r="M19322" s="34">
        <f t="shared" si="477"/>
        <v>0</v>
      </c>
    </row>
    <row r="19323" spans="13:13" x14ac:dyDescent="0.25">
      <c r="M19323" s="34">
        <f t="shared" si="477"/>
        <v>0</v>
      </c>
    </row>
    <row r="19324" spans="13:13" x14ac:dyDescent="0.25">
      <c r="M19324" s="34">
        <f t="shared" si="477"/>
        <v>0</v>
      </c>
    </row>
    <row r="19325" spans="13:13" x14ac:dyDescent="0.25">
      <c r="M19325" s="34">
        <f t="shared" si="477"/>
        <v>0</v>
      </c>
    </row>
    <row r="19326" spans="13:13" x14ac:dyDescent="0.25">
      <c r="M19326" s="34">
        <f t="shared" si="477"/>
        <v>0</v>
      </c>
    </row>
    <row r="19327" spans="13:13" x14ac:dyDescent="0.25">
      <c r="M19327" s="34">
        <f t="shared" si="477"/>
        <v>0</v>
      </c>
    </row>
    <row r="19328" spans="13:13" x14ac:dyDescent="0.25">
      <c r="M19328" s="34">
        <f t="shared" si="477"/>
        <v>0</v>
      </c>
    </row>
    <row r="19329" spans="13:13" x14ac:dyDescent="0.25">
      <c r="M19329" s="34">
        <f t="shared" si="477"/>
        <v>0</v>
      </c>
    </row>
    <row r="19330" spans="13:13" x14ac:dyDescent="0.25">
      <c r="M19330" s="34">
        <f t="shared" si="477"/>
        <v>0</v>
      </c>
    </row>
    <row r="19331" spans="13:13" x14ac:dyDescent="0.25">
      <c r="M19331" s="34">
        <f t="shared" ref="M19331:M19394" si="478">IF(AND(E19331="Chèque",G19331="RECETTE"),F19331,0)</f>
        <v>0</v>
      </c>
    </row>
    <row r="19332" spans="13:13" x14ac:dyDescent="0.25">
      <c r="M19332" s="34">
        <f t="shared" si="478"/>
        <v>0</v>
      </c>
    </row>
    <row r="19333" spans="13:13" x14ac:dyDescent="0.25">
      <c r="M19333" s="34">
        <f t="shared" si="478"/>
        <v>0</v>
      </c>
    </row>
    <row r="19334" spans="13:13" x14ac:dyDescent="0.25">
      <c r="M19334" s="34">
        <f t="shared" si="478"/>
        <v>0</v>
      </c>
    </row>
    <row r="19335" spans="13:13" x14ac:dyDescent="0.25">
      <c r="M19335" s="34">
        <f t="shared" si="478"/>
        <v>0</v>
      </c>
    </row>
    <row r="19336" spans="13:13" x14ac:dyDescent="0.25">
      <c r="M19336" s="34">
        <f t="shared" si="478"/>
        <v>0</v>
      </c>
    </row>
    <row r="19337" spans="13:13" x14ac:dyDescent="0.25">
      <c r="M19337" s="34">
        <f t="shared" si="478"/>
        <v>0</v>
      </c>
    </row>
    <row r="19338" spans="13:13" x14ac:dyDescent="0.25">
      <c r="M19338" s="34">
        <f t="shared" si="478"/>
        <v>0</v>
      </c>
    </row>
    <row r="19339" spans="13:13" x14ac:dyDescent="0.25">
      <c r="M19339" s="34">
        <f t="shared" si="478"/>
        <v>0</v>
      </c>
    </row>
    <row r="19340" spans="13:13" x14ac:dyDescent="0.25">
      <c r="M19340" s="34">
        <f t="shared" si="478"/>
        <v>0</v>
      </c>
    </row>
    <row r="19341" spans="13:13" x14ac:dyDescent="0.25">
      <c r="M19341" s="34">
        <f t="shared" si="478"/>
        <v>0</v>
      </c>
    </row>
    <row r="19342" spans="13:13" x14ac:dyDescent="0.25">
      <c r="M19342" s="34">
        <f t="shared" si="478"/>
        <v>0</v>
      </c>
    </row>
    <row r="19343" spans="13:13" x14ac:dyDescent="0.25">
      <c r="M19343" s="34">
        <f t="shared" si="478"/>
        <v>0</v>
      </c>
    </row>
    <row r="19344" spans="13:13" x14ac:dyDescent="0.25">
      <c r="M19344" s="34">
        <f t="shared" si="478"/>
        <v>0</v>
      </c>
    </row>
    <row r="19345" spans="13:13" x14ac:dyDescent="0.25">
      <c r="M19345" s="34">
        <f t="shared" si="478"/>
        <v>0</v>
      </c>
    </row>
    <row r="19346" spans="13:13" x14ac:dyDescent="0.25">
      <c r="M19346" s="34">
        <f t="shared" si="478"/>
        <v>0</v>
      </c>
    </row>
    <row r="19347" spans="13:13" x14ac:dyDescent="0.25">
      <c r="M19347" s="34">
        <f t="shared" si="478"/>
        <v>0</v>
      </c>
    </row>
    <row r="19348" spans="13:13" x14ac:dyDescent="0.25">
      <c r="M19348" s="34">
        <f t="shared" si="478"/>
        <v>0</v>
      </c>
    </row>
    <row r="19349" spans="13:13" x14ac:dyDescent="0.25">
      <c r="M19349" s="34">
        <f t="shared" si="478"/>
        <v>0</v>
      </c>
    </row>
    <row r="19350" spans="13:13" x14ac:dyDescent="0.25">
      <c r="M19350" s="34">
        <f t="shared" si="478"/>
        <v>0</v>
      </c>
    </row>
    <row r="19351" spans="13:13" x14ac:dyDescent="0.25">
      <c r="M19351" s="34">
        <f t="shared" si="478"/>
        <v>0</v>
      </c>
    </row>
    <row r="19352" spans="13:13" x14ac:dyDescent="0.25">
      <c r="M19352" s="34">
        <f t="shared" si="478"/>
        <v>0</v>
      </c>
    </row>
    <row r="19353" spans="13:13" x14ac:dyDescent="0.25">
      <c r="M19353" s="34">
        <f t="shared" si="478"/>
        <v>0</v>
      </c>
    </row>
    <row r="19354" spans="13:13" x14ac:dyDescent="0.25">
      <c r="M19354" s="34">
        <f t="shared" si="478"/>
        <v>0</v>
      </c>
    </row>
    <row r="19355" spans="13:13" x14ac:dyDescent="0.25">
      <c r="M19355" s="34">
        <f t="shared" si="478"/>
        <v>0</v>
      </c>
    </row>
    <row r="19356" spans="13:13" x14ac:dyDescent="0.25">
      <c r="M19356" s="34">
        <f t="shared" si="478"/>
        <v>0</v>
      </c>
    </row>
    <row r="19357" spans="13:13" x14ac:dyDescent="0.25">
      <c r="M19357" s="34">
        <f t="shared" si="478"/>
        <v>0</v>
      </c>
    </row>
    <row r="19358" spans="13:13" x14ac:dyDescent="0.25">
      <c r="M19358" s="34">
        <f t="shared" si="478"/>
        <v>0</v>
      </c>
    </row>
    <row r="19359" spans="13:13" x14ac:dyDescent="0.25">
      <c r="M19359" s="34">
        <f t="shared" si="478"/>
        <v>0</v>
      </c>
    </row>
    <row r="19360" spans="13:13" x14ac:dyDescent="0.25">
      <c r="M19360" s="34">
        <f t="shared" si="478"/>
        <v>0</v>
      </c>
    </row>
    <row r="19361" spans="13:13" x14ac:dyDescent="0.25">
      <c r="M19361" s="34">
        <f t="shared" si="478"/>
        <v>0</v>
      </c>
    </row>
    <row r="19362" spans="13:13" x14ac:dyDescent="0.25">
      <c r="M19362" s="34">
        <f t="shared" si="478"/>
        <v>0</v>
      </c>
    </row>
    <row r="19363" spans="13:13" x14ac:dyDescent="0.25">
      <c r="M19363" s="34">
        <f t="shared" si="478"/>
        <v>0</v>
      </c>
    </row>
    <row r="19364" spans="13:13" x14ac:dyDescent="0.25">
      <c r="M19364" s="34">
        <f t="shared" si="478"/>
        <v>0</v>
      </c>
    </row>
    <row r="19365" spans="13:13" x14ac:dyDescent="0.25">
      <c r="M19365" s="34">
        <f t="shared" si="478"/>
        <v>0</v>
      </c>
    </row>
    <row r="19366" spans="13:13" x14ac:dyDescent="0.25">
      <c r="M19366" s="34">
        <f t="shared" si="478"/>
        <v>0</v>
      </c>
    </row>
    <row r="19367" spans="13:13" x14ac:dyDescent="0.25">
      <c r="M19367" s="34">
        <f t="shared" si="478"/>
        <v>0</v>
      </c>
    </row>
    <row r="19368" spans="13:13" x14ac:dyDescent="0.25">
      <c r="M19368" s="34">
        <f t="shared" si="478"/>
        <v>0</v>
      </c>
    </row>
    <row r="19369" spans="13:13" x14ac:dyDescent="0.25">
      <c r="M19369" s="34">
        <f t="shared" si="478"/>
        <v>0</v>
      </c>
    </row>
    <row r="19370" spans="13:13" x14ac:dyDescent="0.25">
      <c r="M19370" s="34">
        <f t="shared" si="478"/>
        <v>0</v>
      </c>
    </row>
    <row r="19371" spans="13:13" x14ac:dyDescent="0.25">
      <c r="M19371" s="34">
        <f t="shared" si="478"/>
        <v>0</v>
      </c>
    </row>
    <row r="19372" spans="13:13" x14ac:dyDescent="0.25">
      <c r="M19372" s="34">
        <f t="shared" si="478"/>
        <v>0</v>
      </c>
    </row>
    <row r="19373" spans="13:13" x14ac:dyDescent="0.25">
      <c r="M19373" s="34">
        <f t="shared" si="478"/>
        <v>0</v>
      </c>
    </row>
    <row r="19374" spans="13:13" x14ac:dyDescent="0.25">
      <c r="M19374" s="34">
        <f t="shared" si="478"/>
        <v>0</v>
      </c>
    </row>
    <row r="19375" spans="13:13" x14ac:dyDescent="0.25">
      <c r="M19375" s="34">
        <f t="shared" si="478"/>
        <v>0</v>
      </c>
    </row>
    <row r="19376" spans="13:13" x14ac:dyDescent="0.25">
      <c r="M19376" s="34">
        <f t="shared" si="478"/>
        <v>0</v>
      </c>
    </row>
    <row r="19377" spans="13:13" x14ac:dyDescent="0.25">
      <c r="M19377" s="34">
        <f t="shared" si="478"/>
        <v>0</v>
      </c>
    </row>
    <row r="19378" spans="13:13" x14ac:dyDescent="0.25">
      <c r="M19378" s="34">
        <f t="shared" si="478"/>
        <v>0</v>
      </c>
    </row>
    <row r="19379" spans="13:13" x14ac:dyDescent="0.25">
      <c r="M19379" s="34">
        <f t="shared" si="478"/>
        <v>0</v>
      </c>
    </row>
    <row r="19380" spans="13:13" x14ac:dyDescent="0.25">
      <c r="M19380" s="34">
        <f t="shared" si="478"/>
        <v>0</v>
      </c>
    </row>
    <row r="19381" spans="13:13" x14ac:dyDescent="0.25">
      <c r="M19381" s="34">
        <f t="shared" si="478"/>
        <v>0</v>
      </c>
    </row>
    <row r="19382" spans="13:13" x14ac:dyDescent="0.25">
      <c r="M19382" s="34">
        <f t="shared" si="478"/>
        <v>0</v>
      </c>
    </row>
    <row r="19383" spans="13:13" x14ac:dyDescent="0.25">
      <c r="M19383" s="34">
        <f t="shared" si="478"/>
        <v>0</v>
      </c>
    </row>
    <row r="19384" spans="13:13" x14ac:dyDescent="0.25">
      <c r="M19384" s="34">
        <f t="shared" si="478"/>
        <v>0</v>
      </c>
    </row>
    <row r="19385" spans="13:13" x14ac:dyDescent="0.25">
      <c r="M19385" s="34">
        <f t="shared" si="478"/>
        <v>0</v>
      </c>
    </row>
    <row r="19386" spans="13:13" x14ac:dyDescent="0.25">
      <c r="M19386" s="34">
        <f t="shared" si="478"/>
        <v>0</v>
      </c>
    </row>
    <row r="19387" spans="13:13" x14ac:dyDescent="0.25">
      <c r="M19387" s="34">
        <f t="shared" si="478"/>
        <v>0</v>
      </c>
    </row>
    <row r="19388" spans="13:13" x14ac:dyDescent="0.25">
      <c r="M19388" s="34">
        <f t="shared" si="478"/>
        <v>0</v>
      </c>
    </row>
    <row r="19389" spans="13:13" x14ac:dyDescent="0.25">
      <c r="M19389" s="34">
        <f t="shared" si="478"/>
        <v>0</v>
      </c>
    </row>
    <row r="19390" spans="13:13" x14ac:dyDescent="0.25">
      <c r="M19390" s="34">
        <f t="shared" si="478"/>
        <v>0</v>
      </c>
    </row>
    <row r="19391" spans="13:13" x14ac:dyDescent="0.25">
      <c r="M19391" s="34">
        <f t="shared" si="478"/>
        <v>0</v>
      </c>
    </row>
    <row r="19392" spans="13:13" x14ac:dyDescent="0.25">
      <c r="M19392" s="34">
        <f t="shared" si="478"/>
        <v>0</v>
      </c>
    </row>
    <row r="19393" spans="13:13" x14ac:dyDescent="0.25">
      <c r="M19393" s="34">
        <f t="shared" si="478"/>
        <v>0</v>
      </c>
    </row>
    <row r="19394" spans="13:13" x14ac:dyDescent="0.25">
      <c r="M19394" s="34">
        <f t="shared" si="478"/>
        <v>0</v>
      </c>
    </row>
    <row r="19395" spans="13:13" x14ac:dyDescent="0.25">
      <c r="M19395" s="34">
        <f t="shared" ref="M19395:M19458" si="479">IF(AND(E19395="Chèque",G19395="RECETTE"),F19395,0)</f>
        <v>0</v>
      </c>
    </row>
    <row r="19396" spans="13:13" x14ac:dyDescent="0.25">
      <c r="M19396" s="34">
        <f t="shared" si="479"/>
        <v>0</v>
      </c>
    </row>
    <row r="19397" spans="13:13" x14ac:dyDescent="0.25">
      <c r="M19397" s="34">
        <f t="shared" si="479"/>
        <v>0</v>
      </c>
    </row>
    <row r="19398" spans="13:13" x14ac:dyDescent="0.25">
      <c r="M19398" s="34">
        <f t="shared" si="479"/>
        <v>0</v>
      </c>
    </row>
    <row r="19399" spans="13:13" x14ac:dyDescent="0.25">
      <c r="M19399" s="34">
        <f t="shared" si="479"/>
        <v>0</v>
      </c>
    </row>
    <row r="19400" spans="13:13" x14ac:dyDescent="0.25">
      <c r="M19400" s="34">
        <f t="shared" si="479"/>
        <v>0</v>
      </c>
    </row>
    <row r="19401" spans="13:13" x14ac:dyDescent="0.25">
      <c r="M19401" s="34">
        <f t="shared" si="479"/>
        <v>0</v>
      </c>
    </row>
    <row r="19402" spans="13:13" x14ac:dyDescent="0.25">
      <c r="M19402" s="34">
        <f t="shared" si="479"/>
        <v>0</v>
      </c>
    </row>
    <row r="19403" spans="13:13" x14ac:dyDescent="0.25">
      <c r="M19403" s="34">
        <f t="shared" si="479"/>
        <v>0</v>
      </c>
    </row>
    <row r="19404" spans="13:13" x14ac:dyDescent="0.25">
      <c r="M19404" s="34">
        <f t="shared" si="479"/>
        <v>0</v>
      </c>
    </row>
    <row r="19405" spans="13:13" x14ac:dyDescent="0.25">
      <c r="M19405" s="34">
        <f t="shared" si="479"/>
        <v>0</v>
      </c>
    </row>
    <row r="19406" spans="13:13" x14ac:dyDescent="0.25">
      <c r="M19406" s="34">
        <f t="shared" si="479"/>
        <v>0</v>
      </c>
    </row>
    <row r="19407" spans="13:13" x14ac:dyDescent="0.25">
      <c r="M19407" s="34">
        <f t="shared" si="479"/>
        <v>0</v>
      </c>
    </row>
    <row r="19408" spans="13:13" x14ac:dyDescent="0.25">
      <c r="M19408" s="34">
        <f t="shared" si="479"/>
        <v>0</v>
      </c>
    </row>
    <row r="19409" spans="13:13" x14ac:dyDescent="0.25">
      <c r="M19409" s="34">
        <f t="shared" si="479"/>
        <v>0</v>
      </c>
    </row>
    <row r="19410" spans="13:13" x14ac:dyDescent="0.25">
      <c r="M19410" s="34">
        <f t="shared" si="479"/>
        <v>0</v>
      </c>
    </row>
    <row r="19411" spans="13:13" x14ac:dyDescent="0.25">
      <c r="M19411" s="34">
        <f t="shared" si="479"/>
        <v>0</v>
      </c>
    </row>
    <row r="19412" spans="13:13" x14ac:dyDescent="0.25">
      <c r="M19412" s="34">
        <f t="shared" si="479"/>
        <v>0</v>
      </c>
    </row>
    <row r="19413" spans="13:13" x14ac:dyDescent="0.25">
      <c r="M19413" s="34">
        <f t="shared" si="479"/>
        <v>0</v>
      </c>
    </row>
    <row r="19414" spans="13:13" x14ac:dyDescent="0.25">
      <c r="M19414" s="34">
        <f t="shared" si="479"/>
        <v>0</v>
      </c>
    </row>
    <row r="19415" spans="13:13" x14ac:dyDescent="0.25">
      <c r="M19415" s="34">
        <f t="shared" si="479"/>
        <v>0</v>
      </c>
    </row>
    <row r="19416" spans="13:13" x14ac:dyDescent="0.25">
      <c r="M19416" s="34">
        <f t="shared" si="479"/>
        <v>0</v>
      </c>
    </row>
    <row r="19417" spans="13:13" x14ac:dyDescent="0.25">
      <c r="M19417" s="34">
        <f t="shared" si="479"/>
        <v>0</v>
      </c>
    </row>
    <row r="19418" spans="13:13" x14ac:dyDescent="0.25">
      <c r="M19418" s="34">
        <f t="shared" si="479"/>
        <v>0</v>
      </c>
    </row>
    <row r="19419" spans="13:13" x14ac:dyDescent="0.25">
      <c r="M19419" s="34">
        <f t="shared" si="479"/>
        <v>0</v>
      </c>
    </row>
    <row r="19420" spans="13:13" x14ac:dyDescent="0.25">
      <c r="M19420" s="34">
        <f t="shared" si="479"/>
        <v>0</v>
      </c>
    </row>
    <row r="19421" spans="13:13" x14ac:dyDescent="0.25">
      <c r="M19421" s="34">
        <f t="shared" si="479"/>
        <v>0</v>
      </c>
    </row>
    <row r="19422" spans="13:13" x14ac:dyDescent="0.25">
      <c r="M19422" s="34">
        <f t="shared" si="479"/>
        <v>0</v>
      </c>
    </row>
    <row r="19423" spans="13:13" x14ac:dyDescent="0.25">
      <c r="M19423" s="34">
        <f t="shared" si="479"/>
        <v>0</v>
      </c>
    </row>
    <row r="19424" spans="13:13" x14ac:dyDescent="0.25">
      <c r="M19424" s="34">
        <f t="shared" si="479"/>
        <v>0</v>
      </c>
    </row>
    <row r="19425" spans="13:13" x14ac:dyDescent="0.25">
      <c r="M19425" s="34">
        <f t="shared" si="479"/>
        <v>0</v>
      </c>
    </row>
    <row r="19426" spans="13:13" x14ac:dyDescent="0.25">
      <c r="M19426" s="34">
        <f t="shared" si="479"/>
        <v>0</v>
      </c>
    </row>
    <row r="19427" spans="13:13" x14ac:dyDescent="0.25">
      <c r="M19427" s="34">
        <f t="shared" si="479"/>
        <v>0</v>
      </c>
    </row>
    <row r="19428" spans="13:13" x14ac:dyDescent="0.25">
      <c r="M19428" s="34">
        <f t="shared" si="479"/>
        <v>0</v>
      </c>
    </row>
    <row r="19429" spans="13:13" x14ac:dyDescent="0.25">
      <c r="M19429" s="34">
        <f t="shared" si="479"/>
        <v>0</v>
      </c>
    </row>
    <row r="19430" spans="13:13" x14ac:dyDescent="0.25">
      <c r="M19430" s="34">
        <f t="shared" si="479"/>
        <v>0</v>
      </c>
    </row>
    <row r="19431" spans="13:13" x14ac:dyDescent="0.25">
      <c r="M19431" s="34">
        <f t="shared" si="479"/>
        <v>0</v>
      </c>
    </row>
    <row r="19432" spans="13:13" x14ac:dyDescent="0.25">
      <c r="M19432" s="34">
        <f t="shared" si="479"/>
        <v>0</v>
      </c>
    </row>
    <row r="19433" spans="13:13" x14ac:dyDescent="0.25">
      <c r="M19433" s="34">
        <f t="shared" si="479"/>
        <v>0</v>
      </c>
    </row>
    <row r="19434" spans="13:13" x14ac:dyDescent="0.25">
      <c r="M19434" s="34">
        <f t="shared" si="479"/>
        <v>0</v>
      </c>
    </row>
    <row r="19435" spans="13:13" x14ac:dyDescent="0.25">
      <c r="M19435" s="34">
        <f t="shared" si="479"/>
        <v>0</v>
      </c>
    </row>
    <row r="19436" spans="13:13" x14ac:dyDescent="0.25">
      <c r="M19436" s="34">
        <f t="shared" si="479"/>
        <v>0</v>
      </c>
    </row>
    <row r="19437" spans="13:13" x14ac:dyDescent="0.25">
      <c r="M19437" s="34">
        <f t="shared" si="479"/>
        <v>0</v>
      </c>
    </row>
    <row r="19438" spans="13:13" x14ac:dyDescent="0.25">
      <c r="M19438" s="34">
        <f t="shared" si="479"/>
        <v>0</v>
      </c>
    </row>
    <row r="19439" spans="13:13" x14ac:dyDescent="0.25">
      <c r="M19439" s="34">
        <f t="shared" si="479"/>
        <v>0</v>
      </c>
    </row>
    <row r="19440" spans="13:13" x14ac:dyDescent="0.25">
      <c r="M19440" s="34">
        <f t="shared" si="479"/>
        <v>0</v>
      </c>
    </row>
    <row r="19441" spans="13:13" x14ac:dyDescent="0.25">
      <c r="M19441" s="34">
        <f t="shared" si="479"/>
        <v>0</v>
      </c>
    </row>
    <row r="19442" spans="13:13" x14ac:dyDescent="0.25">
      <c r="M19442" s="34">
        <f t="shared" si="479"/>
        <v>0</v>
      </c>
    </row>
    <row r="19443" spans="13:13" x14ac:dyDescent="0.25">
      <c r="M19443" s="34">
        <f t="shared" si="479"/>
        <v>0</v>
      </c>
    </row>
    <row r="19444" spans="13:13" x14ac:dyDescent="0.25">
      <c r="M19444" s="34">
        <f t="shared" si="479"/>
        <v>0</v>
      </c>
    </row>
    <row r="19445" spans="13:13" x14ac:dyDescent="0.25">
      <c r="M19445" s="34">
        <f t="shared" si="479"/>
        <v>0</v>
      </c>
    </row>
    <row r="19446" spans="13:13" x14ac:dyDescent="0.25">
      <c r="M19446" s="34">
        <f t="shared" si="479"/>
        <v>0</v>
      </c>
    </row>
    <row r="19447" spans="13:13" x14ac:dyDescent="0.25">
      <c r="M19447" s="34">
        <f t="shared" si="479"/>
        <v>0</v>
      </c>
    </row>
    <row r="19448" spans="13:13" x14ac:dyDescent="0.25">
      <c r="M19448" s="34">
        <f t="shared" si="479"/>
        <v>0</v>
      </c>
    </row>
    <row r="19449" spans="13:13" x14ac:dyDescent="0.25">
      <c r="M19449" s="34">
        <f t="shared" si="479"/>
        <v>0</v>
      </c>
    </row>
    <row r="19450" spans="13:13" x14ac:dyDescent="0.25">
      <c r="M19450" s="34">
        <f t="shared" si="479"/>
        <v>0</v>
      </c>
    </row>
    <row r="19451" spans="13:13" x14ac:dyDescent="0.25">
      <c r="M19451" s="34">
        <f t="shared" si="479"/>
        <v>0</v>
      </c>
    </row>
    <row r="19452" spans="13:13" x14ac:dyDescent="0.25">
      <c r="M19452" s="34">
        <f t="shared" si="479"/>
        <v>0</v>
      </c>
    </row>
    <row r="19453" spans="13:13" x14ac:dyDescent="0.25">
      <c r="M19453" s="34">
        <f t="shared" si="479"/>
        <v>0</v>
      </c>
    </row>
    <row r="19454" spans="13:13" x14ac:dyDescent="0.25">
      <c r="M19454" s="34">
        <f t="shared" si="479"/>
        <v>0</v>
      </c>
    </row>
    <row r="19455" spans="13:13" x14ac:dyDescent="0.25">
      <c r="M19455" s="34">
        <f t="shared" si="479"/>
        <v>0</v>
      </c>
    </row>
    <row r="19456" spans="13:13" x14ac:dyDescent="0.25">
      <c r="M19456" s="34">
        <f t="shared" si="479"/>
        <v>0</v>
      </c>
    </row>
    <row r="19457" spans="13:13" x14ac:dyDescent="0.25">
      <c r="M19457" s="34">
        <f t="shared" si="479"/>
        <v>0</v>
      </c>
    </row>
    <row r="19458" spans="13:13" x14ac:dyDescent="0.25">
      <c r="M19458" s="34">
        <f t="shared" si="479"/>
        <v>0</v>
      </c>
    </row>
    <row r="19459" spans="13:13" x14ac:dyDescent="0.25">
      <c r="M19459" s="34">
        <f t="shared" ref="M19459:M19522" si="480">IF(AND(E19459="Chèque",G19459="RECETTE"),F19459,0)</f>
        <v>0</v>
      </c>
    </row>
    <row r="19460" spans="13:13" x14ac:dyDescent="0.25">
      <c r="M19460" s="34">
        <f t="shared" si="480"/>
        <v>0</v>
      </c>
    </row>
    <row r="19461" spans="13:13" x14ac:dyDescent="0.25">
      <c r="M19461" s="34">
        <f t="shared" si="480"/>
        <v>0</v>
      </c>
    </row>
    <row r="19462" spans="13:13" x14ac:dyDescent="0.25">
      <c r="M19462" s="34">
        <f t="shared" si="480"/>
        <v>0</v>
      </c>
    </row>
    <row r="19463" spans="13:13" x14ac:dyDescent="0.25">
      <c r="M19463" s="34">
        <f t="shared" si="480"/>
        <v>0</v>
      </c>
    </row>
    <row r="19464" spans="13:13" x14ac:dyDescent="0.25">
      <c r="M19464" s="34">
        <f t="shared" si="480"/>
        <v>0</v>
      </c>
    </row>
    <row r="19465" spans="13:13" x14ac:dyDescent="0.25">
      <c r="M19465" s="34">
        <f t="shared" si="480"/>
        <v>0</v>
      </c>
    </row>
    <row r="19466" spans="13:13" x14ac:dyDescent="0.25">
      <c r="M19466" s="34">
        <f t="shared" si="480"/>
        <v>0</v>
      </c>
    </row>
    <row r="19467" spans="13:13" x14ac:dyDescent="0.25">
      <c r="M19467" s="34">
        <f t="shared" si="480"/>
        <v>0</v>
      </c>
    </row>
    <row r="19468" spans="13:13" x14ac:dyDescent="0.25">
      <c r="M19468" s="34">
        <f t="shared" si="480"/>
        <v>0</v>
      </c>
    </row>
    <row r="19469" spans="13:13" x14ac:dyDescent="0.25">
      <c r="M19469" s="34">
        <f t="shared" si="480"/>
        <v>0</v>
      </c>
    </row>
    <row r="19470" spans="13:13" x14ac:dyDescent="0.25">
      <c r="M19470" s="34">
        <f t="shared" si="480"/>
        <v>0</v>
      </c>
    </row>
    <row r="19471" spans="13:13" x14ac:dyDescent="0.25">
      <c r="M19471" s="34">
        <f t="shared" si="480"/>
        <v>0</v>
      </c>
    </row>
    <row r="19472" spans="13:13" x14ac:dyDescent="0.25">
      <c r="M19472" s="34">
        <f t="shared" si="480"/>
        <v>0</v>
      </c>
    </row>
    <row r="19473" spans="13:13" x14ac:dyDescent="0.25">
      <c r="M19473" s="34">
        <f t="shared" si="480"/>
        <v>0</v>
      </c>
    </row>
    <row r="19474" spans="13:13" x14ac:dyDescent="0.25">
      <c r="M19474" s="34">
        <f t="shared" si="480"/>
        <v>0</v>
      </c>
    </row>
    <row r="19475" spans="13:13" x14ac:dyDescent="0.25">
      <c r="M19475" s="34">
        <f t="shared" si="480"/>
        <v>0</v>
      </c>
    </row>
    <row r="19476" spans="13:13" x14ac:dyDescent="0.25">
      <c r="M19476" s="34">
        <f t="shared" si="480"/>
        <v>0</v>
      </c>
    </row>
    <row r="19477" spans="13:13" x14ac:dyDescent="0.25">
      <c r="M19477" s="34">
        <f t="shared" si="480"/>
        <v>0</v>
      </c>
    </row>
    <row r="19478" spans="13:13" x14ac:dyDescent="0.25">
      <c r="M19478" s="34">
        <f t="shared" si="480"/>
        <v>0</v>
      </c>
    </row>
    <row r="19479" spans="13:13" x14ac:dyDescent="0.25">
      <c r="M19479" s="34">
        <f t="shared" si="480"/>
        <v>0</v>
      </c>
    </row>
    <row r="19480" spans="13:13" x14ac:dyDescent="0.25">
      <c r="M19480" s="34">
        <f t="shared" si="480"/>
        <v>0</v>
      </c>
    </row>
    <row r="19481" spans="13:13" x14ac:dyDescent="0.25">
      <c r="M19481" s="34">
        <f t="shared" si="480"/>
        <v>0</v>
      </c>
    </row>
    <row r="19482" spans="13:13" x14ac:dyDescent="0.25">
      <c r="M19482" s="34">
        <f t="shared" si="480"/>
        <v>0</v>
      </c>
    </row>
    <row r="19483" spans="13:13" x14ac:dyDescent="0.25">
      <c r="M19483" s="34">
        <f t="shared" si="480"/>
        <v>0</v>
      </c>
    </row>
    <row r="19484" spans="13:13" x14ac:dyDescent="0.25">
      <c r="M19484" s="34">
        <f t="shared" si="480"/>
        <v>0</v>
      </c>
    </row>
    <row r="19485" spans="13:13" x14ac:dyDescent="0.25">
      <c r="M19485" s="34">
        <f t="shared" si="480"/>
        <v>0</v>
      </c>
    </row>
    <row r="19486" spans="13:13" x14ac:dyDescent="0.25">
      <c r="M19486" s="34">
        <f t="shared" si="480"/>
        <v>0</v>
      </c>
    </row>
    <row r="19487" spans="13:13" x14ac:dyDescent="0.25">
      <c r="M19487" s="34">
        <f t="shared" si="480"/>
        <v>0</v>
      </c>
    </row>
    <row r="19488" spans="13:13" x14ac:dyDescent="0.25">
      <c r="M19488" s="34">
        <f t="shared" si="480"/>
        <v>0</v>
      </c>
    </row>
    <row r="19489" spans="13:13" x14ac:dyDescent="0.25">
      <c r="M19489" s="34">
        <f t="shared" si="480"/>
        <v>0</v>
      </c>
    </row>
    <row r="19490" spans="13:13" x14ac:dyDescent="0.25">
      <c r="M19490" s="34">
        <f t="shared" si="480"/>
        <v>0</v>
      </c>
    </row>
    <row r="19491" spans="13:13" x14ac:dyDescent="0.25">
      <c r="M19491" s="34">
        <f t="shared" si="480"/>
        <v>0</v>
      </c>
    </row>
    <row r="19492" spans="13:13" x14ac:dyDescent="0.25">
      <c r="M19492" s="34">
        <f t="shared" si="480"/>
        <v>0</v>
      </c>
    </row>
    <row r="19493" spans="13:13" x14ac:dyDescent="0.25">
      <c r="M19493" s="34">
        <f t="shared" si="480"/>
        <v>0</v>
      </c>
    </row>
    <row r="19494" spans="13:13" x14ac:dyDescent="0.25">
      <c r="M19494" s="34">
        <f t="shared" si="480"/>
        <v>0</v>
      </c>
    </row>
    <row r="19495" spans="13:13" x14ac:dyDescent="0.25">
      <c r="M19495" s="34">
        <f t="shared" si="480"/>
        <v>0</v>
      </c>
    </row>
    <row r="19496" spans="13:13" x14ac:dyDescent="0.25">
      <c r="M19496" s="34">
        <f t="shared" si="480"/>
        <v>0</v>
      </c>
    </row>
    <row r="19497" spans="13:13" x14ac:dyDescent="0.25">
      <c r="M19497" s="34">
        <f t="shared" si="480"/>
        <v>0</v>
      </c>
    </row>
    <row r="19498" spans="13:13" x14ac:dyDescent="0.25">
      <c r="M19498" s="34">
        <f t="shared" si="480"/>
        <v>0</v>
      </c>
    </row>
    <row r="19499" spans="13:13" x14ac:dyDescent="0.25">
      <c r="M19499" s="34">
        <f t="shared" si="480"/>
        <v>0</v>
      </c>
    </row>
    <row r="19500" spans="13:13" x14ac:dyDescent="0.25">
      <c r="M19500" s="34">
        <f t="shared" si="480"/>
        <v>0</v>
      </c>
    </row>
    <row r="19501" spans="13:13" x14ac:dyDescent="0.25">
      <c r="M19501" s="34">
        <f t="shared" si="480"/>
        <v>0</v>
      </c>
    </row>
    <row r="19502" spans="13:13" x14ac:dyDescent="0.25">
      <c r="M19502" s="34">
        <f t="shared" si="480"/>
        <v>0</v>
      </c>
    </row>
    <row r="19503" spans="13:13" x14ac:dyDescent="0.25">
      <c r="M19503" s="34">
        <f t="shared" si="480"/>
        <v>0</v>
      </c>
    </row>
    <row r="19504" spans="13:13" x14ac:dyDescent="0.25">
      <c r="M19504" s="34">
        <f t="shared" si="480"/>
        <v>0</v>
      </c>
    </row>
    <row r="19505" spans="13:13" x14ac:dyDescent="0.25">
      <c r="M19505" s="34">
        <f t="shared" si="480"/>
        <v>0</v>
      </c>
    </row>
    <row r="19506" spans="13:13" x14ac:dyDescent="0.25">
      <c r="M19506" s="34">
        <f t="shared" si="480"/>
        <v>0</v>
      </c>
    </row>
    <row r="19507" spans="13:13" x14ac:dyDescent="0.25">
      <c r="M19507" s="34">
        <f t="shared" si="480"/>
        <v>0</v>
      </c>
    </row>
    <row r="19508" spans="13:13" x14ac:dyDescent="0.25">
      <c r="M19508" s="34">
        <f t="shared" si="480"/>
        <v>0</v>
      </c>
    </row>
    <row r="19509" spans="13:13" x14ac:dyDescent="0.25">
      <c r="M19509" s="34">
        <f t="shared" si="480"/>
        <v>0</v>
      </c>
    </row>
    <row r="19510" spans="13:13" x14ac:dyDescent="0.25">
      <c r="M19510" s="34">
        <f t="shared" si="480"/>
        <v>0</v>
      </c>
    </row>
    <row r="19511" spans="13:13" x14ac:dyDescent="0.25">
      <c r="M19511" s="34">
        <f t="shared" si="480"/>
        <v>0</v>
      </c>
    </row>
    <row r="19512" spans="13:13" x14ac:dyDescent="0.25">
      <c r="M19512" s="34">
        <f t="shared" si="480"/>
        <v>0</v>
      </c>
    </row>
    <row r="19513" spans="13:13" x14ac:dyDescent="0.25">
      <c r="M19513" s="34">
        <f t="shared" si="480"/>
        <v>0</v>
      </c>
    </row>
    <row r="19514" spans="13:13" x14ac:dyDescent="0.25">
      <c r="M19514" s="34">
        <f t="shared" si="480"/>
        <v>0</v>
      </c>
    </row>
    <row r="19515" spans="13:13" x14ac:dyDescent="0.25">
      <c r="M19515" s="34">
        <f t="shared" si="480"/>
        <v>0</v>
      </c>
    </row>
    <row r="19516" spans="13:13" x14ac:dyDescent="0.25">
      <c r="M19516" s="34">
        <f t="shared" si="480"/>
        <v>0</v>
      </c>
    </row>
    <row r="19517" spans="13:13" x14ac:dyDescent="0.25">
      <c r="M19517" s="34">
        <f t="shared" si="480"/>
        <v>0</v>
      </c>
    </row>
    <row r="19518" spans="13:13" x14ac:dyDescent="0.25">
      <c r="M19518" s="34">
        <f t="shared" si="480"/>
        <v>0</v>
      </c>
    </row>
    <row r="19519" spans="13:13" x14ac:dyDescent="0.25">
      <c r="M19519" s="34">
        <f t="shared" si="480"/>
        <v>0</v>
      </c>
    </row>
    <row r="19520" spans="13:13" x14ac:dyDescent="0.25">
      <c r="M19520" s="34">
        <f t="shared" si="480"/>
        <v>0</v>
      </c>
    </row>
    <row r="19521" spans="13:13" x14ac:dyDescent="0.25">
      <c r="M19521" s="34">
        <f t="shared" si="480"/>
        <v>0</v>
      </c>
    </row>
    <row r="19522" spans="13:13" x14ac:dyDescent="0.25">
      <c r="M19522" s="34">
        <f t="shared" si="480"/>
        <v>0</v>
      </c>
    </row>
    <row r="19523" spans="13:13" x14ac:dyDescent="0.25">
      <c r="M19523" s="34">
        <f t="shared" ref="M19523:M19586" si="481">IF(AND(E19523="Chèque",G19523="RECETTE"),F19523,0)</f>
        <v>0</v>
      </c>
    </row>
    <row r="19524" spans="13:13" x14ac:dyDescent="0.25">
      <c r="M19524" s="34">
        <f t="shared" si="481"/>
        <v>0</v>
      </c>
    </row>
    <row r="19525" spans="13:13" x14ac:dyDescent="0.25">
      <c r="M19525" s="34">
        <f t="shared" si="481"/>
        <v>0</v>
      </c>
    </row>
    <row r="19526" spans="13:13" x14ac:dyDescent="0.25">
      <c r="M19526" s="34">
        <f t="shared" si="481"/>
        <v>0</v>
      </c>
    </row>
    <row r="19527" spans="13:13" x14ac:dyDescent="0.25">
      <c r="M19527" s="34">
        <f t="shared" si="481"/>
        <v>0</v>
      </c>
    </row>
    <row r="19528" spans="13:13" x14ac:dyDescent="0.25">
      <c r="M19528" s="34">
        <f t="shared" si="481"/>
        <v>0</v>
      </c>
    </row>
    <row r="19529" spans="13:13" x14ac:dyDescent="0.25">
      <c r="M19529" s="34">
        <f t="shared" si="481"/>
        <v>0</v>
      </c>
    </row>
    <row r="19530" spans="13:13" x14ac:dyDescent="0.25">
      <c r="M19530" s="34">
        <f t="shared" si="481"/>
        <v>0</v>
      </c>
    </row>
    <row r="19531" spans="13:13" x14ac:dyDescent="0.25">
      <c r="M19531" s="34">
        <f t="shared" si="481"/>
        <v>0</v>
      </c>
    </row>
    <row r="19532" spans="13:13" x14ac:dyDescent="0.25">
      <c r="M19532" s="34">
        <f t="shared" si="481"/>
        <v>0</v>
      </c>
    </row>
    <row r="19533" spans="13:13" x14ac:dyDescent="0.25">
      <c r="M19533" s="34">
        <f t="shared" si="481"/>
        <v>0</v>
      </c>
    </row>
    <row r="19534" spans="13:13" x14ac:dyDescent="0.25">
      <c r="M19534" s="34">
        <f t="shared" si="481"/>
        <v>0</v>
      </c>
    </row>
    <row r="19535" spans="13:13" x14ac:dyDescent="0.25">
      <c r="M19535" s="34">
        <f t="shared" si="481"/>
        <v>0</v>
      </c>
    </row>
    <row r="19536" spans="13:13" x14ac:dyDescent="0.25">
      <c r="M19536" s="34">
        <f t="shared" si="481"/>
        <v>0</v>
      </c>
    </row>
    <row r="19537" spans="13:13" x14ac:dyDescent="0.25">
      <c r="M19537" s="34">
        <f t="shared" si="481"/>
        <v>0</v>
      </c>
    </row>
    <row r="19538" spans="13:13" x14ac:dyDescent="0.25">
      <c r="M19538" s="34">
        <f t="shared" si="481"/>
        <v>0</v>
      </c>
    </row>
    <row r="19539" spans="13:13" x14ac:dyDescent="0.25">
      <c r="M19539" s="34">
        <f t="shared" si="481"/>
        <v>0</v>
      </c>
    </row>
    <row r="19540" spans="13:13" x14ac:dyDescent="0.25">
      <c r="M19540" s="34">
        <f t="shared" si="481"/>
        <v>0</v>
      </c>
    </row>
    <row r="19541" spans="13:13" x14ac:dyDescent="0.25">
      <c r="M19541" s="34">
        <f t="shared" si="481"/>
        <v>0</v>
      </c>
    </row>
    <row r="19542" spans="13:13" x14ac:dyDescent="0.25">
      <c r="M19542" s="34">
        <f t="shared" si="481"/>
        <v>0</v>
      </c>
    </row>
    <row r="19543" spans="13:13" x14ac:dyDescent="0.25">
      <c r="M19543" s="34">
        <f t="shared" si="481"/>
        <v>0</v>
      </c>
    </row>
    <row r="19544" spans="13:13" x14ac:dyDescent="0.25">
      <c r="M19544" s="34">
        <f t="shared" si="481"/>
        <v>0</v>
      </c>
    </row>
    <row r="19545" spans="13:13" x14ac:dyDescent="0.25">
      <c r="M19545" s="34">
        <f t="shared" si="481"/>
        <v>0</v>
      </c>
    </row>
    <row r="19546" spans="13:13" x14ac:dyDescent="0.25">
      <c r="M19546" s="34">
        <f t="shared" si="481"/>
        <v>0</v>
      </c>
    </row>
    <row r="19547" spans="13:13" x14ac:dyDescent="0.25">
      <c r="M19547" s="34">
        <f t="shared" si="481"/>
        <v>0</v>
      </c>
    </row>
    <row r="19548" spans="13:13" x14ac:dyDescent="0.25">
      <c r="M19548" s="34">
        <f t="shared" si="481"/>
        <v>0</v>
      </c>
    </row>
    <row r="19549" spans="13:13" x14ac:dyDescent="0.25">
      <c r="M19549" s="34">
        <f t="shared" si="481"/>
        <v>0</v>
      </c>
    </row>
    <row r="19550" spans="13:13" x14ac:dyDescent="0.25">
      <c r="M19550" s="34">
        <f t="shared" si="481"/>
        <v>0</v>
      </c>
    </row>
    <row r="19551" spans="13:13" x14ac:dyDescent="0.25">
      <c r="M19551" s="34">
        <f t="shared" si="481"/>
        <v>0</v>
      </c>
    </row>
    <row r="19552" spans="13:13" x14ac:dyDescent="0.25">
      <c r="M19552" s="34">
        <f t="shared" si="481"/>
        <v>0</v>
      </c>
    </row>
    <row r="19553" spans="13:13" x14ac:dyDescent="0.25">
      <c r="M19553" s="34">
        <f t="shared" si="481"/>
        <v>0</v>
      </c>
    </row>
    <row r="19554" spans="13:13" x14ac:dyDescent="0.25">
      <c r="M19554" s="34">
        <f t="shared" si="481"/>
        <v>0</v>
      </c>
    </row>
    <row r="19555" spans="13:13" x14ac:dyDescent="0.25">
      <c r="M19555" s="34">
        <f t="shared" si="481"/>
        <v>0</v>
      </c>
    </row>
    <row r="19556" spans="13:13" x14ac:dyDescent="0.25">
      <c r="M19556" s="34">
        <f t="shared" si="481"/>
        <v>0</v>
      </c>
    </row>
    <row r="19557" spans="13:13" x14ac:dyDescent="0.25">
      <c r="M19557" s="34">
        <f t="shared" si="481"/>
        <v>0</v>
      </c>
    </row>
    <row r="19558" spans="13:13" x14ac:dyDescent="0.25">
      <c r="M19558" s="34">
        <f t="shared" si="481"/>
        <v>0</v>
      </c>
    </row>
    <row r="19559" spans="13:13" x14ac:dyDescent="0.25">
      <c r="M19559" s="34">
        <f t="shared" si="481"/>
        <v>0</v>
      </c>
    </row>
    <row r="19560" spans="13:13" x14ac:dyDescent="0.25">
      <c r="M19560" s="34">
        <f t="shared" si="481"/>
        <v>0</v>
      </c>
    </row>
    <row r="19561" spans="13:13" x14ac:dyDescent="0.25">
      <c r="M19561" s="34">
        <f t="shared" si="481"/>
        <v>0</v>
      </c>
    </row>
    <row r="19562" spans="13:13" x14ac:dyDescent="0.25">
      <c r="M19562" s="34">
        <f t="shared" si="481"/>
        <v>0</v>
      </c>
    </row>
    <row r="19563" spans="13:13" x14ac:dyDescent="0.25">
      <c r="M19563" s="34">
        <f t="shared" si="481"/>
        <v>0</v>
      </c>
    </row>
    <row r="19564" spans="13:13" x14ac:dyDescent="0.25">
      <c r="M19564" s="34">
        <f t="shared" si="481"/>
        <v>0</v>
      </c>
    </row>
    <row r="19565" spans="13:13" x14ac:dyDescent="0.25">
      <c r="M19565" s="34">
        <f t="shared" si="481"/>
        <v>0</v>
      </c>
    </row>
    <row r="19566" spans="13:13" x14ac:dyDescent="0.25">
      <c r="M19566" s="34">
        <f t="shared" si="481"/>
        <v>0</v>
      </c>
    </row>
    <row r="19567" spans="13:13" x14ac:dyDescent="0.25">
      <c r="M19567" s="34">
        <f t="shared" si="481"/>
        <v>0</v>
      </c>
    </row>
    <row r="19568" spans="13:13" x14ac:dyDescent="0.25">
      <c r="M19568" s="34">
        <f t="shared" si="481"/>
        <v>0</v>
      </c>
    </row>
    <row r="19569" spans="13:13" x14ac:dyDescent="0.25">
      <c r="M19569" s="34">
        <f t="shared" si="481"/>
        <v>0</v>
      </c>
    </row>
    <row r="19570" spans="13:13" x14ac:dyDescent="0.25">
      <c r="M19570" s="34">
        <f t="shared" si="481"/>
        <v>0</v>
      </c>
    </row>
    <row r="19571" spans="13:13" x14ac:dyDescent="0.25">
      <c r="M19571" s="34">
        <f t="shared" si="481"/>
        <v>0</v>
      </c>
    </row>
    <row r="19572" spans="13:13" x14ac:dyDescent="0.25">
      <c r="M19572" s="34">
        <f t="shared" si="481"/>
        <v>0</v>
      </c>
    </row>
    <row r="19573" spans="13:13" x14ac:dyDescent="0.25">
      <c r="M19573" s="34">
        <f t="shared" si="481"/>
        <v>0</v>
      </c>
    </row>
    <row r="19574" spans="13:13" x14ac:dyDescent="0.25">
      <c r="M19574" s="34">
        <f t="shared" si="481"/>
        <v>0</v>
      </c>
    </row>
    <row r="19575" spans="13:13" x14ac:dyDescent="0.25">
      <c r="M19575" s="34">
        <f t="shared" si="481"/>
        <v>0</v>
      </c>
    </row>
    <row r="19576" spans="13:13" x14ac:dyDescent="0.25">
      <c r="M19576" s="34">
        <f t="shared" si="481"/>
        <v>0</v>
      </c>
    </row>
    <row r="19577" spans="13:13" x14ac:dyDescent="0.25">
      <c r="M19577" s="34">
        <f t="shared" si="481"/>
        <v>0</v>
      </c>
    </row>
    <row r="19578" spans="13:13" x14ac:dyDescent="0.25">
      <c r="M19578" s="34">
        <f t="shared" si="481"/>
        <v>0</v>
      </c>
    </row>
    <row r="19579" spans="13:13" x14ac:dyDescent="0.25">
      <c r="M19579" s="34">
        <f t="shared" si="481"/>
        <v>0</v>
      </c>
    </row>
    <row r="19580" spans="13:13" x14ac:dyDescent="0.25">
      <c r="M19580" s="34">
        <f t="shared" si="481"/>
        <v>0</v>
      </c>
    </row>
    <row r="19581" spans="13:13" x14ac:dyDescent="0.25">
      <c r="M19581" s="34">
        <f t="shared" si="481"/>
        <v>0</v>
      </c>
    </row>
    <row r="19582" spans="13:13" x14ac:dyDescent="0.25">
      <c r="M19582" s="34">
        <f t="shared" si="481"/>
        <v>0</v>
      </c>
    </row>
    <row r="19583" spans="13:13" x14ac:dyDescent="0.25">
      <c r="M19583" s="34">
        <f t="shared" si="481"/>
        <v>0</v>
      </c>
    </row>
    <row r="19584" spans="13:13" x14ac:dyDescent="0.25">
      <c r="M19584" s="34">
        <f t="shared" si="481"/>
        <v>0</v>
      </c>
    </row>
    <row r="19585" spans="13:13" x14ac:dyDescent="0.25">
      <c r="M19585" s="34">
        <f t="shared" si="481"/>
        <v>0</v>
      </c>
    </row>
    <row r="19586" spans="13:13" x14ac:dyDescent="0.25">
      <c r="M19586" s="34">
        <f t="shared" si="481"/>
        <v>0</v>
      </c>
    </row>
    <row r="19587" spans="13:13" x14ac:dyDescent="0.25">
      <c r="M19587" s="34">
        <f t="shared" ref="M19587:M19650" si="482">IF(AND(E19587="Chèque",G19587="RECETTE"),F19587,0)</f>
        <v>0</v>
      </c>
    </row>
    <row r="19588" spans="13:13" x14ac:dyDescent="0.25">
      <c r="M19588" s="34">
        <f t="shared" si="482"/>
        <v>0</v>
      </c>
    </row>
    <row r="19589" spans="13:13" x14ac:dyDescent="0.25">
      <c r="M19589" s="34">
        <f t="shared" si="482"/>
        <v>0</v>
      </c>
    </row>
    <row r="19590" spans="13:13" x14ac:dyDescent="0.25">
      <c r="M19590" s="34">
        <f t="shared" si="482"/>
        <v>0</v>
      </c>
    </row>
    <row r="19591" spans="13:13" x14ac:dyDescent="0.25">
      <c r="M19591" s="34">
        <f t="shared" si="482"/>
        <v>0</v>
      </c>
    </row>
    <row r="19592" spans="13:13" x14ac:dyDescent="0.25">
      <c r="M19592" s="34">
        <f t="shared" si="482"/>
        <v>0</v>
      </c>
    </row>
    <row r="19593" spans="13:13" x14ac:dyDescent="0.25">
      <c r="M19593" s="34">
        <f t="shared" si="482"/>
        <v>0</v>
      </c>
    </row>
    <row r="19594" spans="13:13" x14ac:dyDescent="0.25">
      <c r="M19594" s="34">
        <f t="shared" si="482"/>
        <v>0</v>
      </c>
    </row>
    <row r="19595" spans="13:13" x14ac:dyDescent="0.25">
      <c r="M19595" s="34">
        <f t="shared" si="482"/>
        <v>0</v>
      </c>
    </row>
    <row r="19596" spans="13:13" x14ac:dyDescent="0.25">
      <c r="M19596" s="34">
        <f t="shared" si="482"/>
        <v>0</v>
      </c>
    </row>
    <row r="19597" spans="13:13" x14ac:dyDescent="0.25">
      <c r="M19597" s="34">
        <f t="shared" si="482"/>
        <v>0</v>
      </c>
    </row>
    <row r="19598" spans="13:13" x14ac:dyDescent="0.25">
      <c r="M19598" s="34">
        <f t="shared" si="482"/>
        <v>0</v>
      </c>
    </row>
    <row r="19599" spans="13:13" x14ac:dyDescent="0.25">
      <c r="M19599" s="34">
        <f t="shared" si="482"/>
        <v>0</v>
      </c>
    </row>
    <row r="19600" spans="13:13" x14ac:dyDescent="0.25">
      <c r="M19600" s="34">
        <f t="shared" si="482"/>
        <v>0</v>
      </c>
    </row>
    <row r="19601" spans="13:13" x14ac:dyDescent="0.25">
      <c r="M19601" s="34">
        <f t="shared" si="482"/>
        <v>0</v>
      </c>
    </row>
    <row r="19602" spans="13:13" x14ac:dyDescent="0.25">
      <c r="M19602" s="34">
        <f t="shared" si="482"/>
        <v>0</v>
      </c>
    </row>
    <row r="19603" spans="13:13" x14ac:dyDescent="0.25">
      <c r="M19603" s="34">
        <f t="shared" si="482"/>
        <v>0</v>
      </c>
    </row>
    <row r="19604" spans="13:13" x14ac:dyDescent="0.25">
      <c r="M19604" s="34">
        <f t="shared" si="482"/>
        <v>0</v>
      </c>
    </row>
    <row r="19605" spans="13:13" x14ac:dyDescent="0.25">
      <c r="M19605" s="34">
        <f t="shared" si="482"/>
        <v>0</v>
      </c>
    </row>
    <row r="19606" spans="13:13" x14ac:dyDescent="0.25">
      <c r="M19606" s="34">
        <f t="shared" si="482"/>
        <v>0</v>
      </c>
    </row>
    <row r="19607" spans="13:13" x14ac:dyDescent="0.25">
      <c r="M19607" s="34">
        <f t="shared" si="482"/>
        <v>0</v>
      </c>
    </row>
    <row r="19608" spans="13:13" x14ac:dyDescent="0.25">
      <c r="M19608" s="34">
        <f t="shared" si="482"/>
        <v>0</v>
      </c>
    </row>
    <row r="19609" spans="13:13" x14ac:dyDescent="0.25">
      <c r="M19609" s="34">
        <f t="shared" si="482"/>
        <v>0</v>
      </c>
    </row>
    <row r="19610" spans="13:13" x14ac:dyDescent="0.25">
      <c r="M19610" s="34">
        <f t="shared" si="482"/>
        <v>0</v>
      </c>
    </row>
    <row r="19611" spans="13:13" x14ac:dyDescent="0.25">
      <c r="M19611" s="34">
        <f t="shared" si="482"/>
        <v>0</v>
      </c>
    </row>
    <row r="19612" spans="13:13" x14ac:dyDescent="0.25">
      <c r="M19612" s="34">
        <f t="shared" si="482"/>
        <v>0</v>
      </c>
    </row>
    <row r="19613" spans="13:13" x14ac:dyDescent="0.25">
      <c r="M19613" s="34">
        <f t="shared" si="482"/>
        <v>0</v>
      </c>
    </row>
    <row r="19614" spans="13:13" x14ac:dyDescent="0.25">
      <c r="M19614" s="34">
        <f t="shared" si="482"/>
        <v>0</v>
      </c>
    </row>
    <row r="19615" spans="13:13" x14ac:dyDescent="0.25">
      <c r="M19615" s="34">
        <f t="shared" si="482"/>
        <v>0</v>
      </c>
    </row>
    <row r="19616" spans="13:13" x14ac:dyDescent="0.25">
      <c r="M19616" s="34">
        <f t="shared" si="482"/>
        <v>0</v>
      </c>
    </row>
    <row r="19617" spans="13:13" x14ac:dyDescent="0.25">
      <c r="M19617" s="34">
        <f t="shared" si="482"/>
        <v>0</v>
      </c>
    </row>
    <row r="19618" spans="13:13" x14ac:dyDescent="0.25">
      <c r="M19618" s="34">
        <f t="shared" si="482"/>
        <v>0</v>
      </c>
    </row>
    <row r="19619" spans="13:13" x14ac:dyDescent="0.25">
      <c r="M19619" s="34">
        <f t="shared" si="482"/>
        <v>0</v>
      </c>
    </row>
    <row r="19620" spans="13:13" x14ac:dyDescent="0.25">
      <c r="M19620" s="34">
        <f t="shared" si="482"/>
        <v>0</v>
      </c>
    </row>
    <row r="19621" spans="13:13" x14ac:dyDescent="0.25">
      <c r="M19621" s="34">
        <f t="shared" si="482"/>
        <v>0</v>
      </c>
    </row>
    <row r="19622" spans="13:13" x14ac:dyDescent="0.25">
      <c r="M19622" s="34">
        <f t="shared" si="482"/>
        <v>0</v>
      </c>
    </row>
    <row r="19623" spans="13:13" x14ac:dyDescent="0.25">
      <c r="M19623" s="34">
        <f t="shared" si="482"/>
        <v>0</v>
      </c>
    </row>
    <row r="19624" spans="13:13" x14ac:dyDescent="0.25">
      <c r="M19624" s="34">
        <f t="shared" si="482"/>
        <v>0</v>
      </c>
    </row>
    <row r="19625" spans="13:13" x14ac:dyDescent="0.25">
      <c r="M19625" s="34">
        <f t="shared" si="482"/>
        <v>0</v>
      </c>
    </row>
    <row r="19626" spans="13:13" x14ac:dyDescent="0.25">
      <c r="M19626" s="34">
        <f t="shared" si="482"/>
        <v>0</v>
      </c>
    </row>
    <row r="19627" spans="13:13" x14ac:dyDescent="0.25">
      <c r="M19627" s="34">
        <f t="shared" si="482"/>
        <v>0</v>
      </c>
    </row>
    <row r="19628" spans="13:13" x14ac:dyDescent="0.25">
      <c r="M19628" s="34">
        <f t="shared" si="482"/>
        <v>0</v>
      </c>
    </row>
    <row r="19629" spans="13:13" x14ac:dyDescent="0.25">
      <c r="M19629" s="34">
        <f t="shared" si="482"/>
        <v>0</v>
      </c>
    </row>
    <row r="19630" spans="13:13" x14ac:dyDescent="0.25">
      <c r="M19630" s="34">
        <f t="shared" si="482"/>
        <v>0</v>
      </c>
    </row>
    <row r="19631" spans="13:13" x14ac:dyDescent="0.25">
      <c r="M19631" s="34">
        <f t="shared" si="482"/>
        <v>0</v>
      </c>
    </row>
    <row r="19632" spans="13:13" x14ac:dyDescent="0.25">
      <c r="M19632" s="34">
        <f t="shared" si="482"/>
        <v>0</v>
      </c>
    </row>
    <row r="19633" spans="13:13" x14ac:dyDescent="0.25">
      <c r="M19633" s="34">
        <f t="shared" si="482"/>
        <v>0</v>
      </c>
    </row>
    <row r="19634" spans="13:13" x14ac:dyDescent="0.25">
      <c r="M19634" s="34">
        <f t="shared" si="482"/>
        <v>0</v>
      </c>
    </row>
    <row r="19635" spans="13:13" x14ac:dyDescent="0.25">
      <c r="M19635" s="34">
        <f t="shared" si="482"/>
        <v>0</v>
      </c>
    </row>
    <row r="19636" spans="13:13" x14ac:dyDescent="0.25">
      <c r="M19636" s="34">
        <f t="shared" si="482"/>
        <v>0</v>
      </c>
    </row>
    <row r="19637" spans="13:13" x14ac:dyDescent="0.25">
      <c r="M19637" s="34">
        <f t="shared" si="482"/>
        <v>0</v>
      </c>
    </row>
    <row r="19638" spans="13:13" x14ac:dyDescent="0.25">
      <c r="M19638" s="34">
        <f t="shared" si="482"/>
        <v>0</v>
      </c>
    </row>
    <row r="19639" spans="13:13" x14ac:dyDescent="0.25">
      <c r="M19639" s="34">
        <f t="shared" si="482"/>
        <v>0</v>
      </c>
    </row>
    <row r="19640" spans="13:13" x14ac:dyDescent="0.25">
      <c r="M19640" s="34">
        <f t="shared" si="482"/>
        <v>0</v>
      </c>
    </row>
    <row r="19641" spans="13:13" x14ac:dyDescent="0.25">
      <c r="M19641" s="34">
        <f t="shared" si="482"/>
        <v>0</v>
      </c>
    </row>
    <row r="19642" spans="13:13" x14ac:dyDescent="0.25">
      <c r="M19642" s="34">
        <f t="shared" si="482"/>
        <v>0</v>
      </c>
    </row>
    <row r="19643" spans="13:13" x14ac:dyDescent="0.25">
      <c r="M19643" s="34">
        <f t="shared" si="482"/>
        <v>0</v>
      </c>
    </row>
    <row r="19644" spans="13:13" x14ac:dyDescent="0.25">
      <c r="M19644" s="34">
        <f t="shared" si="482"/>
        <v>0</v>
      </c>
    </row>
    <row r="19645" spans="13:13" x14ac:dyDescent="0.25">
      <c r="M19645" s="34">
        <f t="shared" si="482"/>
        <v>0</v>
      </c>
    </row>
    <row r="19646" spans="13:13" x14ac:dyDescent="0.25">
      <c r="M19646" s="34">
        <f t="shared" si="482"/>
        <v>0</v>
      </c>
    </row>
    <row r="19647" spans="13:13" x14ac:dyDescent="0.25">
      <c r="M19647" s="34">
        <f t="shared" si="482"/>
        <v>0</v>
      </c>
    </row>
    <row r="19648" spans="13:13" x14ac:dyDescent="0.25">
      <c r="M19648" s="34">
        <f t="shared" si="482"/>
        <v>0</v>
      </c>
    </row>
    <row r="19649" spans="13:13" x14ac:dyDescent="0.25">
      <c r="M19649" s="34">
        <f t="shared" si="482"/>
        <v>0</v>
      </c>
    </row>
    <row r="19650" spans="13:13" x14ac:dyDescent="0.25">
      <c r="M19650" s="34">
        <f t="shared" si="482"/>
        <v>0</v>
      </c>
    </row>
    <row r="19651" spans="13:13" x14ac:dyDescent="0.25">
      <c r="M19651" s="34">
        <f t="shared" ref="M19651:M19714" si="483">IF(AND(E19651="Chèque",G19651="RECETTE"),F19651,0)</f>
        <v>0</v>
      </c>
    </row>
    <row r="19652" spans="13:13" x14ac:dyDescent="0.25">
      <c r="M19652" s="34">
        <f t="shared" si="483"/>
        <v>0</v>
      </c>
    </row>
    <row r="19653" spans="13:13" x14ac:dyDescent="0.25">
      <c r="M19653" s="34">
        <f t="shared" si="483"/>
        <v>0</v>
      </c>
    </row>
    <row r="19654" spans="13:13" x14ac:dyDescent="0.25">
      <c r="M19654" s="34">
        <f t="shared" si="483"/>
        <v>0</v>
      </c>
    </row>
    <row r="19655" spans="13:13" x14ac:dyDescent="0.25">
      <c r="M19655" s="34">
        <f t="shared" si="483"/>
        <v>0</v>
      </c>
    </row>
    <row r="19656" spans="13:13" x14ac:dyDescent="0.25">
      <c r="M19656" s="34">
        <f t="shared" si="483"/>
        <v>0</v>
      </c>
    </row>
    <row r="19657" spans="13:13" x14ac:dyDescent="0.25">
      <c r="M19657" s="34">
        <f t="shared" si="483"/>
        <v>0</v>
      </c>
    </row>
    <row r="19658" spans="13:13" x14ac:dyDescent="0.25">
      <c r="M19658" s="34">
        <f t="shared" si="483"/>
        <v>0</v>
      </c>
    </row>
    <row r="19659" spans="13:13" x14ac:dyDescent="0.25">
      <c r="M19659" s="34">
        <f t="shared" si="483"/>
        <v>0</v>
      </c>
    </row>
    <row r="19660" spans="13:13" x14ac:dyDescent="0.25">
      <c r="M19660" s="34">
        <f t="shared" si="483"/>
        <v>0</v>
      </c>
    </row>
    <row r="19661" spans="13:13" x14ac:dyDescent="0.25">
      <c r="M19661" s="34">
        <f t="shared" si="483"/>
        <v>0</v>
      </c>
    </row>
    <row r="19662" spans="13:13" x14ac:dyDescent="0.25">
      <c r="M19662" s="34">
        <f t="shared" si="483"/>
        <v>0</v>
      </c>
    </row>
    <row r="19663" spans="13:13" x14ac:dyDescent="0.25">
      <c r="M19663" s="34">
        <f t="shared" si="483"/>
        <v>0</v>
      </c>
    </row>
    <row r="19664" spans="13:13" x14ac:dyDescent="0.25">
      <c r="M19664" s="34">
        <f t="shared" si="483"/>
        <v>0</v>
      </c>
    </row>
    <row r="19665" spans="13:13" x14ac:dyDescent="0.25">
      <c r="M19665" s="34">
        <f t="shared" si="483"/>
        <v>0</v>
      </c>
    </row>
    <row r="19666" spans="13:13" x14ac:dyDescent="0.25">
      <c r="M19666" s="34">
        <f t="shared" si="483"/>
        <v>0</v>
      </c>
    </row>
    <row r="19667" spans="13:13" x14ac:dyDescent="0.25">
      <c r="M19667" s="34">
        <f t="shared" si="483"/>
        <v>0</v>
      </c>
    </row>
    <row r="19668" spans="13:13" x14ac:dyDescent="0.25">
      <c r="M19668" s="34">
        <f t="shared" si="483"/>
        <v>0</v>
      </c>
    </row>
    <row r="19669" spans="13:13" x14ac:dyDescent="0.25">
      <c r="M19669" s="34">
        <f t="shared" si="483"/>
        <v>0</v>
      </c>
    </row>
    <row r="19670" spans="13:13" x14ac:dyDescent="0.25">
      <c r="M19670" s="34">
        <f t="shared" si="483"/>
        <v>0</v>
      </c>
    </row>
    <row r="19671" spans="13:13" x14ac:dyDescent="0.25">
      <c r="M19671" s="34">
        <f t="shared" si="483"/>
        <v>0</v>
      </c>
    </row>
    <row r="19672" spans="13:13" x14ac:dyDescent="0.25">
      <c r="M19672" s="34">
        <f t="shared" si="483"/>
        <v>0</v>
      </c>
    </row>
    <row r="19673" spans="13:13" x14ac:dyDescent="0.25">
      <c r="M19673" s="34">
        <f t="shared" si="483"/>
        <v>0</v>
      </c>
    </row>
    <row r="19674" spans="13:13" x14ac:dyDescent="0.25">
      <c r="M19674" s="34">
        <f t="shared" si="483"/>
        <v>0</v>
      </c>
    </row>
    <row r="19675" spans="13:13" x14ac:dyDescent="0.25">
      <c r="M19675" s="34">
        <f t="shared" si="483"/>
        <v>0</v>
      </c>
    </row>
    <row r="19676" spans="13:13" x14ac:dyDescent="0.25">
      <c r="M19676" s="34">
        <f t="shared" si="483"/>
        <v>0</v>
      </c>
    </row>
    <row r="19677" spans="13:13" x14ac:dyDescent="0.25">
      <c r="M19677" s="34">
        <f t="shared" si="483"/>
        <v>0</v>
      </c>
    </row>
    <row r="19678" spans="13:13" x14ac:dyDescent="0.25">
      <c r="M19678" s="34">
        <f t="shared" si="483"/>
        <v>0</v>
      </c>
    </row>
    <row r="19679" spans="13:13" x14ac:dyDescent="0.25">
      <c r="M19679" s="34">
        <f t="shared" si="483"/>
        <v>0</v>
      </c>
    </row>
    <row r="19680" spans="13:13" x14ac:dyDescent="0.25">
      <c r="M19680" s="34">
        <f t="shared" si="483"/>
        <v>0</v>
      </c>
    </row>
    <row r="19681" spans="13:13" x14ac:dyDescent="0.25">
      <c r="M19681" s="34">
        <f t="shared" si="483"/>
        <v>0</v>
      </c>
    </row>
    <row r="19682" spans="13:13" x14ac:dyDescent="0.25">
      <c r="M19682" s="34">
        <f t="shared" si="483"/>
        <v>0</v>
      </c>
    </row>
    <row r="19683" spans="13:13" x14ac:dyDescent="0.25">
      <c r="M19683" s="34">
        <f t="shared" si="483"/>
        <v>0</v>
      </c>
    </row>
    <row r="19684" spans="13:13" x14ac:dyDescent="0.25">
      <c r="M19684" s="34">
        <f t="shared" si="483"/>
        <v>0</v>
      </c>
    </row>
    <row r="19685" spans="13:13" x14ac:dyDescent="0.25">
      <c r="M19685" s="34">
        <f t="shared" si="483"/>
        <v>0</v>
      </c>
    </row>
    <row r="19686" spans="13:13" x14ac:dyDescent="0.25">
      <c r="M19686" s="34">
        <f t="shared" si="483"/>
        <v>0</v>
      </c>
    </row>
    <row r="19687" spans="13:13" x14ac:dyDescent="0.25">
      <c r="M19687" s="34">
        <f t="shared" si="483"/>
        <v>0</v>
      </c>
    </row>
    <row r="19688" spans="13:13" x14ac:dyDescent="0.25">
      <c r="M19688" s="34">
        <f t="shared" si="483"/>
        <v>0</v>
      </c>
    </row>
    <row r="19689" spans="13:13" x14ac:dyDescent="0.25">
      <c r="M19689" s="34">
        <f t="shared" si="483"/>
        <v>0</v>
      </c>
    </row>
    <row r="19690" spans="13:13" x14ac:dyDescent="0.25">
      <c r="M19690" s="34">
        <f t="shared" si="483"/>
        <v>0</v>
      </c>
    </row>
    <row r="19691" spans="13:13" x14ac:dyDescent="0.25">
      <c r="M19691" s="34">
        <f t="shared" si="483"/>
        <v>0</v>
      </c>
    </row>
    <row r="19692" spans="13:13" x14ac:dyDescent="0.25">
      <c r="M19692" s="34">
        <f t="shared" si="483"/>
        <v>0</v>
      </c>
    </row>
    <row r="19693" spans="13:13" x14ac:dyDescent="0.25">
      <c r="M19693" s="34">
        <f t="shared" si="483"/>
        <v>0</v>
      </c>
    </row>
    <row r="19694" spans="13:13" x14ac:dyDescent="0.25">
      <c r="M19694" s="34">
        <f t="shared" si="483"/>
        <v>0</v>
      </c>
    </row>
    <row r="19695" spans="13:13" x14ac:dyDescent="0.25">
      <c r="M19695" s="34">
        <f t="shared" si="483"/>
        <v>0</v>
      </c>
    </row>
    <row r="19696" spans="13:13" x14ac:dyDescent="0.25">
      <c r="M19696" s="34">
        <f t="shared" si="483"/>
        <v>0</v>
      </c>
    </row>
    <row r="19697" spans="13:13" x14ac:dyDescent="0.25">
      <c r="M19697" s="34">
        <f t="shared" si="483"/>
        <v>0</v>
      </c>
    </row>
    <row r="19698" spans="13:13" x14ac:dyDescent="0.25">
      <c r="M19698" s="34">
        <f t="shared" si="483"/>
        <v>0</v>
      </c>
    </row>
    <row r="19699" spans="13:13" x14ac:dyDescent="0.25">
      <c r="M19699" s="34">
        <f t="shared" si="483"/>
        <v>0</v>
      </c>
    </row>
    <row r="19700" spans="13:13" x14ac:dyDescent="0.25">
      <c r="M19700" s="34">
        <f t="shared" si="483"/>
        <v>0</v>
      </c>
    </row>
    <row r="19701" spans="13:13" x14ac:dyDescent="0.25">
      <c r="M19701" s="34">
        <f t="shared" si="483"/>
        <v>0</v>
      </c>
    </row>
    <row r="19702" spans="13:13" x14ac:dyDescent="0.25">
      <c r="M19702" s="34">
        <f t="shared" si="483"/>
        <v>0</v>
      </c>
    </row>
    <row r="19703" spans="13:13" x14ac:dyDescent="0.25">
      <c r="M19703" s="34">
        <f t="shared" si="483"/>
        <v>0</v>
      </c>
    </row>
    <row r="19704" spans="13:13" x14ac:dyDescent="0.25">
      <c r="M19704" s="34">
        <f t="shared" si="483"/>
        <v>0</v>
      </c>
    </row>
    <row r="19705" spans="13:13" x14ac:dyDescent="0.25">
      <c r="M19705" s="34">
        <f t="shared" si="483"/>
        <v>0</v>
      </c>
    </row>
    <row r="19706" spans="13:13" x14ac:dyDescent="0.25">
      <c r="M19706" s="34">
        <f t="shared" si="483"/>
        <v>0</v>
      </c>
    </row>
    <row r="19707" spans="13:13" x14ac:dyDescent="0.25">
      <c r="M19707" s="34">
        <f t="shared" si="483"/>
        <v>0</v>
      </c>
    </row>
    <row r="19708" spans="13:13" x14ac:dyDescent="0.25">
      <c r="M19708" s="34">
        <f t="shared" si="483"/>
        <v>0</v>
      </c>
    </row>
    <row r="19709" spans="13:13" x14ac:dyDescent="0.25">
      <c r="M19709" s="34">
        <f t="shared" si="483"/>
        <v>0</v>
      </c>
    </row>
    <row r="19710" spans="13:13" x14ac:dyDescent="0.25">
      <c r="M19710" s="34">
        <f t="shared" si="483"/>
        <v>0</v>
      </c>
    </row>
    <row r="19711" spans="13:13" x14ac:dyDescent="0.25">
      <c r="M19711" s="34">
        <f t="shared" si="483"/>
        <v>0</v>
      </c>
    </row>
    <row r="19712" spans="13:13" x14ac:dyDescent="0.25">
      <c r="M19712" s="34">
        <f t="shared" si="483"/>
        <v>0</v>
      </c>
    </row>
    <row r="19713" spans="13:13" x14ac:dyDescent="0.25">
      <c r="M19713" s="34">
        <f t="shared" si="483"/>
        <v>0</v>
      </c>
    </row>
    <row r="19714" spans="13:13" x14ac:dyDescent="0.25">
      <c r="M19714" s="34">
        <f t="shared" si="483"/>
        <v>0</v>
      </c>
    </row>
    <row r="19715" spans="13:13" x14ac:dyDescent="0.25">
      <c r="M19715" s="34">
        <f t="shared" ref="M19715:M19778" si="484">IF(AND(E19715="Chèque",G19715="RECETTE"),F19715,0)</f>
        <v>0</v>
      </c>
    </row>
    <row r="19716" spans="13:13" x14ac:dyDescent="0.25">
      <c r="M19716" s="34">
        <f t="shared" si="484"/>
        <v>0</v>
      </c>
    </row>
    <row r="19717" spans="13:13" x14ac:dyDescent="0.25">
      <c r="M19717" s="34">
        <f t="shared" si="484"/>
        <v>0</v>
      </c>
    </row>
    <row r="19718" spans="13:13" x14ac:dyDescent="0.25">
      <c r="M19718" s="34">
        <f t="shared" si="484"/>
        <v>0</v>
      </c>
    </row>
    <row r="19719" spans="13:13" x14ac:dyDescent="0.25">
      <c r="M19719" s="34">
        <f t="shared" si="484"/>
        <v>0</v>
      </c>
    </row>
    <row r="19720" spans="13:13" x14ac:dyDescent="0.25">
      <c r="M19720" s="34">
        <f t="shared" si="484"/>
        <v>0</v>
      </c>
    </row>
    <row r="19721" spans="13:13" x14ac:dyDescent="0.25">
      <c r="M19721" s="34">
        <f t="shared" si="484"/>
        <v>0</v>
      </c>
    </row>
    <row r="19722" spans="13:13" x14ac:dyDescent="0.25">
      <c r="M19722" s="34">
        <f t="shared" si="484"/>
        <v>0</v>
      </c>
    </row>
    <row r="19723" spans="13:13" x14ac:dyDescent="0.25">
      <c r="M19723" s="34">
        <f t="shared" si="484"/>
        <v>0</v>
      </c>
    </row>
    <row r="19724" spans="13:13" x14ac:dyDescent="0.25">
      <c r="M19724" s="34">
        <f t="shared" si="484"/>
        <v>0</v>
      </c>
    </row>
    <row r="19725" spans="13:13" x14ac:dyDescent="0.25">
      <c r="M19725" s="34">
        <f t="shared" si="484"/>
        <v>0</v>
      </c>
    </row>
    <row r="19726" spans="13:13" x14ac:dyDescent="0.25">
      <c r="M19726" s="34">
        <f t="shared" si="484"/>
        <v>0</v>
      </c>
    </row>
    <row r="19727" spans="13:13" x14ac:dyDescent="0.25">
      <c r="M19727" s="34">
        <f t="shared" si="484"/>
        <v>0</v>
      </c>
    </row>
    <row r="19728" spans="13:13" x14ac:dyDescent="0.25">
      <c r="M19728" s="34">
        <f t="shared" si="484"/>
        <v>0</v>
      </c>
    </row>
    <row r="19729" spans="13:13" x14ac:dyDescent="0.25">
      <c r="M19729" s="34">
        <f t="shared" si="484"/>
        <v>0</v>
      </c>
    </row>
    <row r="19730" spans="13:13" x14ac:dyDescent="0.25">
      <c r="M19730" s="34">
        <f t="shared" si="484"/>
        <v>0</v>
      </c>
    </row>
    <row r="19731" spans="13:13" x14ac:dyDescent="0.25">
      <c r="M19731" s="34">
        <f t="shared" si="484"/>
        <v>0</v>
      </c>
    </row>
    <row r="19732" spans="13:13" x14ac:dyDescent="0.25">
      <c r="M19732" s="34">
        <f t="shared" si="484"/>
        <v>0</v>
      </c>
    </row>
    <row r="19733" spans="13:13" x14ac:dyDescent="0.25">
      <c r="M19733" s="34">
        <f t="shared" si="484"/>
        <v>0</v>
      </c>
    </row>
    <row r="19734" spans="13:13" x14ac:dyDescent="0.25">
      <c r="M19734" s="34">
        <f t="shared" si="484"/>
        <v>0</v>
      </c>
    </row>
    <row r="19735" spans="13:13" x14ac:dyDescent="0.25">
      <c r="M19735" s="34">
        <f t="shared" si="484"/>
        <v>0</v>
      </c>
    </row>
    <row r="19736" spans="13:13" x14ac:dyDescent="0.25">
      <c r="M19736" s="34">
        <f t="shared" si="484"/>
        <v>0</v>
      </c>
    </row>
    <row r="19737" spans="13:13" x14ac:dyDescent="0.25">
      <c r="M19737" s="34">
        <f t="shared" si="484"/>
        <v>0</v>
      </c>
    </row>
    <row r="19738" spans="13:13" x14ac:dyDescent="0.25">
      <c r="M19738" s="34">
        <f t="shared" si="484"/>
        <v>0</v>
      </c>
    </row>
    <row r="19739" spans="13:13" x14ac:dyDescent="0.25">
      <c r="M19739" s="34">
        <f t="shared" si="484"/>
        <v>0</v>
      </c>
    </row>
    <row r="19740" spans="13:13" x14ac:dyDescent="0.25">
      <c r="M19740" s="34">
        <f t="shared" si="484"/>
        <v>0</v>
      </c>
    </row>
    <row r="19741" spans="13:13" x14ac:dyDescent="0.25">
      <c r="M19741" s="34">
        <f t="shared" si="484"/>
        <v>0</v>
      </c>
    </row>
    <row r="19742" spans="13:13" x14ac:dyDescent="0.25">
      <c r="M19742" s="34">
        <f t="shared" si="484"/>
        <v>0</v>
      </c>
    </row>
    <row r="19743" spans="13:13" x14ac:dyDescent="0.25">
      <c r="M19743" s="34">
        <f t="shared" si="484"/>
        <v>0</v>
      </c>
    </row>
    <row r="19744" spans="13:13" x14ac:dyDescent="0.25">
      <c r="M19744" s="34">
        <f t="shared" si="484"/>
        <v>0</v>
      </c>
    </row>
    <row r="19745" spans="13:13" x14ac:dyDescent="0.25">
      <c r="M19745" s="34">
        <f t="shared" si="484"/>
        <v>0</v>
      </c>
    </row>
    <row r="19746" spans="13:13" x14ac:dyDescent="0.25">
      <c r="M19746" s="34">
        <f t="shared" si="484"/>
        <v>0</v>
      </c>
    </row>
    <row r="19747" spans="13:13" x14ac:dyDescent="0.25">
      <c r="M19747" s="34">
        <f t="shared" si="484"/>
        <v>0</v>
      </c>
    </row>
    <row r="19748" spans="13:13" x14ac:dyDescent="0.25">
      <c r="M19748" s="34">
        <f t="shared" si="484"/>
        <v>0</v>
      </c>
    </row>
    <row r="19749" spans="13:13" x14ac:dyDescent="0.25">
      <c r="M19749" s="34">
        <f t="shared" si="484"/>
        <v>0</v>
      </c>
    </row>
    <row r="19750" spans="13:13" x14ac:dyDescent="0.25">
      <c r="M19750" s="34">
        <f t="shared" si="484"/>
        <v>0</v>
      </c>
    </row>
    <row r="19751" spans="13:13" x14ac:dyDescent="0.25">
      <c r="M19751" s="34">
        <f t="shared" si="484"/>
        <v>0</v>
      </c>
    </row>
    <row r="19752" spans="13:13" x14ac:dyDescent="0.25">
      <c r="M19752" s="34">
        <f t="shared" si="484"/>
        <v>0</v>
      </c>
    </row>
    <row r="19753" spans="13:13" x14ac:dyDescent="0.25">
      <c r="M19753" s="34">
        <f t="shared" si="484"/>
        <v>0</v>
      </c>
    </row>
    <row r="19754" spans="13:13" x14ac:dyDescent="0.25">
      <c r="M19754" s="34">
        <f t="shared" si="484"/>
        <v>0</v>
      </c>
    </row>
    <row r="19755" spans="13:13" x14ac:dyDescent="0.25">
      <c r="M19755" s="34">
        <f t="shared" si="484"/>
        <v>0</v>
      </c>
    </row>
    <row r="19756" spans="13:13" x14ac:dyDescent="0.25">
      <c r="M19756" s="34">
        <f t="shared" si="484"/>
        <v>0</v>
      </c>
    </row>
    <row r="19757" spans="13:13" x14ac:dyDescent="0.25">
      <c r="M19757" s="34">
        <f t="shared" si="484"/>
        <v>0</v>
      </c>
    </row>
    <row r="19758" spans="13:13" x14ac:dyDescent="0.25">
      <c r="M19758" s="34">
        <f t="shared" si="484"/>
        <v>0</v>
      </c>
    </row>
    <row r="19759" spans="13:13" x14ac:dyDescent="0.25">
      <c r="M19759" s="34">
        <f t="shared" si="484"/>
        <v>0</v>
      </c>
    </row>
    <row r="19760" spans="13:13" x14ac:dyDescent="0.25">
      <c r="M19760" s="34">
        <f t="shared" si="484"/>
        <v>0</v>
      </c>
    </row>
    <row r="19761" spans="13:13" x14ac:dyDescent="0.25">
      <c r="M19761" s="34">
        <f t="shared" si="484"/>
        <v>0</v>
      </c>
    </row>
    <row r="19762" spans="13:13" x14ac:dyDescent="0.25">
      <c r="M19762" s="34">
        <f t="shared" si="484"/>
        <v>0</v>
      </c>
    </row>
    <row r="19763" spans="13:13" x14ac:dyDescent="0.25">
      <c r="M19763" s="34">
        <f t="shared" si="484"/>
        <v>0</v>
      </c>
    </row>
    <row r="19764" spans="13:13" x14ac:dyDescent="0.25">
      <c r="M19764" s="34">
        <f t="shared" si="484"/>
        <v>0</v>
      </c>
    </row>
    <row r="19765" spans="13:13" x14ac:dyDescent="0.25">
      <c r="M19765" s="34">
        <f t="shared" si="484"/>
        <v>0</v>
      </c>
    </row>
    <row r="19766" spans="13:13" x14ac:dyDescent="0.25">
      <c r="M19766" s="34">
        <f t="shared" si="484"/>
        <v>0</v>
      </c>
    </row>
    <row r="19767" spans="13:13" x14ac:dyDescent="0.25">
      <c r="M19767" s="34">
        <f t="shared" si="484"/>
        <v>0</v>
      </c>
    </row>
    <row r="19768" spans="13:13" x14ac:dyDescent="0.25">
      <c r="M19768" s="34">
        <f t="shared" si="484"/>
        <v>0</v>
      </c>
    </row>
    <row r="19769" spans="13:13" x14ac:dyDescent="0.25">
      <c r="M19769" s="34">
        <f t="shared" si="484"/>
        <v>0</v>
      </c>
    </row>
    <row r="19770" spans="13:13" x14ac:dyDescent="0.25">
      <c r="M19770" s="34">
        <f t="shared" si="484"/>
        <v>0</v>
      </c>
    </row>
    <row r="19771" spans="13:13" x14ac:dyDescent="0.25">
      <c r="M19771" s="34">
        <f t="shared" si="484"/>
        <v>0</v>
      </c>
    </row>
    <row r="19772" spans="13:13" x14ac:dyDescent="0.25">
      <c r="M19772" s="34">
        <f t="shared" si="484"/>
        <v>0</v>
      </c>
    </row>
    <row r="19773" spans="13:13" x14ac:dyDescent="0.25">
      <c r="M19773" s="34">
        <f t="shared" si="484"/>
        <v>0</v>
      </c>
    </row>
    <row r="19774" spans="13:13" x14ac:dyDescent="0.25">
      <c r="M19774" s="34">
        <f t="shared" si="484"/>
        <v>0</v>
      </c>
    </row>
    <row r="19775" spans="13:13" x14ac:dyDescent="0.25">
      <c r="M19775" s="34">
        <f t="shared" si="484"/>
        <v>0</v>
      </c>
    </row>
    <row r="19776" spans="13:13" x14ac:dyDescent="0.25">
      <c r="M19776" s="34">
        <f t="shared" si="484"/>
        <v>0</v>
      </c>
    </row>
    <row r="19777" spans="13:13" x14ac:dyDescent="0.25">
      <c r="M19777" s="34">
        <f t="shared" si="484"/>
        <v>0</v>
      </c>
    </row>
    <row r="19778" spans="13:13" x14ac:dyDescent="0.25">
      <c r="M19778" s="34">
        <f t="shared" si="484"/>
        <v>0</v>
      </c>
    </row>
    <row r="19779" spans="13:13" x14ac:dyDescent="0.25">
      <c r="M19779" s="34">
        <f t="shared" ref="M19779:M19842" si="485">IF(AND(E19779="Chèque",G19779="RECETTE"),F19779,0)</f>
        <v>0</v>
      </c>
    </row>
    <row r="19780" spans="13:13" x14ac:dyDescent="0.25">
      <c r="M19780" s="34">
        <f t="shared" si="485"/>
        <v>0</v>
      </c>
    </row>
    <row r="19781" spans="13:13" x14ac:dyDescent="0.25">
      <c r="M19781" s="34">
        <f t="shared" si="485"/>
        <v>0</v>
      </c>
    </row>
    <row r="19782" spans="13:13" x14ac:dyDescent="0.25">
      <c r="M19782" s="34">
        <f t="shared" si="485"/>
        <v>0</v>
      </c>
    </row>
    <row r="19783" spans="13:13" x14ac:dyDescent="0.25">
      <c r="M19783" s="34">
        <f t="shared" si="485"/>
        <v>0</v>
      </c>
    </row>
    <row r="19784" spans="13:13" x14ac:dyDescent="0.25">
      <c r="M19784" s="34">
        <f t="shared" si="485"/>
        <v>0</v>
      </c>
    </row>
    <row r="19785" spans="13:13" x14ac:dyDescent="0.25">
      <c r="M19785" s="34">
        <f t="shared" si="485"/>
        <v>0</v>
      </c>
    </row>
    <row r="19786" spans="13:13" x14ac:dyDescent="0.25">
      <c r="M19786" s="34">
        <f t="shared" si="485"/>
        <v>0</v>
      </c>
    </row>
    <row r="19787" spans="13:13" x14ac:dyDescent="0.25">
      <c r="M19787" s="34">
        <f t="shared" si="485"/>
        <v>0</v>
      </c>
    </row>
    <row r="19788" spans="13:13" x14ac:dyDescent="0.25">
      <c r="M19788" s="34">
        <f t="shared" si="485"/>
        <v>0</v>
      </c>
    </row>
    <row r="19789" spans="13:13" x14ac:dyDescent="0.25">
      <c r="M19789" s="34">
        <f t="shared" si="485"/>
        <v>0</v>
      </c>
    </row>
    <row r="19790" spans="13:13" x14ac:dyDescent="0.25">
      <c r="M19790" s="34">
        <f t="shared" si="485"/>
        <v>0</v>
      </c>
    </row>
    <row r="19791" spans="13:13" x14ac:dyDescent="0.25">
      <c r="M19791" s="34">
        <f t="shared" si="485"/>
        <v>0</v>
      </c>
    </row>
    <row r="19792" spans="13:13" x14ac:dyDescent="0.25">
      <c r="M19792" s="34">
        <f t="shared" si="485"/>
        <v>0</v>
      </c>
    </row>
    <row r="19793" spans="13:13" x14ac:dyDescent="0.25">
      <c r="M19793" s="34">
        <f t="shared" si="485"/>
        <v>0</v>
      </c>
    </row>
    <row r="19794" spans="13:13" x14ac:dyDescent="0.25">
      <c r="M19794" s="34">
        <f t="shared" si="485"/>
        <v>0</v>
      </c>
    </row>
    <row r="19795" spans="13:13" x14ac:dyDescent="0.25">
      <c r="M19795" s="34">
        <f t="shared" si="485"/>
        <v>0</v>
      </c>
    </row>
    <row r="19796" spans="13:13" x14ac:dyDescent="0.25">
      <c r="M19796" s="34">
        <f t="shared" si="485"/>
        <v>0</v>
      </c>
    </row>
    <row r="19797" spans="13:13" x14ac:dyDescent="0.25">
      <c r="M19797" s="34">
        <f t="shared" si="485"/>
        <v>0</v>
      </c>
    </row>
    <row r="19798" spans="13:13" x14ac:dyDescent="0.25">
      <c r="M19798" s="34">
        <f t="shared" si="485"/>
        <v>0</v>
      </c>
    </row>
    <row r="19799" spans="13:13" x14ac:dyDescent="0.25">
      <c r="M19799" s="34">
        <f t="shared" si="485"/>
        <v>0</v>
      </c>
    </row>
    <row r="19800" spans="13:13" x14ac:dyDescent="0.25">
      <c r="M19800" s="34">
        <f t="shared" si="485"/>
        <v>0</v>
      </c>
    </row>
    <row r="19801" spans="13:13" x14ac:dyDescent="0.25">
      <c r="M19801" s="34">
        <f t="shared" si="485"/>
        <v>0</v>
      </c>
    </row>
    <row r="19802" spans="13:13" x14ac:dyDescent="0.25">
      <c r="M19802" s="34">
        <f t="shared" si="485"/>
        <v>0</v>
      </c>
    </row>
    <row r="19803" spans="13:13" x14ac:dyDescent="0.25">
      <c r="M19803" s="34">
        <f t="shared" si="485"/>
        <v>0</v>
      </c>
    </row>
    <row r="19804" spans="13:13" x14ac:dyDescent="0.25">
      <c r="M19804" s="34">
        <f t="shared" si="485"/>
        <v>0</v>
      </c>
    </row>
    <row r="19805" spans="13:13" x14ac:dyDescent="0.25">
      <c r="M19805" s="34">
        <f t="shared" si="485"/>
        <v>0</v>
      </c>
    </row>
    <row r="19806" spans="13:13" x14ac:dyDescent="0.25">
      <c r="M19806" s="34">
        <f t="shared" si="485"/>
        <v>0</v>
      </c>
    </row>
    <row r="19807" spans="13:13" x14ac:dyDescent="0.25">
      <c r="M19807" s="34">
        <f t="shared" si="485"/>
        <v>0</v>
      </c>
    </row>
    <row r="19808" spans="13:13" x14ac:dyDescent="0.25">
      <c r="M19808" s="34">
        <f t="shared" si="485"/>
        <v>0</v>
      </c>
    </row>
    <row r="19809" spans="13:13" x14ac:dyDescent="0.25">
      <c r="M19809" s="34">
        <f t="shared" si="485"/>
        <v>0</v>
      </c>
    </row>
    <row r="19810" spans="13:13" x14ac:dyDescent="0.25">
      <c r="M19810" s="34">
        <f t="shared" si="485"/>
        <v>0</v>
      </c>
    </row>
    <row r="19811" spans="13:13" x14ac:dyDescent="0.25">
      <c r="M19811" s="34">
        <f t="shared" si="485"/>
        <v>0</v>
      </c>
    </row>
    <row r="19812" spans="13:13" x14ac:dyDescent="0.25">
      <c r="M19812" s="34">
        <f t="shared" si="485"/>
        <v>0</v>
      </c>
    </row>
    <row r="19813" spans="13:13" x14ac:dyDescent="0.25">
      <c r="M19813" s="34">
        <f t="shared" si="485"/>
        <v>0</v>
      </c>
    </row>
    <row r="19814" spans="13:13" x14ac:dyDescent="0.25">
      <c r="M19814" s="34">
        <f t="shared" si="485"/>
        <v>0</v>
      </c>
    </row>
    <row r="19815" spans="13:13" x14ac:dyDescent="0.25">
      <c r="M19815" s="34">
        <f t="shared" si="485"/>
        <v>0</v>
      </c>
    </row>
    <row r="19816" spans="13:13" x14ac:dyDescent="0.25">
      <c r="M19816" s="34">
        <f t="shared" si="485"/>
        <v>0</v>
      </c>
    </row>
    <row r="19817" spans="13:13" x14ac:dyDescent="0.25">
      <c r="M19817" s="34">
        <f t="shared" si="485"/>
        <v>0</v>
      </c>
    </row>
    <row r="19818" spans="13:13" x14ac:dyDescent="0.25">
      <c r="M19818" s="34">
        <f t="shared" si="485"/>
        <v>0</v>
      </c>
    </row>
    <row r="19819" spans="13:13" x14ac:dyDescent="0.25">
      <c r="M19819" s="34">
        <f t="shared" si="485"/>
        <v>0</v>
      </c>
    </row>
    <row r="19820" spans="13:13" x14ac:dyDescent="0.25">
      <c r="M19820" s="34">
        <f t="shared" si="485"/>
        <v>0</v>
      </c>
    </row>
    <row r="19821" spans="13:13" x14ac:dyDescent="0.25">
      <c r="M19821" s="34">
        <f t="shared" si="485"/>
        <v>0</v>
      </c>
    </row>
    <row r="19822" spans="13:13" x14ac:dyDescent="0.25">
      <c r="M19822" s="34">
        <f t="shared" si="485"/>
        <v>0</v>
      </c>
    </row>
    <row r="19823" spans="13:13" x14ac:dyDescent="0.25">
      <c r="M19823" s="34">
        <f t="shared" si="485"/>
        <v>0</v>
      </c>
    </row>
    <row r="19824" spans="13:13" x14ac:dyDescent="0.25">
      <c r="M19824" s="34">
        <f t="shared" si="485"/>
        <v>0</v>
      </c>
    </row>
    <row r="19825" spans="13:13" x14ac:dyDescent="0.25">
      <c r="M19825" s="34">
        <f t="shared" si="485"/>
        <v>0</v>
      </c>
    </row>
    <row r="19826" spans="13:13" x14ac:dyDescent="0.25">
      <c r="M19826" s="34">
        <f t="shared" si="485"/>
        <v>0</v>
      </c>
    </row>
    <row r="19827" spans="13:13" x14ac:dyDescent="0.25">
      <c r="M19827" s="34">
        <f t="shared" si="485"/>
        <v>0</v>
      </c>
    </row>
    <row r="19828" spans="13:13" x14ac:dyDescent="0.25">
      <c r="M19828" s="34">
        <f t="shared" si="485"/>
        <v>0</v>
      </c>
    </row>
    <row r="19829" spans="13:13" x14ac:dyDescent="0.25">
      <c r="M19829" s="34">
        <f t="shared" si="485"/>
        <v>0</v>
      </c>
    </row>
    <row r="19830" spans="13:13" x14ac:dyDescent="0.25">
      <c r="M19830" s="34">
        <f t="shared" si="485"/>
        <v>0</v>
      </c>
    </row>
    <row r="19831" spans="13:13" x14ac:dyDescent="0.25">
      <c r="M19831" s="34">
        <f t="shared" si="485"/>
        <v>0</v>
      </c>
    </row>
    <row r="19832" spans="13:13" x14ac:dyDescent="0.25">
      <c r="M19832" s="34">
        <f t="shared" si="485"/>
        <v>0</v>
      </c>
    </row>
    <row r="19833" spans="13:13" x14ac:dyDescent="0.25">
      <c r="M19833" s="34">
        <f t="shared" si="485"/>
        <v>0</v>
      </c>
    </row>
    <row r="19834" spans="13:13" x14ac:dyDescent="0.25">
      <c r="M19834" s="34">
        <f t="shared" si="485"/>
        <v>0</v>
      </c>
    </row>
    <row r="19835" spans="13:13" x14ac:dyDescent="0.25">
      <c r="M19835" s="34">
        <f t="shared" si="485"/>
        <v>0</v>
      </c>
    </row>
    <row r="19836" spans="13:13" x14ac:dyDescent="0.25">
      <c r="M19836" s="34">
        <f t="shared" si="485"/>
        <v>0</v>
      </c>
    </row>
    <row r="19837" spans="13:13" x14ac:dyDescent="0.25">
      <c r="M19837" s="34">
        <f t="shared" si="485"/>
        <v>0</v>
      </c>
    </row>
    <row r="19838" spans="13:13" x14ac:dyDescent="0.25">
      <c r="M19838" s="34">
        <f t="shared" si="485"/>
        <v>0</v>
      </c>
    </row>
    <row r="19839" spans="13:13" x14ac:dyDescent="0.25">
      <c r="M19839" s="34">
        <f t="shared" si="485"/>
        <v>0</v>
      </c>
    </row>
    <row r="19840" spans="13:13" x14ac:dyDescent="0.25">
      <c r="M19840" s="34">
        <f t="shared" si="485"/>
        <v>0</v>
      </c>
    </row>
    <row r="19841" spans="13:13" x14ac:dyDescent="0.25">
      <c r="M19841" s="34">
        <f t="shared" si="485"/>
        <v>0</v>
      </c>
    </row>
    <row r="19842" spans="13:13" x14ac:dyDescent="0.25">
      <c r="M19842" s="34">
        <f t="shared" si="485"/>
        <v>0</v>
      </c>
    </row>
    <row r="19843" spans="13:13" x14ac:dyDescent="0.25">
      <c r="M19843" s="34">
        <f t="shared" ref="M19843:M19906" si="486">IF(AND(E19843="Chèque",G19843="RECETTE"),F19843,0)</f>
        <v>0</v>
      </c>
    </row>
    <row r="19844" spans="13:13" x14ac:dyDescent="0.25">
      <c r="M19844" s="34">
        <f t="shared" si="486"/>
        <v>0</v>
      </c>
    </row>
    <row r="19845" spans="13:13" x14ac:dyDescent="0.25">
      <c r="M19845" s="34">
        <f t="shared" si="486"/>
        <v>0</v>
      </c>
    </row>
    <row r="19846" spans="13:13" x14ac:dyDescent="0.25">
      <c r="M19846" s="34">
        <f t="shared" si="486"/>
        <v>0</v>
      </c>
    </row>
    <row r="19847" spans="13:13" x14ac:dyDescent="0.25">
      <c r="M19847" s="34">
        <f t="shared" si="486"/>
        <v>0</v>
      </c>
    </row>
    <row r="19848" spans="13:13" x14ac:dyDescent="0.25">
      <c r="M19848" s="34">
        <f t="shared" si="486"/>
        <v>0</v>
      </c>
    </row>
    <row r="19849" spans="13:13" x14ac:dyDescent="0.25">
      <c r="M19849" s="34">
        <f t="shared" si="486"/>
        <v>0</v>
      </c>
    </row>
    <row r="19850" spans="13:13" x14ac:dyDescent="0.25">
      <c r="M19850" s="34">
        <f t="shared" si="486"/>
        <v>0</v>
      </c>
    </row>
    <row r="19851" spans="13:13" x14ac:dyDescent="0.25">
      <c r="M19851" s="34">
        <f t="shared" si="486"/>
        <v>0</v>
      </c>
    </row>
    <row r="19852" spans="13:13" x14ac:dyDescent="0.25">
      <c r="M19852" s="34">
        <f t="shared" si="486"/>
        <v>0</v>
      </c>
    </row>
    <row r="19853" spans="13:13" x14ac:dyDescent="0.25">
      <c r="M19853" s="34">
        <f t="shared" si="486"/>
        <v>0</v>
      </c>
    </row>
    <row r="19854" spans="13:13" x14ac:dyDescent="0.25">
      <c r="M19854" s="34">
        <f t="shared" si="486"/>
        <v>0</v>
      </c>
    </row>
    <row r="19855" spans="13:13" x14ac:dyDescent="0.25">
      <c r="M19855" s="34">
        <f t="shared" si="486"/>
        <v>0</v>
      </c>
    </row>
    <row r="19856" spans="13:13" x14ac:dyDescent="0.25">
      <c r="M19856" s="34">
        <f t="shared" si="486"/>
        <v>0</v>
      </c>
    </row>
    <row r="19857" spans="13:13" x14ac:dyDescent="0.25">
      <c r="M19857" s="34">
        <f t="shared" si="486"/>
        <v>0</v>
      </c>
    </row>
    <row r="19858" spans="13:13" x14ac:dyDescent="0.25">
      <c r="M19858" s="34">
        <f t="shared" si="486"/>
        <v>0</v>
      </c>
    </row>
    <row r="19859" spans="13:13" x14ac:dyDescent="0.25">
      <c r="M19859" s="34">
        <f t="shared" si="486"/>
        <v>0</v>
      </c>
    </row>
    <row r="19860" spans="13:13" x14ac:dyDescent="0.25">
      <c r="M19860" s="34">
        <f t="shared" si="486"/>
        <v>0</v>
      </c>
    </row>
    <row r="19861" spans="13:13" x14ac:dyDescent="0.25">
      <c r="M19861" s="34">
        <f t="shared" si="486"/>
        <v>0</v>
      </c>
    </row>
    <row r="19862" spans="13:13" x14ac:dyDescent="0.25">
      <c r="M19862" s="34">
        <f t="shared" si="486"/>
        <v>0</v>
      </c>
    </row>
    <row r="19863" spans="13:13" x14ac:dyDescent="0.25">
      <c r="M19863" s="34">
        <f t="shared" si="486"/>
        <v>0</v>
      </c>
    </row>
    <row r="19864" spans="13:13" x14ac:dyDescent="0.25">
      <c r="M19864" s="34">
        <f t="shared" si="486"/>
        <v>0</v>
      </c>
    </row>
    <row r="19865" spans="13:13" x14ac:dyDescent="0.25">
      <c r="M19865" s="34">
        <f t="shared" si="486"/>
        <v>0</v>
      </c>
    </row>
    <row r="19866" spans="13:13" x14ac:dyDescent="0.25">
      <c r="M19866" s="34">
        <f t="shared" si="486"/>
        <v>0</v>
      </c>
    </row>
    <row r="19867" spans="13:13" x14ac:dyDescent="0.25">
      <c r="M19867" s="34">
        <f t="shared" si="486"/>
        <v>0</v>
      </c>
    </row>
    <row r="19868" spans="13:13" x14ac:dyDescent="0.25">
      <c r="M19868" s="34">
        <f t="shared" si="486"/>
        <v>0</v>
      </c>
    </row>
    <row r="19869" spans="13:13" x14ac:dyDescent="0.25">
      <c r="M19869" s="34">
        <f t="shared" si="486"/>
        <v>0</v>
      </c>
    </row>
    <row r="19870" spans="13:13" x14ac:dyDescent="0.25">
      <c r="M19870" s="34">
        <f t="shared" si="486"/>
        <v>0</v>
      </c>
    </row>
    <row r="19871" spans="13:13" x14ac:dyDescent="0.25">
      <c r="M19871" s="34">
        <f t="shared" si="486"/>
        <v>0</v>
      </c>
    </row>
    <row r="19872" spans="13:13" x14ac:dyDescent="0.25">
      <c r="M19872" s="34">
        <f t="shared" si="486"/>
        <v>0</v>
      </c>
    </row>
    <row r="19873" spans="13:13" x14ac:dyDescent="0.25">
      <c r="M19873" s="34">
        <f t="shared" si="486"/>
        <v>0</v>
      </c>
    </row>
    <row r="19874" spans="13:13" x14ac:dyDescent="0.25">
      <c r="M19874" s="34">
        <f t="shared" si="486"/>
        <v>0</v>
      </c>
    </row>
    <row r="19875" spans="13:13" x14ac:dyDescent="0.25">
      <c r="M19875" s="34">
        <f t="shared" si="486"/>
        <v>0</v>
      </c>
    </row>
    <row r="19876" spans="13:13" x14ac:dyDescent="0.25">
      <c r="M19876" s="34">
        <f t="shared" si="486"/>
        <v>0</v>
      </c>
    </row>
    <row r="19877" spans="13:13" x14ac:dyDescent="0.25">
      <c r="M19877" s="34">
        <f t="shared" si="486"/>
        <v>0</v>
      </c>
    </row>
    <row r="19878" spans="13:13" x14ac:dyDescent="0.25">
      <c r="M19878" s="34">
        <f t="shared" si="486"/>
        <v>0</v>
      </c>
    </row>
    <row r="19879" spans="13:13" x14ac:dyDescent="0.25">
      <c r="M19879" s="34">
        <f t="shared" si="486"/>
        <v>0</v>
      </c>
    </row>
    <row r="19880" spans="13:13" x14ac:dyDescent="0.25">
      <c r="M19880" s="34">
        <f t="shared" si="486"/>
        <v>0</v>
      </c>
    </row>
    <row r="19881" spans="13:13" x14ac:dyDescent="0.25">
      <c r="M19881" s="34">
        <f t="shared" si="486"/>
        <v>0</v>
      </c>
    </row>
    <row r="19882" spans="13:13" x14ac:dyDescent="0.25">
      <c r="M19882" s="34">
        <f t="shared" si="486"/>
        <v>0</v>
      </c>
    </row>
    <row r="19883" spans="13:13" x14ac:dyDescent="0.25">
      <c r="M19883" s="34">
        <f t="shared" si="486"/>
        <v>0</v>
      </c>
    </row>
    <row r="19884" spans="13:13" x14ac:dyDescent="0.25">
      <c r="M19884" s="34">
        <f t="shared" si="486"/>
        <v>0</v>
      </c>
    </row>
    <row r="19885" spans="13:13" x14ac:dyDescent="0.25">
      <c r="M19885" s="34">
        <f t="shared" si="486"/>
        <v>0</v>
      </c>
    </row>
    <row r="19886" spans="13:13" x14ac:dyDescent="0.25">
      <c r="M19886" s="34">
        <f t="shared" si="486"/>
        <v>0</v>
      </c>
    </row>
    <row r="19887" spans="13:13" x14ac:dyDescent="0.25">
      <c r="M19887" s="34">
        <f t="shared" si="486"/>
        <v>0</v>
      </c>
    </row>
    <row r="19888" spans="13:13" x14ac:dyDescent="0.25">
      <c r="M19888" s="34">
        <f t="shared" si="486"/>
        <v>0</v>
      </c>
    </row>
    <row r="19889" spans="13:13" x14ac:dyDescent="0.25">
      <c r="M19889" s="34">
        <f t="shared" si="486"/>
        <v>0</v>
      </c>
    </row>
    <row r="19890" spans="13:13" x14ac:dyDescent="0.25">
      <c r="M19890" s="34">
        <f t="shared" si="486"/>
        <v>0</v>
      </c>
    </row>
    <row r="19891" spans="13:13" x14ac:dyDescent="0.25">
      <c r="M19891" s="34">
        <f t="shared" si="486"/>
        <v>0</v>
      </c>
    </row>
    <row r="19892" spans="13:13" x14ac:dyDescent="0.25">
      <c r="M19892" s="34">
        <f t="shared" si="486"/>
        <v>0</v>
      </c>
    </row>
    <row r="19893" spans="13:13" x14ac:dyDescent="0.25">
      <c r="M19893" s="34">
        <f t="shared" si="486"/>
        <v>0</v>
      </c>
    </row>
    <row r="19894" spans="13:13" x14ac:dyDescent="0.25">
      <c r="M19894" s="34">
        <f t="shared" si="486"/>
        <v>0</v>
      </c>
    </row>
    <row r="19895" spans="13:13" x14ac:dyDescent="0.25">
      <c r="M19895" s="34">
        <f t="shared" si="486"/>
        <v>0</v>
      </c>
    </row>
    <row r="19896" spans="13:13" x14ac:dyDescent="0.25">
      <c r="M19896" s="34">
        <f t="shared" si="486"/>
        <v>0</v>
      </c>
    </row>
    <row r="19897" spans="13:13" x14ac:dyDescent="0.25">
      <c r="M19897" s="34">
        <f t="shared" si="486"/>
        <v>0</v>
      </c>
    </row>
    <row r="19898" spans="13:13" x14ac:dyDescent="0.25">
      <c r="M19898" s="34">
        <f t="shared" si="486"/>
        <v>0</v>
      </c>
    </row>
    <row r="19899" spans="13:13" x14ac:dyDescent="0.25">
      <c r="M19899" s="34">
        <f t="shared" si="486"/>
        <v>0</v>
      </c>
    </row>
    <row r="19900" spans="13:13" x14ac:dyDescent="0.25">
      <c r="M19900" s="34">
        <f t="shared" si="486"/>
        <v>0</v>
      </c>
    </row>
    <row r="19901" spans="13:13" x14ac:dyDescent="0.25">
      <c r="M19901" s="34">
        <f t="shared" si="486"/>
        <v>0</v>
      </c>
    </row>
    <row r="19902" spans="13:13" x14ac:dyDescent="0.25">
      <c r="M19902" s="34">
        <f t="shared" si="486"/>
        <v>0</v>
      </c>
    </row>
    <row r="19903" spans="13:13" x14ac:dyDescent="0.25">
      <c r="M19903" s="34">
        <f t="shared" si="486"/>
        <v>0</v>
      </c>
    </row>
    <row r="19904" spans="13:13" x14ac:dyDescent="0.25">
      <c r="M19904" s="34">
        <f t="shared" si="486"/>
        <v>0</v>
      </c>
    </row>
    <row r="19905" spans="13:13" x14ac:dyDescent="0.25">
      <c r="M19905" s="34">
        <f t="shared" si="486"/>
        <v>0</v>
      </c>
    </row>
    <row r="19906" spans="13:13" x14ac:dyDescent="0.25">
      <c r="M19906" s="34">
        <f t="shared" si="486"/>
        <v>0</v>
      </c>
    </row>
    <row r="19907" spans="13:13" x14ac:dyDescent="0.25">
      <c r="M19907" s="34">
        <f t="shared" ref="M19907:M19970" si="487">IF(AND(E19907="Chèque",G19907="RECETTE"),F19907,0)</f>
        <v>0</v>
      </c>
    </row>
    <row r="19908" spans="13:13" x14ac:dyDescent="0.25">
      <c r="M19908" s="34">
        <f t="shared" si="487"/>
        <v>0</v>
      </c>
    </row>
    <row r="19909" spans="13:13" x14ac:dyDescent="0.25">
      <c r="M19909" s="34">
        <f t="shared" si="487"/>
        <v>0</v>
      </c>
    </row>
    <row r="19910" spans="13:13" x14ac:dyDescent="0.25">
      <c r="M19910" s="34">
        <f t="shared" si="487"/>
        <v>0</v>
      </c>
    </row>
    <row r="19911" spans="13:13" x14ac:dyDescent="0.25">
      <c r="M19911" s="34">
        <f t="shared" si="487"/>
        <v>0</v>
      </c>
    </row>
    <row r="19912" spans="13:13" x14ac:dyDescent="0.25">
      <c r="M19912" s="34">
        <f t="shared" si="487"/>
        <v>0</v>
      </c>
    </row>
    <row r="19913" spans="13:13" x14ac:dyDescent="0.25">
      <c r="M19913" s="34">
        <f t="shared" si="487"/>
        <v>0</v>
      </c>
    </row>
    <row r="19914" spans="13:13" x14ac:dyDescent="0.25">
      <c r="M19914" s="34">
        <f t="shared" si="487"/>
        <v>0</v>
      </c>
    </row>
    <row r="19915" spans="13:13" x14ac:dyDescent="0.25">
      <c r="M19915" s="34">
        <f t="shared" si="487"/>
        <v>0</v>
      </c>
    </row>
    <row r="19916" spans="13:13" x14ac:dyDescent="0.25">
      <c r="M19916" s="34">
        <f t="shared" si="487"/>
        <v>0</v>
      </c>
    </row>
    <row r="19917" spans="13:13" x14ac:dyDescent="0.25">
      <c r="M19917" s="34">
        <f t="shared" si="487"/>
        <v>0</v>
      </c>
    </row>
    <row r="19918" spans="13:13" x14ac:dyDescent="0.25">
      <c r="M19918" s="34">
        <f t="shared" si="487"/>
        <v>0</v>
      </c>
    </row>
    <row r="19919" spans="13:13" x14ac:dyDescent="0.25">
      <c r="M19919" s="34">
        <f t="shared" si="487"/>
        <v>0</v>
      </c>
    </row>
    <row r="19920" spans="13:13" x14ac:dyDescent="0.25">
      <c r="M19920" s="34">
        <f t="shared" si="487"/>
        <v>0</v>
      </c>
    </row>
    <row r="19921" spans="13:13" x14ac:dyDescent="0.25">
      <c r="M19921" s="34">
        <f t="shared" si="487"/>
        <v>0</v>
      </c>
    </row>
    <row r="19922" spans="13:13" x14ac:dyDescent="0.25">
      <c r="M19922" s="34">
        <f t="shared" si="487"/>
        <v>0</v>
      </c>
    </row>
    <row r="19923" spans="13:13" x14ac:dyDescent="0.25">
      <c r="M19923" s="34">
        <f t="shared" si="487"/>
        <v>0</v>
      </c>
    </row>
    <row r="19924" spans="13:13" x14ac:dyDescent="0.25">
      <c r="M19924" s="34">
        <f t="shared" si="487"/>
        <v>0</v>
      </c>
    </row>
    <row r="19925" spans="13:13" x14ac:dyDescent="0.25">
      <c r="M19925" s="34">
        <f t="shared" si="487"/>
        <v>0</v>
      </c>
    </row>
    <row r="19926" spans="13:13" x14ac:dyDescent="0.25">
      <c r="M19926" s="34">
        <f t="shared" si="487"/>
        <v>0</v>
      </c>
    </row>
    <row r="19927" spans="13:13" x14ac:dyDescent="0.25">
      <c r="M19927" s="34">
        <f t="shared" si="487"/>
        <v>0</v>
      </c>
    </row>
    <row r="19928" spans="13:13" x14ac:dyDescent="0.25">
      <c r="M19928" s="34">
        <f t="shared" si="487"/>
        <v>0</v>
      </c>
    </row>
    <row r="19929" spans="13:13" x14ac:dyDescent="0.25">
      <c r="M19929" s="34">
        <f t="shared" si="487"/>
        <v>0</v>
      </c>
    </row>
    <row r="19930" spans="13:13" x14ac:dyDescent="0.25">
      <c r="M19930" s="34">
        <f t="shared" si="487"/>
        <v>0</v>
      </c>
    </row>
    <row r="19931" spans="13:13" x14ac:dyDescent="0.25">
      <c r="M19931" s="34">
        <f t="shared" si="487"/>
        <v>0</v>
      </c>
    </row>
    <row r="19932" spans="13:13" x14ac:dyDescent="0.25">
      <c r="M19932" s="34">
        <f t="shared" si="487"/>
        <v>0</v>
      </c>
    </row>
    <row r="19933" spans="13:13" x14ac:dyDescent="0.25">
      <c r="M19933" s="34">
        <f t="shared" si="487"/>
        <v>0</v>
      </c>
    </row>
    <row r="19934" spans="13:13" x14ac:dyDescent="0.25">
      <c r="M19934" s="34">
        <f t="shared" si="487"/>
        <v>0</v>
      </c>
    </row>
    <row r="19935" spans="13:13" x14ac:dyDescent="0.25">
      <c r="M19935" s="34">
        <f t="shared" si="487"/>
        <v>0</v>
      </c>
    </row>
    <row r="19936" spans="13:13" x14ac:dyDescent="0.25">
      <c r="M19936" s="34">
        <f t="shared" si="487"/>
        <v>0</v>
      </c>
    </row>
    <row r="19937" spans="13:13" x14ac:dyDescent="0.25">
      <c r="M19937" s="34">
        <f t="shared" si="487"/>
        <v>0</v>
      </c>
    </row>
    <row r="19938" spans="13:13" x14ac:dyDescent="0.25">
      <c r="M19938" s="34">
        <f t="shared" si="487"/>
        <v>0</v>
      </c>
    </row>
    <row r="19939" spans="13:13" x14ac:dyDescent="0.25">
      <c r="M19939" s="34">
        <f t="shared" si="487"/>
        <v>0</v>
      </c>
    </row>
    <row r="19940" spans="13:13" x14ac:dyDescent="0.25">
      <c r="M19940" s="34">
        <f t="shared" si="487"/>
        <v>0</v>
      </c>
    </row>
    <row r="19941" spans="13:13" x14ac:dyDescent="0.25">
      <c r="M19941" s="34">
        <f t="shared" si="487"/>
        <v>0</v>
      </c>
    </row>
    <row r="19942" spans="13:13" x14ac:dyDescent="0.25">
      <c r="M19942" s="34">
        <f t="shared" si="487"/>
        <v>0</v>
      </c>
    </row>
    <row r="19943" spans="13:13" x14ac:dyDescent="0.25">
      <c r="M19943" s="34">
        <f t="shared" si="487"/>
        <v>0</v>
      </c>
    </row>
    <row r="19944" spans="13:13" x14ac:dyDescent="0.25">
      <c r="M19944" s="34">
        <f t="shared" si="487"/>
        <v>0</v>
      </c>
    </row>
    <row r="19945" spans="13:13" x14ac:dyDescent="0.25">
      <c r="M19945" s="34">
        <f t="shared" si="487"/>
        <v>0</v>
      </c>
    </row>
    <row r="19946" spans="13:13" x14ac:dyDescent="0.25">
      <c r="M19946" s="34">
        <f t="shared" si="487"/>
        <v>0</v>
      </c>
    </row>
    <row r="19947" spans="13:13" x14ac:dyDescent="0.25">
      <c r="M19947" s="34">
        <f t="shared" si="487"/>
        <v>0</v>
      </c>
    </row>
    <row r="19948" spans="13:13" x14ac:dyDescent="0.25">
      <c r="M19948" s="34">
        <f t="shared" si="487"/>
        <v>0</v>
      </c>
    </row>
    <row r="19949" spans="13:13" x14ac:dyDescent="0.25">
      <c r="M19949" s="34">
        <f t="shared" si="487"/>
        <v>0</v>
      </c>
    </row>
    <row r="19950" spans="13:13" x14ac:dyDescent="0.25">
      <c r="M19950" s="34">
        <f t="shared" si="487"/>
        <v>0</v>
      </c>
    </row>
    <row r="19951" spans="13:13" x14ac:dyDescent="0.25">
      <c r="M19951" s="34">
        <f t="shared" si="487"/>
        <v>0</v>
      </c>
    </row>
    <row r="19952" spans="13:13" x14ac:dyDescent="0.25">
      <c r="M19952" s="34">
        <f t="shared" si="487"/>
        <v>0</v>
      </c>
    </row>
    <row r="19953" spans="13:13" x14ac:dyDescent="0.25">
      <c r="M19953" s="34">
        <f t="shared" si="487"/>
        <v>0</v>
      </c>
    </row>
    <row r="19954" spans="13:13" x14ac:dyDescent="0.25">
      <c r="M19954" s="34">
        <f t="shared" si="487"/>
        <v>0</v>
      </c>
    </row>
    <row r="19955" spans="13:13" x14ac:dyDescent="0.25">
      <c r="M19955" s="34">
        <f t="shared" si="487"/>
        <v>0</v>
      </c>
    </row>
    <row r="19956" spans="13:13" x14ac:dyDescent="0.25">
      <c r="M19956" s="34">
        <f t="shared" si="487"/>
        <v>0</v>
      </c>
    </row>
    <row r="19957" spans="13:13" x14ac:dyDescent="0.25">
      <c r="M19957" s="34">
        <f t="shared" si="487"/>
        <v>0</v>
      </c>
    </row>
    <row r="19958" spans="13:13" x14ac:dyDescent="0.25">
      <c r="M19958" s="34">
        <f t="shared" si="487"/>
        <v>0</v>
      </c>
    </row>
    <row r="19959" spans="13:13" x14ac:dyDescent="0.25">
      <c r="M19959" s="34">
        <f t="shared" si="487"/>
        <v>0</v>
      </c>
    </row>
    <row r="19960" spans="13:13" x14ac:dyDescent="0.25">
      <c r="M19960" s="34">
        <f t="shared" si="487"/>
        <v>0</v>
      </c>
    </row>
    <row r="19961" spans="13:13" x14ac:dyDescent="0.25">
      <c r="M19961" s="34">
        <f t="shared" si="487"/>
        <v>0</v>
      </c>
    </row>
    <row r="19962" spans="13:13" x14ac:dyDescent="0.25">
      <c r="M19962" s="34">
        <f t="shared" si="487"/>
        <v>0</v>
      </c>
    </row>
    <row r="19963" spans="13:13" x14ac:dyDescent="0.25">
      <c r="M19963" s="34">
        <f t="shared" si="487"/>
        <v>0</v>
      </c>
    </row>
    <row r="19964" spans="13:13" x14ac:dyDescent="0.25">
      <c r="M19964" s="34">
        <f t="shared" si="487"/>
        <v>0</v>
      </c>
    </row>
    <row r="19965" spans="13:13" x14ac:dyDescent="0.25">
      <c r="M19965" s="34">
        <f t="shared" si="487"/>
        <v>0</v>
      </c>
    </row>
    <row r="19966" spans="13:13" x14ac:dyDescent="0.25">
      <c r="M19966" s="34">
        <f t="shared" si="487"/>
        <v>0</v>
      </c>
    </row>
    <row r="19967" spans="13:13" x14ac:dyDescent="0.25">
      <c r="M19967" s="34">
        <f t="shared" si="487"/>
        <v>0</v>
      </c>
    </row>
    <row r="19968" spans="13:13" x14ac:dyDescent="0.25">
      <c r="M19968" s="34">
        <f t="shared" si="487"/>
        <v>0</v>
      </c>
    </row>
    <row r="19969" spans="13:13" x14ac:dyDescent="0.25">
      <c r="M19969" s="34">
        <f t="shared" si="487"/>
        <v>0</v>
      </c>
    </row>
    <row r="19970" spans="13:13" x14ac:dyDescent="0.25">
      <c r="M19970" s="34">
        <f t="shared" si="487"/>
        <v>0</v>
      </c>
    </row>
    <row r="19971" spans="13:13" x14ac:dyDescent="0.25">
      <c r="M19971" s="34">
        <f t="shared" ref="M19971:M20000" si="488">IF(AND(E19971="Chèque",G19971="RECETTE"),F19971,0)</f>
        <v>0</v>
      </c>
    </row>
    <row r="19972" spans="13:13" x14ac:dyDescent="0.25">
      <c r="M19972" s="34">
        <f t="shared" si="488"/>
        <v>0</v>
      </c>
    </row>
    <row r="19973" spans="13:13" x14ac:dyDescent="0.25">
      <c r="M19973" s="34">
        <f t="shared" si="488"/>
        <v>0</v>
      </c>
    </row>
    <row r="19974" spans="13:13" x14ac:dyDescent="0.25">
      <c r="M19974" s="34">
        <f t="shared" si="488"/>
        <v>0</v>
      </c>
    </row>
    <row r="19975" spans="13:13" x14ac:dyDescent="0.25">
      <c r="M19975" s="34">
        <f t="shared" si="488"/>
        <v>0</v>
      </c>
    </row>
    <row r="19976" spans="13:13" x14ac:dyDescent="0.25">
      <c r="M19976" s="34">
        <f t="shared" si="488"/>
        <v>0</v>
      </c>
    </row>
    <row r="19977" spans="13:13" x14ac:dyDescent="0.25">
      <c r="M19977" s="34">
        <f t="shared" si="488"/>
        <v>0</v>
      </c>
    </row>
    <row r="19978" spans="13:13" x14ac:dyDescent="0.25">
      <c r="M19978" s="34">
        <f t="shared" si="488"/>
        <v>0</v>
      </c>
    </row>
    <row r="19979" spans="13:13" x14ac:dyDescent="0.25">
      <c r="M19979" s="34">
        <f t="shared" si="488"/>
        <v>0</v>
      </c>
    </row>
    <row r="19980" spans="13:13" x14ac:dyDescent="0.25">
      <c r="M19980" s="34">
        <f t="shared" si="488"/>
        <v>0</v>
      </c>
    </row>
    <row r="19981" spans="13:13" x14ac:dyDescent="0.25">
      <c r="M19981" s="34">
        <f t="shared" si="488"/>
        <v>0</v>
      </c>
    </row>
    <row r="19982" spans="13:13" x14ac:dyDescent="0.25">
      <c r="M19982" s="34">
        <f t="shared" si="488"/>
        <v>0</v>
      </c>
    </row>
    <row r="19983" spans="13:13" x14ac:dyDescent="0.25">
      <c r="M19983" s="34">
        <f t="shared" si="488"/>
        <v>0</v>
      </c>
    </row>
    <row r="19984" spans="13:13" x14ac:dyDescent="0.25">
      <c r="M19984" s="34">
        <f t="shared" si="488"/>
        <v>0</v>
      </c>
    </row>
    <row r="19985" spans="13:13" x14ac:dyDescent="0.25">
      <c r="M19985" s="34">
        <f t="shared" si="488"/>
        <v>0</v>
      </c>
    </row>
    <row r="19986" spans="13:13" x14ac:dyDescent="0.25">
      <c r="M19986" s="34">
        <f t="shared" si="488"/>
        <v>0</v>
      </c>
    </row>
    <row r="19987" spans="13:13" x14ac:dyDescent="0.25">
      <c r="M19987" s="34">
        <f t="shared" si="488"/>
        <v>0</v>
      </c>
    </row>
    <row r="19988" spans="13:13" x14ac:dyDescent="0.25">
      <c r="M19988" s="34">
        <f t="shared" si="488"/>
        <v>0</v>
      </c>
    </row>
    <row r="19989" spans="13:13" x14ac:dyDescent="0.25">
      <c r="M19989" s="34">
        <f t="shared" si="488"/>
        <v>0</v>
      </c>
    </row>
    <row r="19990" spans="13:13" x14ac:dyDescent="0.25">
      <c r="M19990" s="34">
        <f t="shared" si="488"/>
        <v>0</v>
      </c>
    </row>
    <row r="19991" spans="13:13" x14ac:dyDescent="0.25">
      <c r="M19991" s="34">
        <f t="shared" si="488"/>
        <v>0</v>
      </c>
    </row>
    <row r="19992" spans="13:13" x14ac:dyDescent="0.25">
      <c r="M19992" s="34">
        <f t="shared" si="488"/>
        <v>0</v>
      </c>
    </row>
    <row r="19993" spans="13:13" x14ac:dyDescent="0.25">
      <c r="M19993" s="34">
        <f t="shared" si="488"/>
        <v>0</v>
      </c>
    </row>
    <row r="19994" spans="13:13" x14ac:dyDescent="0.25">
      <c r="M19994" s="34">
        <f t="shared" si="488"/>
        <v>0</v>
      </c>
    </row>
    <row r="19995" spans="13:13" x14ac:dyDescent="0.25">
      <c r="M19995" s="34">
        <f t="shared" si="488"/>
        <v>0</v>
      </c>
    </row>
    <row r="19996" spans="13:13" x14ac:dyDescent="0.25">
      <c r="M19996" s="34">
        <f t="shared" si="488"/>
        <v>0</v>
      </c>
    </row>
    <row r="19997" spans="13:13" x14ac:dyDescent="0.25">
      <c r="M19997" s="34">
        <f t="shared" si="488"/>
        <v>0</v>
      </c>
    </row>
    <row r="19998" spans="13:13" x14ac:dyDescent="0.25">
      <c r="M19998" s="34">
        <f t="shared" si="488"/>
        <v>0</v>
      </c>
    </row>
    <row r="19999" spans="13:13" x14ac:dyDescent="0.25">
      <c r="M19999" s="34">
        <f t="shared" si="488"/>
        <v>0</v>
      </c>
    </row>
    <row r="20000" spans="13:13" x14ac:dyDescent="0.25">
      <c r="M20000" s="34">
        <f t="shared" si="488"/>
        <v>0</v>
      </c>
    </row>
  </sheetData>
  <pageMargins left="0.11811023622047245" right="0.11811023622047245" top="0.19685039370078741" bottom="0.15748031496062992" header="0.31496062992125984" footer="0.31496062992125984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UPPRESS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PPLIQUER_FORMULES">
                <anchor moveWithCells="1" siz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FormuleM">
                <anchor moveWithCells="1" siz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UPPformuleM">
                <anchor moveWithCells="1" sizeWithCells="1">
                  <from>
                    <xdr:col>13</xdr:col>
                    <xdr:colOff>9525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PUBLIER_PDF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PUBLIcomptable">
                <anchor moveWithCells="1" sizeWithCells="1">
                  <from>
                    <xdr:col>20</xdr:col>
                    <xdr:colOff>9525</xdr:colOff>
                    <xdr:row>0</xdr:row>
                    <xdr:rowOff>0</xdr:rowOff>
                  </from>
                  <to>
                    <xdr:col>21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5">
    <tabColor rgb="FFFF0000"/>
  </sheetPr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G28"/>
  <sheetViews>
    <sheetView showRowColHeaders="0" workbookViewId="0">
      <selection activeCell="F1" sqref="F1"/>
    </sheetView>
  </sheetViews>
  <sheetFormatPr baseColWidth="10" defaultRowHeight="15" x14ac:dyDescent="0.25"/>
  <cols>
    <col min="1" max="2" width="11.42578125" style="63"/>
    <col min="3" max="3" width="19.7109375" style="63" customWidth="1"/>
    <col min="4" max="4" width="11.42578125" style="64"/>
    <col min="5" max="16384" width="11.42578125" style="16"/>
  </cols>
  <sheetData>
    <row r="1" spans="1:7" x14ac:dyDescent="0.25">
      <c r="A1" s="2" t="s">
        <v>5</v>
      </c>
      <c r="B1" s="3" t="s">
        <v>1</v>
      </c>
      <c r="C1" s="2" t="s">
        <v>0</v>
      </c>
      <c r="D1" s="65" t="s">
        <v>11</v>
      </c>
      <c r="E1" s="85" t="s">
        <v>41</v>
      </c>
      <c r="F1" s="61" t="s">
        <v>12</v>
      </c>
      <c r="G1" s="62"/>
    </row>
    <row r="2" spans="1:7" x14ac:dyDescent="0.25">
      <c r="A2" s="66"/>
      <c r="B2" s="67"/>
      <c r="C2" s="68"/>
      <c r="D2" s="69"/>
      <c r="E2" s="86" t="str">
        <f>IFERROR(VLOOKUP(C2,BDD!$B$2:$C$111,2,0),"")</f>
        <v/>
      </c>
    </row>
    <row r="3" spans="1:7" x14ac:dyDescent="0.25">
      <c r="A3" s="70"/>
      <c r="B3" s="71"/>
      <c r="C3" s="18"/>
      <c r="D3" s="72"/>
      <c r="E3" s="87" t="str">
        <f>IFERROR(VLOOKUP(C3,BDD!$B$2:$C$111,2,0),"")</f>
        <v/>
      </c>
    </row>
    <row r="4" spans="1:7" x14ac:dyDescent="0.25">
      <c r="A4" s="70"/>
      <c r="B4" s="71"/>
      <c r="C4" s="73"/>
      <c r="D4" s="72"/>
      <c r="E4" s="87" t="str">
        <f>IFERROR(VLOOKUP(C4,BDD!$B$2:$C$111,2,0),"")</f>
        <v/>
      </c>
    </row>
    <row r="5" spans="1:7" x14ac:dyDescent="0.25">
      <c r="A5" s="70"/>
      <c r="B5" s="71"/>
      <c r="C5" s="18"/>
      <c r="D5" s="72"/>
      <c r="E5" s="87" t="str">
        <f>IFERROR(VLOOKUP(C5,BDD!$B$2:$C$111,2,0),"")</f>
        <v/>
      </c>
    </row>
    <row r="6" spans="1:7" x14ac:dyDescent="0.25">
      <c r="A6" s="70"/>
      <c r="B6" s="71"/>
      <c r="C6" s="18"/>
      <c r="D6" s="72"/>
      <c r="E6" s="87" t="str">
        <f>IFERROR(VLOOKUP(C6,BDD!$B$2:$C$111,2,0),"")</f>
        <v/>
      </c>
    </row>
    <row r="7" spans="1:7" x14ac:dyDescent="0.25">
      <c r="A7" s="70"/>
      <c r="B7" s="71"/>
      <c r="C7" s="18"/>
      <c r="D7" s="72"/>
      <c r="E7" s="87" t="str">
        <f>IFERROR(VLOOKUP(C7,BDD!$B$2:$C$111,2,0),"")</f>
        <v/>
      </c>
    </row>
    <row r="8" spans="1:7" x14ac:dyDescent="0.25">
      <c r="A8" s="70"/>
      <c r="B8" s="71"/>
      <c r="C8" s="18"/>
      <c r="D8" s="72"/>
      <c r="E8" s="87" t="str">
        <f>IFERROR(VLOOKUP(C8,BDD!$B$2:$C$111,2,0),"")</f>
        <v/>
      </c>
    </row>
    <row r="9" spans="1:7" x14ac:dyDescent="0.25">
      <c r="A9" s="70"/>
      <c r="B9" s="71"/>
      <c r="C9" s="18"/>
      <c r="D9" s="72"/>
      <c r="E9" s="87" t="str">
        <f>IFERROR(VLOOKUP(C9,BDD!$B$2:$C$111,2,0),"")</f>
        <v/>
      </c>
    </row>
    <row r="10" spans="1:7" x14ac:dyDescent="0.25">
      <c r="A10" s="70"/>
      <c r="B10" s="71"/>
      <c r="C10" s="18"/>
      <c r="D10" s="72"/>
      <c r="E10" s="87" t="str">
        <f>IFERROR(VLOOKUP(C10,BDD!$B$2:$C$111,2,0),"")</f>
        <v/>
      </c>
    </row>
    <row r="11" spans="1:7" x14ac:dyDescent="0.25">
      <c r="A11" s="70"/>
      <c r="B11" s="71"/>
      <c r="C11" s="18"/>
      <c r="D11" s="72"/>
      <c r="E11" s="87" t="str">
        <f>IFERROR(VLOOKUP(C11,BDD!$B$2:$C$111,2,0),"")</f>
        <v/>
      </c>
    </row>
    <row r="12" spans="1:7" x14ac:dyDescent="0.25">
      <c r="A12" s="70"/>
      <c r="B12" s="71"/>
      <c r="C12" s="18"/>
      <c r="D12" s="72"/>
      <c r="E12" s="87" t="str">
        <f>IFERROR(VLOOKUP(C12,BDD!$B$2:$C$111,2,0),"")</f>
        <v/>
      </c>
    </row>
    <row r="13" spans="1:7" x14ac:dyDescent="0.25">
      <c r="A13" s="70"/>
      <c r="B13" s="71"/>
      <c r="C13" s="18"/>
      <c r="D13" s="72"/>
      <c r="E13" s="87" t="str">
        <f>IFERROR(VLOOKUP(C13,BDD!$B$2:$C$111,2,0),"")</f>
        <v/>
      </c>
    </row>
    <row r="14" spans="1:7" x14ac:dyDescent="0.25">
      <c r="A14" s="70"/>
      <c r="B14" s="71"/>
      <c r="C14" s="18"/>
      <c r="D14" s="72"/>
      <c r="E14" s="87" t="str">
        <f>IFERROR(VLOOKUP(C14,BDD!$B$2:$C$111,2,0),"")</f>
        <v/>
      </c>
    </row>
    <row r="15" spans="1:7" x14ac:dyDescent="0.25">
      <c r="A15" s="70"/>
      <c r="B15" s="71"/>
      <c r="C15" s="18"/>
      <c r="D15" s="72"/>
      <c r="E15" s="87" t="str">
        <f>IFERROR(VLOOKUP(C15,BDD!$B$2:$C$111,2,0),"")</f>
        <v/>
      </c>
    </row>
    <row r="16" spans="1:7" x14ac:dyDescent="0.25">
      <c r="A16" s="70"/>
      <c r="B16" s="71"/>
      <c r="C16" s="18"/>
      <c r="D16" s="72"/>
      <c r="E16" s="87" t="str">
        <f>IFERROR(VLOOKUP(C16,BDD!$B$2:$C$111,2,0),"")</f>
        <v/>
      </c>
    </row>
    <row r="17" spans="1:5" x14ac:dyDescent="0.25">
      <c r="A17" s="70"/>
      <c r="B17" s="71"/>
      <c r="C17" s="18"/>
      <c r="D17" s="72"/>
      <c r="E17" s="87" t="str">
        <f>IFERROR(VLOOKUP(C17,BDD!$B$2:$C$111,2,0),"")</f>
        <v/>
      </c>
    </row>
    <row r="18" spans="1:5" x14ac:dyDescent="0.25">
      <c r="A18" s="70"/>
      <c r="B18" s="71"/>
      <c r="C18" s="18"/>
      <c r="D18" s="72"/>
      <c r="E18" s="87" t="str">
        <f>IFERROR(VLOOKUP(C18,BDD!$B$2:$C$111,2,0),"")</f>
        <v/>
      </c>
    </row>
    <row r="19" spans="1:5" x14ac:dyDescent="0.25">
      <c r="A19" s="17"/>
      <c r="B19" s="71"/>
      <c r="C19" s="18"/>
      <c r="D19" s="72"/>
      <c r="E19" s="87" t="str">
        <f>IFERROR(VLOOKUP(C19,BDD!$B$2:$C$111,2,0),"")</f>
        <v/>
      </c>
    </row>
    <row r="20" spans="1:5" x14ac:dyDescent="0.25">
      <c r="A20" s="17"/>
      <c r="B20" s="71"/>
      <c r="C20" s="18"/>
      <c r="D20" s="72"/>
      <c r="E20" s="87" t="str">
        <f>IFERROR(VLOOKUP(C20,BDD!$B$2:$C$111,2,0),"")</f>
        <v/>
      </c>
    </row>
    <row r="21" spans="1:5" x14ac:dyDescent="0.25">
      <c r="A21" s="17"/>
      <c r="B21" s="71"/>
      <c r="C21" s="18"/>
      <c r="D21" s="72"/>
      <c r="E21" s="87" t="str">
        <f>IFERROR(VLOOKUP(C21,BDD!$B$2:$C$111,2,0),"")</f>
        <v/>
      </c>
    </row>
    <row r="22" spans="1:5" x14ac:dyDescent="0.25">
      <c r="A22" s="17"/>
      <c r="B22" s="71"/>
      <c r="C22" s="18"/>
      <c r="D22" s="72"/>
      <c r="E22" s="87" t="str">
        <f>IFERROR(VLOOKUP(C22,BDD!$B$2:$C$111,2,0),"")</f>
        <v/>
      </c>
    </row>
    <row r="23" spans="1:5" x14ac:dyDescent="0.25">
      <c r="A23" s="17"/>
      <c r="B23" s="71"/>
      <c r="C23" s="18"/>
      <c r="D23" s="72"/>
      <c r="E23" s="87" t="str">
        <f>IFERROR(VLOOKUP(C23,BDD!$B$2:$C$111,2,0),"")</f>
        <v/>
      </c>
    </row>
    <row r="24" spans="1:5" x14ac:dyDescent="0.25">
      <c r="A24" s="17"/>
      <c r="B24" s="71"/>
      <c r="C24" s="18"/>
      <c r="D24" s="72"/>
      <c r="E24" s="87" t="str">
        <f>IFERROR(VLOOKUP(C24,BDD!$B$2:$C$111,2,0),"")</f>
        <v/>
      </c>
    </row>
    <row r="25" spans="1:5" x14ac:dyDescent="0.25">
      <c r="A25" s="17"/>
      <c r="B25" s="71"/>
      <c r="C25" s="18"/>
      <c r="D25" s="72"/>
      <c r="E25" s="87" t="str">
        <f>IFERROR(VLOOKUP(C25,BDD!$B$2:$C$111,2,0),"")</f>
        <v/>
      </c>
    </row>
    <row r="26" spans="1:5" x14ac:dyDescent="0.25">
      <c r="A26" s="17"/>
      <c r="B26" s="71"/>
      <c r="C26" s="18"/>
      <c r="D26" s="72"/>
      <c r="E26" s="87" t="str">
        <f>IFERROR(VLOOKUP(C26,BDD!$B$2:$C$111,2,0),"")</f>
        <v/>
      </c>
    </row>
    <row r="27" spans="1:5" x14ac:dyDescent="0.25">
      <c r="A27" s="17"/>
      <c r="B27" s="71"/>
      <c r="C27" s="18"/>
      <c r="D27" s="72"/>
      <c r="E27" s="87" t="str">
        <f>IFERROR(VLOOKUP(C27,BDD!$B$2:$C$111,2,0),"")</f>
        <v/>
      </c>
    </row>
    <row r="28" spans="1:5" x14ac:dyDescent="0.25">
      <c r="A28" s="74"/>
      <c r="B28" s="75"/>
      <c r="C28" s="76"/>
      <c r="D28" s="77"/>
      <c r="E28" s="88" t="str">
        <f>IFERROR(VLOOKUP(C28,BDD!$B$2:$C$111,2,0),"")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UPPRESSION">
                <anchor moveWithCells="1" sizeWithCells="1">
                  <from>
                    <xdr:col>7</xdr:col>
                    <xdr:colOff>19050</xdr:colOff>
                    <xdr:row>0</xdr:row>
                    <xdr:rowOff>9525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/>
  <dimension ref="A1:C111"/>
  <sheetViews>
    <sheetView workbookViewId="0">
      <selection activeCell="I23" sqref="I23"/>
    </sheetView>
  </sheetViews>
  <sheetFormatPr baseColWidth="10" defaultRowHeight="15" x14ac:dyDescent="0.25"/>
  <cols>
    <col min="1" max="1" width="12.140625" style="63" bestFit="1" customWidth="1"/>
    <col min="2" max="2" width="35.7109375" style="63" customWidth="1"/>
    <col min="3" max="3" width="11.42578125" style="78"/>
    <col min="4" max="16384" width="11.42578125" style="16"/>
  </cols>
  <sheetData>
    <row r="1" spans="1:3" x14ac:dyDescent="0.25">
      <c r="A1" s="2" t="s">
        <v>2</v>
      </c>
      <c r="B1" s="3" t="s">
        <v>3</v>
      </c>
      <c r="C1" s="135" t="s">
        <v>4</v>
      </c>
    </row>
    <row r="2" spans="1:3" x14ac:dyDescent="0.25">
      <c r="A2" s="83">
        <v>1</v>
      </c>
      <c r="B2" s="174" t="s">
        <v>112</v>
      </c>
      <c r="C2" s="176">
        <v>8.3000000000000007</v>
      </c>
    </row>
    <row r="3" spans="1:3" x14ac:dyDescent="0.25">
      <c r="A3" s="79">
        <v>2</v>
      </c>
      <c r="B3" s="101" t="s">
        <v>111</v>
      </c>
      <c r="C3" s="177">
        <v>8.3000000000000007</v>
      </c>
    </row>
    <row r="4" spans="1:3" x14ac:dyDescent="0.25">
      <c r="A4" s="83">
        <v>3</v>
      </c>
      <c r="B4" s="174" t="s">
        <v>110</v>
      </c>
      <c r="C4" s="177">
        <v>8.3000000000000007</v>
      </c>
    </row>
    <row r="5" spans="1:3" x14ac:dyDescent="0.25">
      <c r="A5" s="79">
        <v>4</v>
      </c>
      <c r="B5" s="80" t="s">
        <v>115</v>
      </c>
      <c r="C5" s="177">
        <v>7.5</v>
      </c>
    </row>
    <row r="6" spans="1:3" x14ac:dyDescent="0.25">
      <c r="A6" s="83">
        <v>5</v>
      </c>
      <c r="B6" s="101" t="s">
        <v>117</v>
      </c>
      <c r="C6" s="177">
        <v>7.5</v>
      </c>
    </row>
    <row r="7" spans="1:3" x14ac:dyDescent="0.25">
      <c r="A7" s="79">
        <v>6</v>
      </c>
      <c r="B7" s="80" t="s">
        <v>21</v>
      </c>
      <c r="C7" s="177">
        <v>4.8</v>
      </c>
    </row>
    <row r="8" spans="1:3" x14ac:dyDescent="0.25">
      <c r="A8" s="83">
        <v>7</v>
      </c>
      <c r="B8" s="80" t="s">
        <v>22</v>
      </c>
      <c r="C8" s="177">
        <v>6.5</v>
      </c>
    </row>
    <row r="9" spans="1:3" x14ac:dyDescent="0.25">
      <c r="A9" s="79">
        <v>8</v>
      </c>
      <c r="B9" s="80" t="s">
        <v>23</v>
      </c>
      <c r="C9" s="177">
        <v>7.2</v>
      </c>
    </row>
    <row r="10" spans="1:3" x14ac:dyDescent="0.25">
      <c r="A10" s="83">
        <v>9</v>
      </c>
      <c r="B10" s="80" t="s">
        <v>116</v>
      </c>
      <c r="C10" s="177">
        <v>4.2</v>
      </c>
    </row>
    <row r="11" spans="1:3" x14ac:dyDescent="0.25">
      <c r="A11" s="79">
        <v>10</v>
      </c>
      <c r="B11" s="101" t="s">
        <v>118</v>
      </c>
      <c r="C11" s="177">
        <v>4.2</v>
      </c>
    </row>
    <row r="12" spans="1:3" x14ac:dyDescent="0.25">
      <c r="A12" s="83">
        <v>11</v>
      </c>
      <c r="B12" s="80" t="s">
        <v>24</v>
      </c>
      <c r="C12" s="177">
        <v>14.9</v>
      </c>
    </row>
    <row r="13" spans="1:3" x14ac:dyDescent="0.25">
      <c r="A13" s="79">
        <v>12</v>
      </c>
      <c r="B13" s="80" t="s">
        <v>31</v>
      </c>
      <c r="C13" s="177">
        <v>5.5</v>
      </c>
    </row>
    <row r="14" spans="1:3" x14ac:dyDescent="0.25">
      <c r="A14" s="83">
        <v>13</v>
      </c>
      <c r="B14" s="80" t="s">
        <v>32</v>
      </c>
      <c r="C14" s="177">
        <v>4</v>
      </c>
    </row>
    <row r="15" spans="1:3" x14ac:dyDescent="0.25">
      <c r="A15" s="79">
        <v>14</v>
      </c>
      <c r="B15" s="80" t="s">
        <v>33</v>
      </c>
      <c r="C15" s="177">
        <v>4</v>
      </c>
    </row>
    <row r="16" spans="1:3" x14ac:dyDescent="0.25">
      <c r="A16" s="83">
        <v>15</v>
      </c>
      <c r="B16" s="80" t="s">
        <v>34</v>
      </c>
      <c r="C16" s="177">
        <v>15</v>
      </c>
    </row>
    <row r="17" spans="1:3" x14ac:dyDescent="0.25">
      <c r="A17" s="79">
        <v>16</v>
      </c>
      <c r="B17" s="80" t="s">
        <v>35</v>
      </c>
      <c r="C17" s="177">
        <v>10</v>
      </c>
    </row>
    <row r="18" spans="1:3" x14ac:dyDescent="0.25">
      <c r="A18" s="83">
        <v>17</v>
      </c>
      <c r="B18" s="80" t="s">
        <v>137</v>
      </c>
      <c r="C18" s="177">
        <v>1.5</v>
      </c>
    </row>
    <row r="19" spans="1:3" x14ac:dyDescent="0.25">
      <c r="A19" s="79">
        <v>18</v>
      </c>
      <c r="B19" s="175" t="s">
        <v>138</v>
      </c>
      <c r="C19" s="177">
        <v>1.25</v>
      </c>
    </row>
    <row r="20" spans="1:3" x14ac:dyDescent="0.25">
      <c r="A20" s="83">
        <v>19</v>
      </c>
      <c r="B20" s="80" t="s">
        <v>36</v>
      </c>
      <c r="C20" s="177">
        <v>55</v>
      </c>
    </row>
    <row r="21" spans="1:3" x14ac:dyDescent="0.25">
      <c r="A21" s="79">
        <v>20</v>
      </c>
      <c r="B21" s="80" t="s">
        <v>30</v>
      </c>
      <c r="C21" s="177">
        <v>30</v>
      </c>
    </row>
    <row r="22" spans="1:3" x14ac:dyDescent="0.25">
      <c r="A22" s="83">
        <v>21</v>
      </c>
      <c r="B22" s="80" t="s">
        <v>25</v>
      </c>
      <c r="C22" s="177">
        <v>20</v>
      </c>
    </row>
    <row r="23" spans="1:3" x14ac:dyDescent="0.25">
      <c r="A23" s="79">
        <v>22</v>
      </c>
      <c r="B23" s="80" t="s">
        <v>28</v>
      </c>
      <c r="C23" s="177">
        <v>20</v>
      </c>
    </row>
    <row r="24" spans="1:3" x14ac:dyDescent="0.25">
      <c r="A24" s="83">
        <v>23</v>
      </c>
      <c r="B24" s="80" t="s">
        <v>29</v>
      </c>
      <c r="C24" s="177">
        <v>15</v>
      </c>
    </row>
    <row r="25" spans="1:3" x14ac:dyDescent="0.25">
      <c r="A25" s="79">
        <v>24</v>
      </c>
      <c r="B25" s="80" t="s">
        <v>26</v>
      </c>
      <c r="C25" s="177">
        <v>24</v>
      </c>
    </row>
    <row r="26" spans="1:3" x14ac:dyDescent="0.25">
      <c r="A26" s="83">
        <v>25</v>
      </c>
      <c r="B26" s="80" t="s">
        <v>27</v>
      </c>
      <c r="C26" s="177">
        <v>20</v>
      </c>
    </row>
    <row r="27" spans="1:3" x14ac:dyDescent="0.25">
      <c r="A27" s="79">
        <v>26</v>
      </c>
      <c r="B27" s="79"/>
      <c r="C27" s="177"/>
    </row>
    <row r="28" spans="1:3" x14ac:dyDescent="0.25">
      <c r="A28" s="83">
        <v>27</v>
      </c>
      <c r="B28" s="80" t="s">
        <v>45</v>
      </c>
      <c r="C28" s="177">
        <v>1</v>
      </c>
    </row>
    <row r="29" spans="1:3" x14ac:dyDescent="0.25">
      <c r="A29" s="79">
        <v>28</v>
      </c>
      <c r="B29" s="80" t="s">
        <v>44</v>
      </c>
      <c r="C29" s="177">
        <v>1</v>
      </c>
    </row>
    <row r="30" spans="1:3" x14ac:dyDescent="0.25">
      <c r="A30" s="83">
        <v>29</v>
      </c>
      <c r="B30" s="80" t="s">
        <v>72</v>
      </c>
      <c r="C30" s="177">
        <v>-120</v>
      </c>
    </row>
    <row r="31" spans="1:3" x14ac:dyDescent="0.25">
      <c r="A31" s="79">
        <v>30</v>
      </c>
      <c r="B31" s="80" t="s">
        <v>73</v>
      </c>
      <c r="C31" s="177">
        <v>1</v>
      </c>
    </row>
    <row r="32" spans="1:3" x14ac:dyDescent="0.25">
      <c r="A32" s="83">
        <v>31</v>
      </c>
      <c r="B32" s="80" t="s">
        <v>74</v>
      </c>
      <c r="C32" s="177"/>
    </row>
    <row r="33" spans="1:3" x14ac:dyDescent="0.25">
      <c r="A33" s="79">
        <v>32</v>
      </c>
      <c r="B33" s="80" t="s">
        <v>75</v>
      </c>
      <c r="C33" s="177"/>
    </row>
    <row r="34" spans="1:3" x14ac:dyDescent="0.25">
      <c r="A34" s="83">
        <v>33</v>
      </c>
      <c r="B34" s="80" t="s">
        <v>76</v>
      </c>
      <c r="C34" s="177"/>
    </row>
    <row r="35" spans="1:3" x14ac:dyDescent="0.25">
      <c r="A35" s="79">
        <v>34</v>
      </c>
      <c r="B35" s="80" t="s">
        <v>51</v>
      </c>
      <c r="C35" s="177">
        <v>11.5</v>
      </c>
    </row>
    <row r="36" spans="1:3" x14ac:dyDescent="0.25">
      <c r="A36" s="83">
        <v>35</v>
      </c>
      <c r="B36" s="80" t="s">
        <v>52</v>
      </c>
      <c r="C36" s="177">
        <v>6.7</v>
      </c>
    </row>
    <row r="37" spans="1:3" x14ac:dyDescent="0.25">
      <c r="A37" s="79">
        <v>36</v>
      </c>
      <c r="B37" s="80" t="s">
        <v>53</v>
      </c>
      <c r="C37" s="177">
        <v>6</v>
      </c>
    </row>
    <row r="38" spans="1:3" x14ac:dyDescent="0.25">
      <c r="A38" s="83">
        <v>37</v>
      </c>
      <c r="B38" s="79"/>
      <c r="C38" s="177"/>
    </row>
    <row r="39" spans="1:3" x14ac:dyDescent="0.25">
      <c r="A39" s="79">
        <v>38</v>
      </c>
      <c r="B39" s="79"/>
      <c r="C39" s="177"/>
    </row>
    <row r="40" spans="1:3" x14ac:dyDescent="0.25">
      <c r="A40" s="83">
        <v>39</v>
      </c>
      <c r="B40" s="79"/>
      <c r="C40" s="177"/>
    </row>
    <row r="41" spans="1:3" x14ac:dyDescent="0.25">
      <c r="A41" s="79">
        <v>40</v>
      </c>
      <c r="B41" s="79"/>
      <c r="C41" s="177"/>
    </row>
    <row r="42" spans="1:3" x14ac:dyDescent="0.25">
      <c r="A42" s="83">
        <v>41</v>
      </c>
      <c r="B42" s="80" t="s">
        <v>54</v>
      </c>
      <c r="C42" s="177">
        <v>69</v>
      </c>
    </row>
    <row r="43" spans="1:3" x14ac:dyDescent="0.25">
      <c r="A43" s="79">
        <v>42</v>
      </c>
      <c r="B43" s="80" t="s">
        <v>55</v>
      </c>
      <c r="C43" s="177">
        <v>45.6</v>
      </c>
    </row>
    <row r="44" spans="1:3" x14ac:dyDescent="0.25">
      <c r="A44" s="83">
        <v>43</v>
      </c>
      <c r="B44" s="80" t="s">
        <v>56</v>
      </c>
      <c r="C44" s="177">
        <v>71.72</v>
      </c>
    </row>
    <row r="45" spans="1:3" x14ac:dyDescent="0.25">
      <c r="A45" s="79">
        <v>44</v>
      </c>
      <c r="B45" s="80" t="s">
        <v>57</v>
      </c>
      <c r="C45" s="177">
        <v>65.7</v>
      </c>
    </row>
    <row r="46" spans="1:3" x14ac:dyDescent="0.25">
      <c r="A46" s="83">
        <v>45</v>
      </c>
      <c r="B46" s="80" t="s">
        <v>58</v>
      </c>
      <c r="C46" s="177">
        <v>87.6</v>
      </c>
    </row>
    <row r="47" spans="1:3" x14ac:dyDescent="0.25">
      <c r="A47" s="79">
        <v>46</v>
      </c>
      <c r="B47" s="79"/>
      <c r="C47" s="177"/>
    </row>
    <row r="48" spans="1:3" x14ac:dyDescent="0.25">
      <c r="A48" s="83">
        <v>47</v>
      </c>
      <c r="B48" s="79"/>
      <c r="C48" s="177"/>
    </row>
    <row r="49" spans="1:3" x14ac:dyDescent="0.25">
      <c r="A49" s="79">
        <v>48</v>
      </c>
      <c r="B49" s="80" t="s">
        <v>59</v>
      </c>
      <c r="C49" s="177">
        <v>10.56</v>
      </c>
    </row>
    <row r="50" spans="1:3" x14ac:dyDescent="0.25">
      <c r="A50" s="83">
        <v>49</v>
      </c>
      <c r="B50" s="80" t="s">
        <v>60</v>
      </c>
      <c r="C50" s="177">
        <v>10.56</v>
      </c>
    </row>
    <row r="51" spans="1:3" x14ac:dyDescent="0.25">
      <c r="A51" s="79">
        <v>50</v>
      </c>
      <c r="B51" s="80" t="s">
        <v>61</v>
      </c>
      <c r="C51" s="177">
        <v>10.56</v>
      </c>
    </row>
    <row r="52" spans="1:3" x14ac:dyDescent="0.25">
      <c r="A52" s="83">
        <v>51</v>
      </c>
      <c r="B52" s="80" t="s">
        <v>62</v>
      </c>
      <c r="C52" s="177">
        <v>10.56</v>
      </c>
    </row>
    <row r="53" spans="1:3" x14ac:dyDescent="0.25">
      <c r="A53" s="79">
        <v>52</v>
      </c>
      <c r="B53" s="80" t="s">
        <v>63</v>
      </c>
      <c r="C53" s="177">
        <v>11.56</v>
      </c>
    </row>
    <row r="54" spans="1:3" x14ac:dyDescent="0.25">
      <c r="A54" s="83">
        <v>53</v>
      </c>
      <c r="B54" s="80" t="s">
        <v>64</v>
      </c>
      <c r="C54" s="177">
        <v>11.56</v>
      </c>
    </row>
    <row r="55" spans="1:3" x14ac:dyDescent="0.25">
      <c r="A55" s="79">
        <v>54</v>
      </c>
      <c r="B55" s="80" t="s">
        <v>65</v>
      </c>
      <c r="C55" s="177">
        <v>12.05</v>
      </c>
    </row>
    <row r="56" spans="1:3" x14ac:dyDescent="0.25">
      <c r="A56" s="83">
        <v>55</v>
      </c>
      <c r="B56" s="80" t="s">
        <v>66</v>
      </c>
      <c r="C56" s="177">
        <v>12.05</v>
      </c>
    </row>
    <row r="57" spans="1:3" x14ac:dyDescent="0.25">
      <c r="A57" s="79">
        <v>56</v>
      </c>
      <c r="B57" s="80" t="s">
        <v>67</v>
      </c>
      <c r="C57" s="177">
        <v>12.31</v>
      </c>
    </row>
    <row r="58" spans="1:3" x14ac:dyDescent="0.25">
      <c r="A58" s="83">
        <v>57</v>
      </c>
      <c r="B58" s="80" t="s">
        <v>144</v>
      </c>
      <c r="C58" s="177">
        <v>13.51</v>
      </c>
    </row>
    <row r="59" spans="1:3" x14ac:dyDescent="0.25">
      <c r="A59" s="79">
        <v>58</v>
      </c>
      <c r="B59" s="80" t="s">
        <v>68</v>
      </c>
      <c r="C59" s="177">
        <v>13.51</v>
      </c>
    </row>
    <row r="60" spans="1:3" x14ac:dyDescent="0.25">
      <c r="A60" s="83">
        <v>59</v>
      </c>
      <c r="B60" s="80" t="s">
        <v>69</v>
      </c>
      <c r="C60" s="177">
        <v>15.85</v>
      </c>
    </row>
    <row r="61" spans="1:3" x14ac:dyDescent="0.25">
      <c r="A61" s="79">
        <v>60</v>
      </c>
      <c r="B61" s="80" t="s">
        <v>70</v>
      </c>
      <c r="C61" s="177">
        <v>15.85</v>
      </c>
    </row>
    <row r="62" spans="1:3" x14ac:dyDescent="0.25">
      <c r="A62" s="83">
        <v>61</v>
      </c>
      <c r="B62" s="80" t="s">
        <v>71</v>
      </c>
      <c r="C62" s="177">
        <v>15.85</v>
      </c>
    </row>
    <row r="63" spans="1:3" x14ac:dyDescent="0.25">
      <c r="A63" s="79">
        <v>62</v>
      </c>
      <c r="B63" s="79"/>
      <c r="C63" s="177"/>
    </row>
    <row r="64" spans="1:3" x14ac:dyDescent="0.25">
      <c r="A64" s="83">
        <v>63</v>
      </c>
      <c r="B64" s="79"/>
      <c r="C64" s="177"/>
    </row>
    <row r="65" spans="1:3" x14ac:dyDescent="0.25">
      <c r="A65" s="79">
        <v>64</v>
      </c>
      <c r="B65" s="79"/>
      <c r="C65" s="177"/>
    </row>
    <row r="66" spans="1:3" x14ac:dyDescent="0.25">
      <c r="A66" s="83">
        <v>65</v>
      </c>
      <c r="B66" s="79"/>
      <c r="C66" s="177"/>
    </row>
    <row r="67" spans="1:3" x14ac:dyDescent="0.25">
      <c r="A67" s="79">
        <v>66</v>
      </c>
      <c r="B67" s="79"/>
      <c r="C67" s="177"/>
    </row>
    <row r="68" spans="1:3" x14ac:dyDescent="0.25">
      <c r="A68" s="83">
        <v>67</v>
      </c>
      <c r="B68" s="79"/>
      <c r="C68" s="177"/>
    </row>
    <row r="69" spans="1:3" x14ac:dyDescent="0.25">
      <c r="A69" s="79">
        <v>68</v>
      </c>
      <c r="B69" s="79"/>
      <c r="C69" s="177"/>
    </row>
    <row r="70" spans="1:3" x14ac:dyDescent="0.25">
      <c r="A70" s="83">
        <v>69</v>
      </c>
      <c r="B70" s="79"/>
      <c r="C70" s="177"/>
    </row>
    <row r="71" spans="1:3" x14ac:dyDescent="0.25">
      <c r="A71" s="79">
        <v>70</v>
      </c>
      <c r="B71" s="79"/>
      <c r="C71" s="177"/>
    </row>
    <row r="72" spans="1:3" x14ac:dyDescent="0.25">
      <c r="A72" s="83">
        <v>71</v>
      </c>
      <c r="B72" s="79"/>
      <c r="C72" s="177"/>
    </row>
    <row r="73" spans="1:3" x14ac:dyDescent="0.25">
      <c r="A73" s="79">
        <v>72</v>
      </c>
      <c r="B73" s="79"/>
      <c r="C73" s="177"/>
    </row>
    <row r="74" spans="1:3" x14ac:dyDescent="0.25">
      <c r="A74" s="83">
        <v>73</v>
      </c>
      <c r="B74" s="79"/>
      <c r="C74" s="177"/>
    </row>
    <row r="75" spans="1:3" x14ac:dyDescent="0.25">
      <c r="A75" s="79">
        <v>74</v>
      </c>
      <c r="B75" s="79"/>
      <c r="C75" s="177"/>
    </row>
    <row r="76" spans="1:3" x14ac:dyDescent="0.25">
      <c r="A76" s="83">
        <v>75</v>
      </c>
      <c r="B76" s="79"/>
      <c r="C76" s="177"/>
    </row>
    <row r="77" spans="1:3" x14ac:dyDescent="0.25">
      <c r="A77" s="79">
        <v>76</v>
      </c>
      <c r="B77" s="79"/>
      <c r="C77" s="177"/>
    </row>
    <row r="78" spans="1:3" x14ac:dyDescent="0.25">
      <c r="A78" s="83">
        <v>77</v>
      </c>
      <c r="B78" s="79"/>
      <c r="C78" s="177"/>
    </row>
    <row r="79" spans="1:3" x14ac:dyDescent="0.25">
      <c r="A79" s="79">
        <v>78</v>
      </c>
      <c r="B79" s="79"/>
      <c r="C79" s="177"/>
    </row>
    <row r="80" spans="1:3" x14ac:dyDescent="0.25">
      <c r="A80" s="83">
        <v>79</v>
      </c>
      <c r="B80" s="79"/>
      <c r="C80" s="177"/>
    </row>
    <row r="81" spans="1:3" x14ac:dyDescent="0.25">
      <c r="A81" s="79">
        <v>80</v>
      </c>
      <c r="B81" s="79"/>
      <c r="C81" s="177"/>
    </row>
    <row r="82" spans="1:3" x14ac:dyDescent="0.25">
      <c r="A82" s="83">
        <v>81</v>
      </c>
      <c r="B82" s="79"/>
      <c r="C82" s="177"/>
    </row>
    <row r="83" spans="1:3" x14ac:dyDescent="0.25">
      <c r="A83" s="79">
        <v>82</v>
      </c>
      <c r="B83" s="79"/>
      <c r="C83" s="177"/>
    </row>
    <row r="84" spans="1:3" x14ac:dyDescent="0.25">
      <c r="A84" s="83">
        <v>83</v>
      </c>
      <c r="B84" s="79"/>
      <c r="C84" s="177"/>
    </row>
    <row r="85" spans="1:3" x14ac:dyDescent="0.25">
      <c r="A85" s="79">
        <v>84</v>
      </c>
      <c r="B85" s="79"/>
      <c r="C85" s="177"/>
    </row>
    <row r="86" spans="1:3" x14ac:dyDescent="0.25">
      <c r="A86" s="83">
        <v>85</v>
      </c>
      <c r="B86" s="79"/>
      <c r="C86" s="177"/>
    </row>
    <row r="87" spans="1:3" x14ac:dyDescent="0.25">
      <c r="A87" s="79">
        <v>86</v>
      </c>
      <c r="B87" s="79"/>
      <c r="C87" s="177"/>
    </row>
    <row r="88" spans="1:3" x14ac:dyDescent="0.25">
      <c r="A88" s="83">
        <v>87</v>
      </c>
      <c r="B88" s="79"/>
      <c r="C88" s="177"/>
    </row>
    <row r="89" spans="1:3" x14ac:dyDescent="0.25">
      <c r="A89" s="79">
        <v>88</v>
      </c>
      <c r="B89" s="79"/>
      <c r="C89" s="177"/>
    </row>
    <row r="90" spans="1:3" x14ac:dyDescent="0.25">
      <c r="A90" s="83">
        <v>89</v>
      </c>
      <c r="B90" s="79"/>
      <c r="C90" s="177"/>
    </row>
    <row r="91" spans="1:3" x14ac:dyDescent="0.25">
      <c r="A91" s="79">
        <v>90</v>
      </c>
      <c r="B91" s="79"/>
      <c r="C91" s="177"/>
    </row>
    <row r="92" spans="1:3" x14ac:dyDescent="0.25">
      <c r="A92" s="83">
        <v>91</v>
      </c>
      <c r="B92" s="79"/>
      <c r="C92" s="177"/>
    </row>
    <row r="93" spans="1:3" x14ac:dyDescent="0.25">
      <c r="A93" s="79">
        <v>92</v>
      </c>
      <c r="B93" s="79"/>
      <c r="C93" s="177"/>
    </row>
    <row r="94" spans="1:3" x14ac:dyDescent="0.25">
      <c r="A94" s="83">
        <v>93</v>
      </c>
      <c r="B94" s="79"/>
      <c r="C94" s="177"/>
    </row>
    <row r="95" spans="1:3" x14ac:dyDescent="0.25">
      <c r="A95" s="79">
        <v>94</v>
      </c>
      <c r="B95" s="79"/>
      <c r="C95" s="177"/>
    </row>
    <row r="96" spans="1:3" x14ac:dyDescent="0.25">
      <c r="A96" s="83">
        <v>95</v>
      </c>
      <c r="B96" s="79"/>
      <c r="C96" s="177"/>
    </row>
    <row r="97" spans="1:3" x14ac:dyDescent="0.25">
      <c r="A97" s="79">
        <v>96</v>
      </c>
      <c r="B97" s="79"/>
      <c r="C97" s="177"/>
    </row>
    <row r="98" spans="1:3" x14ac:dyDescent="0.25">
      <c r="A98" s="83">
        <v>97</v>
      </c>
      <c r="B98" s="79"/>
      <c r="C98" s="177"/>
    </row>
    <row r="99" spans="1:3" x14ac:dyDescent="0.25">
      <c r="A99" s="79">
        <v>98</v>
      </c>
      <c r="B99" s="79" t="s">
        <v>135</v>
      </c>
      <c r="C99" s="177">
        <v>-1</v>
      </c>
    </row>
    <row r="100" spans="1:3" x14ac:dyDescent="0.25">
      <c r="A100" s="83">
        <v>99</v>
      </c>
      <c r="B100" s="79" t="s">
        <v>136</v>
      </c>
      <c r="C100" s="177">
        <v>1</v>
      </c>
    </row>
    <row r="101" spans="1:3" x14ac:dyDescent="0.25">
      <c r="A101" s="79">
        <v>100</v>
      </c>
      <c r="B101" s="79" t="s">
        <v>104</v>
      </c>
      <c r="C101" s="177">
        <v>1</v>
      </c>
    </row>
    <row r="102" spans="1:3" x14ac:dyDescent="0.25">
      <c r="A102" s="83">
        <v>101</v>
      </c>
      <c r="B102" s="79" t="s">
        <v>103</v>
      </c>
      <c r="C102" s="177">
        <v>-1</v>
      </c>
    </row>
    <row r="103" spans="1:3" x14ac:dyDescent="0.25">
      <c r="A103" s="79">
        <v>102</v>
      </c>
      <c r="B103" s="79" t="s">
        <v>101</v>
      </c>
      <c r="C103" s="177">
        <v>1</v>
      </c>
    </row>
    <row r="104" spans="1:3" x14ac:dyDescent="0.25">
      <c r="A104" s="83">
        <v>103</v>
      </c>
      <c r="B104" s="79" t="s">
        <v>102</v>
      </c>
      <c r="C104" s="177">
        <v>-1</v>
      </c>
    </row>
    <row r="105" spans="1:3" x14ac:dyDescent="0.25">
      <c r="A105" s="79">
        <v>104</v>
      </c>
      <c r="B105" s="79" t="s">
        <v>100</v>
      </c>
      <c r="C105" s="177">
        <v>1</v>
      </c>
    </row>
    <row r="106" spans="1:3" x14ac:dyDescent="0.25">
      <c r="A106" s="83">
        <v>105</v>
      </c>
      <c r="B106" s="79" t="s">
        <v>90</v>
      </c>
      <c r="C106" s="177">
        <v>1</v>
      </c>
    </row>
    <row r="107" spans="1:3" x14ac:dyDescent="0.25">
      <c r="A107" s="79">
        <v>106</v>
      </c>
      <c r="B107" s="79" t="s">
        <v>89</v>
      </c>
      <c r="C107" s="177">
        <v>-1</v>
      </c>
    </row>
    <row r="108" spans="1:3" x14ac:dyDescent="0.25">
      <c r="A108" s="83">
        <v>107</v>
      </c>
      <c r="B108" s="79" t="s">
        <v>81</v>
      </c>
      <c r="C108" s="177">
        <v>-1</v>
      </c>
    </row>
    <row r="109" spans="1:3" x14ac:dyDescent="0.25">
      <c r="A109" s="79">
        <v>108</v>
      </c>
      <c r="B109" s="79" t="s">
        <v>37</v>
      </c>
      <c r="C109" s="177">
        <v>-1</v>
      </c>
    </row>
    <row r="110" spans="1:3" x14ac:dyDescent="0.25">
      <c r="A110" s="83">
        <v>109</v>
      </c>
      <c r="B110" s="80" t="s">
        <v>45</v>
      </c>
      <c r="C110" s="177">
        <v>1</v>
      </c>
    </row>
    <row r="111" spans="1:3" x14ac:dyDescent="0.25">
      <c r="A111" s="81">
        <v>110</v>
      </c>
      <c r="B111" s="82" t="s">
        <v>44</v>
      </c>
      <c r="C111" s="178">
        <v>-1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C14C9-1C95-48C6-B199-97EF77D55117}">
  <sheetPr codeName="Feuil8"/>
  <dimension ref="A1:F109"/>
  <sheetViews>
    <sheetView zoomScaleNormal="100" workbookViewId="0">
      <selection activeCell="K26" sqref="K25:K26"/>
    </sheetView>
  </sheetViews>
  <sheetFormatPr baseColWidth="10" defaultRowHeight="15" x14ac:dyDescent="0.25"/>
  <cols>
    <col min="1" max="1" width="30.7109375" style="16" customWidth="1"/>
    <col min="2" max="2" width="11.42578125" style="100"/>
    <col min="3" max="4" width="11.42578125" style="63"/>
    <col min="5" max="5" width="11.42578125" style="101"/>
    <col min="6" max="16384" width="11.42578125" style="16"/>
  </cols>
  <sheetData>
    <row r="1" spans="1:6" x14ac:dyDescent="0.25">
      <c r="A1" s="6" t="s">
        <v>3</v>
      </c>
      <c r="B1" s="7" t="s">
        <v>14</v>
      </c>
      <c r="C1" s="105" t="s">
        <v>13</v>
      </c>
      <c r="D1" s="6" t="s">
        <v>15</v>
      </c>
      <c r="E1" s="12" t="s">
        <v>99</v>
      </c>
      <c r="F1" s="13"/>
    </row>
    <row r="2" spans="1:6" x14ac:dyDescent="0.25">
      <c r="A2" s="84" t="str">
        <f>BDD!B2</f>
        <v>Sancerre Sardelles BLANC</v>
      </c>
      <c r="B2" s="98">
        <f>SUMIF(Histo!C:C,$A$2,Histo!B:B)</f>
        <v>0</v>
      </c>
      <c r="C2" s="170">
        <v>200</v>
      </c>
      <c r="D2" s="83">
        <f t="shared" ref="D2:D17" si="0">+C2-B2</f>
        <v>200</v>
      </c>
      <c r="E2" s="168" t="s">
        <v>39</v>
      </c>
      <c r="F2" s="169"/>
    </row>
    <row r="3" spans="1:6" x14ac:dyDescent="0.25">
      <c r="A3" s="84" t="str">
        <f>BDD!B3</f>
        <v>Sancerre Sardelles ROSÉ</v>
      </c>
      <c r="B3" s="98">
        <f>SUMIF(Histo!C:C,$A$3,Histo!B:B)</f>
        <v>0</v>
      </c>
      <c r="C3" s="170">
        <v>85</v>
      </c>
      <c r="D3" s="83">
        <f t="shared" si="0"/>
        <v>85</v>
      </c>
      <c r="E3" s="102" t="s">
        <v>39</v>
      </c>
      <c r="F3" s="19"/>
    </row>
    <row r="4" spans="1:6" x14ac:dyDescent="0.25">
      <c r="A4" s="84" t="str">
        <f>BDD!B4</f>
        <v>Sancerre Sardelles ROUGE</v>
      </c>
      <c r="B4" s="98">
        <f>SUMIF(Histo!C:C,$A$4,Histo!B:B)</f>
        <v>0</v>
      </c>
      <c r="C4" s="170">
        <v>126</v>
      </c>
      <c r="D4" s="83">
        <f t="shared" si="0"/>
        <v>126</v>
      </c>
      <c r="E4" s="102" t="s">
        <v>39</v>
      </c>
      <c r="F4" s="19"/>
    </row>
    <row r="5" spans="1:6" x14ac:dyDescent="0.25">
      <c r="A5" s="84" t="str">
        <f>BDD!B5</f>
        <v>Menetou Assadet BLANC</v>
      </c>
      <c r="B5" s="98">
        <f>SUMIF(Histo!C:C,$A$5,Histo!B:B)</f>
        <v>0</v>
      </c>
      <c r="C5" s="170">
        <v>437</v>
      </c>
      <c r="D5" s="83">
        <f t="shared" si="0"/>
        <v>437</v>
      </c>
      <c r="E5" s="102" t="s">
        <v>39</v>
      </c>
      <c r="F5" s="19"/>
    </row>
    <row r="6" spans="1:6" x14ac:dyDescent="0.25">
      <c r="A6" s="84" t="str">
        <f>BDD!B6</f>
        <v>Menetou Assadet ROUGE</v>
      </c>
      <c r="B6" s="98">
        <f>SUMIF(Histo!C:C,$A$6,Histo!B:B)</f>
        <v>0</v>
      </c>
      <c r="C6" s="170">
        <v>171</v>
      </c>
      <c r="D6" s="83">
        <f t="shared" si="0"/>
        <v>171</v>
      </c>
      <c r="E6" s="102" t="s">
        <v>39</v>
      </c>
      <c r="F6" s="19"/>
    </row>
    <row r="7" spans="1:6" x14ac:dyDescent="0.25">
      <c r="A7" s="84" t="str">
        <f>BDD!B7</f>
        <v>Bordeaux Peneture</v>
      </c>
      <c r="B7" s="98">
        <f>SUMIF(Histo!C:C,$A$7,Histo!B:B)</f>
        <v>0</v>
      </c>
      <c r="C7" s="171">
        <v>181</v>
      </c>
      <c r="D7" s="83">
        <f t="shared" si="0"/>
        <v>181</v>
      </c>
      <c r="E7" s="134" t="s">
        <v>39</v>
      </c>
      <c r="F7" s="19"/>
    </row>
    <row r="8" spans="1:6" x14ac:dyDescent="0.25">
      <c r="A8" s="84" t="str">
        <f>BDD!B8</f>
        <v>Quincy</v>
      </c>
      <c r="B8" s="98">
        <f>SUMIF(Histo!C:C,$A$8,Histo!B:B)</f>
        <v>0</v>
      </c>
      <c r="C8" s="170">
        <v>0</v>
      </c>
      <c r="D8" s="83">
        <f t="shared" si="0"/>
        <v>0</v>
      </c>
      <c r="E8" s="102" t="s">
        <v>39</v>
      </c>
      <c r="F8" s="19"/>
    </row>
    <row r="9" spans="1:6" x14ac:dyDescent="0.25">
      <c r="A9" s="84" t="str">
        <f>BDD!B9</f>
        <v>Tariquet</v>
      </c>
      <c r="B9" s="98">
        <f>SUMIF(Histo!C:C,$A$9,Histo!B:B)</f>
        <v>0</v>
      </c>
      <c r="C9" s="170">
        <v>94</v>
      </c>
      <c r="D9" s="83">
        <f t="shared" si="0"/>
        <v>94</v>
      </c>
      <c r="E9" s="102" t="s">
        <v>39</v>
      </c>
      <c r="F9" s="19"/>
    </row>
    <row r="10" spans="1:6" x14ac:dyDescent="0.25">
      <c r="A10" s="84" t="str">
        <f>BDD!B10</f>
        <v>Vouvray Pétillant BLANC</v>
      </c>
      <c r="B10" s="98">
        <f>SUMIF(Histo!C:C,$A$10,Histo!B:B)</f>
        <v>0</v>
      </c>
      <c r="C10" s="170">
        <v>535</v>
      </c>
      <c r="D10" s="83">
        <f t="shared" si="0"/>
        <v>535</v>
      </c>
      <c r="E10" s="102" t="s">
        <v>39</v>
      </c>
      <c r="F10" s="19"/>
    </row>
    <row r="11" spans="1:6" x14ac:dyDescent="0.25">
      <c r="A11" s="84" t="str">
        <f>BDD!B11</f>
        <v>Vouvray Pétillant ROSÉ</v>
      </c>
      <c r="B11" s="98">
        <f>SUMIF(Histo!C:C,$A$11,Histo!B:B)</f>
        <v>0</v>
      </c>
      <c r="C11" s="170">
        <v>366</v>
      </c>
      <c r="D11" s="83">
        <f t="shared" si="0"/>
        <v>366</v>
      </c>
      <c r="E11" s="102" t="s">
        <v>39</v>
      </c>
      <c r="F11" s="19"/>
    </row>
    <row r="12" spans="1:6" x14ac:dyDescent="0.25">
      <c r="A12" s="84" t="str">
        <f>BDD!B12</f>
        <v>Champagne Beaufort</v>
      </c>
      <c r="B12" s="98">
        <f>SUMIF(Histo!C:C,$A$12,Histo!B:B)</f>
        <v>0</v>
      </c>
      <c r="C12" s="170">
        <v>61</v>
      </c>
      <c r="D12" s="83">
        <f t="shared" si="0"/>
        <v>61</v>
      </c>
      <c r="E12" s="102" t="s">
        <v>39</v>
      </c>
      <c r="F12" s="19"/>
    </row>
    <row r="13" spans="1:6" x14ac:dyDescent="0.25">
      <c r="A13" s="84" t="str">
        <f>BDD!B13</f>
        <v>Cinéma CGR</v>
      </c>
      <c r="B13" s="98">
        <f>SUMIF(Histo!C:C,$A$13,Histo!B:B)</f>
        <v>0</v>
      </c>
      <c r="C13" s="170">
        <v>228</v>
      </c>
      <c r="D13" s="83">
        <f t="shared" si="0"/>
        <v>228</v>
      </c>
      <c r="E13" s="102" t="s">
        <v>40</v>
      </c>
      <c r="F13" s="19"/>
    </row>
    <row r="14" spans="1:6" x14ac:dyDescent="0.25">
      <c r="A14" s="84" t="str">
        <f>BDD!B14</f>
        <v>Cinéma L'Argentis</v>
      </c>
      <c r="B14" s="98">
        <f>SUMIF(Histo!C:C,$A$14,Histo!B:B)</f>
        <v>0</v>
      </c>
      <c r="C14" s="170">
        <v>146</v>
      </c>
      <c r="D14" s="83">
        <f t="shared" si="0"/>
        <v>146</v>
      </c>
      <c r="E14" s="102" t="s">
        <v>40</v>
      </c>
      <c r="F14" s="19"/>
    </row>
    <row r="15" spans="1:6" x14ac:dyDescent="0.25">
      <c r="A15" s="84" t="str">
        <f>BDD!B15</f>
        <v>Atomic Cinéma</v>
      </c>
      <c r="B15" s="98">
        <f>SUMIF(Histo!C:C,$A$15,Histo!B:B)</f>
        <v>0</v>
      </c>
      <c r="C15" s="170">
        <v>146</v>
      </c>
      <c r="D15" s="83">
        <f t="shared" si="0"/>
        <v>146</v>
      </c>
      <c r="E15" s="102" t="s">
        <v>40</v>
      </c>
      <c r="F15" s="19"/>
    </row>
    <row r="16" spans="1:6" x14ac:dyDescent="0.25">
      <c r="A16" s="84" t="str">
        <f>BDD!B16</f>
        <v>AUBIGNY Piscine adulte</v>
      </c>
      <c r="B16" s="98">
        <f>SUMIF(Histo!C:C,$A$16,Histo!B:B)</f>
        <v>0</v>
      </c>
      <c r="C16" s="170">
        <v>52</v>
      </c>
      <c r="D16" s="83">
        <f t="shared" si="0"/>
        <v>52</v>
      </c>
      <c r="E16" s="102" t="s">
        <v>40</v>
      </c>
      <c r="F16" s="19"/>
    </row>
    <row r="17" spans="1:6" x14ac:dyDescent="0.25">
      <c r="A17" s="84" t="str">
        <f>BDD!B17</f>
        <v>AUBIGNY Piscine enfant</v>
      </c>
      <c r="B17" s="98">
        <f>SUMIF(Histo!C:C,$A$17,Histo!B:B)</f>
        <v>0</v>
      </c>
      <c r="C17" s="170">
        <v>21</v>
      </c>
      <c r="D17" s="83">
        <f t="shared" si="0"/>
        <v>21</v>
      </c>
      <c r="E17" s="102" t="s">
        <v>40</v>
      </c>
      <c r="F17" s="19"/>
    </row>
    <row r="18" spans="1:6" x14ac:dyDescent="0.25">
      <c r="A18" s="84" t="str">
        <f>BDD!B18</f>
        <v>Jeton(s) de lavage INTERMARCHÉ</v>
      </c>
      <c r="B18" s="98">
        <f>SUMIF(Histo!C:C,$A$18,Histo!B:B)</f>
        <v>0</v>
      </c>
      <c r="C18" s="170">
        <v>415</v>
      </c>
      <c r="D18" s="83">
        <f>+C18-B18</f>
        <v>415</v>
      </c>
      <c r="E18" s="102" t="s">
        <v>40</v>
      </c>
      <c r="F18" s="19"/>
    </row>
    <row r="19" spans="1:6" x14ac:dyDescent="0.25">
      <c r="A19" s="84" t="str">
        <f>BDD!B19</f>
        <v>Jeton(s) de lavage ROUTE DE BOURGES</v>
      </c>
      <c r="B19" s="98">
        <f>SUMIF(Histo!C:C,$A$19,Histo!B:B)</f>
        <v>0</v>
      </c>
      <c r="C19" s="172">
        <v>667</v>
      </c>
      <c r="D19" s="83">
        <f>+C19-B19</f>
        <v>667</v>
      </c>
      <c r="E19" s="166" t="s">
        <v>40</v>
      </c>
      <c r="F19" s="167"/>
    </row>
    <row r="20" spans="1:6" x14ac:dyDescent="0.25">
      <c r="A20" s="84" t="str">
        <f>BDD!B20</f>
        <v>AUBIGNY CTA gallet</v>
      </c>
      <c r="B20" s="164">
        <f>SUMIF(Histo!C:C,$A$20,Histo!B:B)</f>
        <v>0</v>
      </c>
      <c r="C20" s="172">
        <v>119</v>
      </c>
      <c r="D20" s="165">
        <f>+C20-B20</f>
        <v>119</v>
      </c>
      <c r="E20" s="166" t="s">
        <v>40</v>
      </c>
      <c r="F20" s="167"/>
    </row>
    <row r="21" spans="1:6" x14ac:dyDescent="0.25">
      <c r="A21" s="84" t="str">
        <f>BDD!B21</f>
        <v>Parc ASTÉRIX</v>
      </c>
      <c r="B21" s="164">
        <f>SUMIF(Histo!C:C,$A$21,Histo!B:B)</f>
        <v>0</v>
      </c>
      <c r="C21" s="172">
        <v>65</v>
      </c>
      <c r="D21" s="165">
        <f t="shared" ref="D21:D26" si="1">+C21-B21</f>
        <v>65</v>
      </c>
      <c r="E21" s="166" t="s">
        <v>47</v>
      </c>
      <c r="F21" s="167"/>
    </row>
    <row r="22" spans="1:6" x14ac:dyDescent="0.25">
      <c r="A22" s="84" t="str">
        <f>BDD!B22</f>
        <v>Parc Le PAL</v>
      </c>
      <c r="B22" s="164">
        <f>SUMIF(Histo!C:C,$A$22,Histo!B:B)</f>
        <v>0</v>
      </c>
      <c r="C22" s="172">
        <v>106</v>
      </c>
      <c r="D22" s="165">
        <f>+C22-B22</f>
        <v>106</v>
      </c>
      <c r="E22" s="166" t="s">
        <v>47</v>
      </c>
      <c r="F22" s="167"/>
    </row>
    <row r="23" spans="1:6" x14ac:dyDescent="0.25">
      <c r="A23" s="84" t="str">
        <f>BDD!B23</f>
        <v>ZooParc de Beauval adulte</v>
      </c>
      <c r="B23" s="164">
        <f>SUMIF(Histo!C:C,$A$23,Histo!B:B)</f>
        <v>0</v>
      </c>
      <c r="C23" s="172">
        <v>192</v>
      </c>
      <c r="D23" s="165">
        <f t="shared" si="1"/>
        <v>192</v>
      </c>
      <c r="E23" s="166" t="s">
        <v>47</v>
      </c>
      <c r="F23" s="167"/>
    </row>
    <row r="24" spans="1:6" x14ac:dyDescent="0.25">
      <c r="A24" s="84" t="str">
        <f>BDD!B24</f>
        <v>ZooParc de Beauval enfant</v>
      </c>
      <c r="B24" s="164">
        <f>SUMIF(Histo!C:C,$A$24,Histo!B:B)</f>
        <v>0</v>
      </c>
      <c r="C24" s="172">
        <v>70</v>
      </c>
      <c r="D24" s="165">
        <f t="shared" si="1"/>
        <v>70</v>
      </c>
      <c r="E24" s="166" t="s">
        <v>47</v>
      </c>
      <c r="F24" s="167"/>
    </row>
    <row r="25" spans="1:6" x14ac:dyDescent="0.25">
      <c r="A25" s="84" t="str">
        <f>BDD!B25</f>
        <v>Futuroscope adulte</v>
      </c>
      <c r="B25" s="164">
        <f>SUMIF(Histo!C:C,$A$25,Histo!B:B)</f>
        <v>0</v>
      </c>
      <c r="C25" s="172">
        <v>28</v>
      </c>
      <c r="D25" s="165">
        <f>+C25-B25</f>
        <v>28</v>
      </c>
      <c r="E25" s="166" t="s">
        <v>47</v>
      </c>
      <c r="F25" s="167"/>
    </row>
    <row r="26" spans="1:6" x14ac:dyDescent="0.25">
      <c r="A26" s="84" t="str">
        <f>BDD!B26</f>
        <v>Futuroscope enfant</v>
      </c>
      <c r="B26" s="164">
        <f>SUMIF(Histo!C:C,$A$26,Histo!B:B)</f>
        <v>0</v>
      </c>
      <c r="C26" s="172">
        <v>0</v>
      </c>
      <c r="D26" s="165">
        <f t="shared" si="1"/>
        <v>0</v>
      </c>
      <c r="E26" s="166" t="s">
        <v>47</v>
      </c>
      <c r="F26" s="167"/>
    </row>
    <row r="27" spans="1:6" x14ac:dyDescent="0.25">
      <c r="A27" s="84">
        <f>BDD!B27</f>
        <v>0</v>
      </c>
      <c r="B27" s="164">
        <f>SUMIF(Histo!C:C,$A$27,Histo!B:B)</f>
        <v>0</v>
      </c>
      <c r="C27" s="172">
        <v>0</v>
      </c>
      <c r="D27" s="165">
        <f>+C27-B27</f>
        <v>0</v>
      </c>
      <c r="E27" s="166" t="s">
        <v>47</v>
      </c>
      <c r="F27" s="167"/>
    </row>
    <row r="28" spans="1:6" x14ac:dyDescent="0.25">
      <c r="A28" s="84" t="str">
        <f>BDD!B28</f>
        <v>Billetterie par CSE MECACHROME</v>
      </c>
      <c r="B28" s="164">
        <f>SUMIF(Histo!C:C,$A$28,Histo!B:B)</f>
        <v>0</v>
      </c>
      <c r="C28" s="172">
        <v>0</v>
      </c>
      <c r="D28" s="165">
        <f t="shared" ref="D28:D33" si="2">+C28-B28</f>
        <v>0</v>
      </c>
      <c r="E28" s="166" t="s">
        <v>46</v>
      </c>
      <c r="F28" s="167"/>
    </row>
    <row r="29" spans="1:6" x14ac:dyDescent="0.25">
      <c r="A29" s="84" t="str">
        <f>BDD!B29</f>
        <v>Billetterie extérieur</v>
      </c>
      <c r="B29" s="164">
        <f>SUMIF(Histo!C:C,$A$29,Histo!B:B)</f>
        <v>0</v>
      </c>
      <c r="C29" s="172">
        <v>0</v>
      </c>
      <c r="D29" s="165">
        <f t="shared" si="2"/>
        <v>0</v>
      </c>
      <c r="E29" s="166" t="s">
        <v>46</v>
      </c>
      <c r="F29" s="167"/>
    </row>
    <row r="30" spans="1:6" x14ac:dyDescent="0.25">
      <c r="A30" s="84" t="str">
        <f>BDD!B30</f>
        <v>Activités scolaire=&gt;140€</v>
      </c>
      <c r="B30" s="164">
        <f>SUMIF(Histo!C:C,$A$30,Histo!B:B)</f>
        <v>0</v>
      </c>
      <c r="C30" s="172">
        <v>0</v>
      </c>
      <c r="D30" s="165">
        <f t="shared" si="2"/>
        <v>0</v>
      </c>
      <c r="E30" s="166" t="s">
        <v>46</v>
      </c>
      <c r="F30" s="167"/>
    </row>
    <row r="31" spans="1:6" x14ac:dyDescent="0.25">
      <c r="A31" s="84" t="str">
        <f>BDD!B31</f>
        <v>Activités scolaire &lt;140€</v>
      </c>
      <c r="B31" s="164">
        <f>SUMIF(Histo!C:C,$A$31,Histo!B:B)</f>
        <v>0</v>
      </c>
      <c r="C31" s="172">
        <v>0</v>
      </c>
      <c r="D31" s="165">
        <f t="shared" si="2"/>
        <v>0</v>
      </c>
      <c r="E31" s="166" t="s">
        <v>46</v>
      </c>
      <c r="F31" s="167"/>
    </row>
    <row r="32" spans="1:6" x14ac:dyDescent="0.25">
      <c r="A32" s="84" t="str">
        <f>BDD!B32</f>
        <v>Don naissance</v>
      </c>
      <c r="B32" s="164">
        <f>SUMIF(Histo!C:C,$A$32,Histo!B:B)</f>
        <v>0</v>
      </c>
      <c r="C32" s="172">
        <v>4</v>
      </c>
      <c r="D32" s="165">
        <f t="shared" si="2"/>
        <v>4</v>
      </c>
      <c r="E32" s="166" t="s">
        <v>46</v>
      </c>
      <c r="F32" s="167"/>
    </row>
    <row r="33" spans="1:6" x14ac:dyDescent="0.25">
      <c r="A33" s="84" t="str">
        <f>BDD!B33</f>
        <v>Don Mariage/Pacs</v>
      </c>
      <c r="B33" s="164">
        <f>SUMIF(Histo!C:C,$A$33,Histo!B:B)</f>
        <v>0</v>
      </c>
      <c r="C33" s="172">
        <v>3</v>
      </c>
      <c r="D33" s="165">
        <f t="shared" si="2"/>
        <v>3</v>
      </c>
      <c r="E33" s="166" t="s">
        <v>46</v>
      </c>
      <c r="F33" s="167"/>
    </row>
    <row r="34" spans="1:6" x14ac:dyDescent="0.25">
      <c r="A34" s="84" t="str">
        <f>BDD!B34</f>
        <v>Don retraite</v>
      </c>
      <c r="B34" s="164">
        <f>SUMIF(Histo!C:C,$A$34,Histo!B:B)</f>
        <v>0</v>
      </c>
      <c r="C34" s="172">
        <v>3</v>
      </c>
      <c r="D34" s="165">
        <f>+C34-B34</f>
        <v>3</v>
      </c>
      <c r="E34" s="166" t="s">
        <v>46</v>
      </c>
      <c r="F34" s="167"/>
    </row>
    <row r="35" spans="1:6" x14ac:dyDescent="0.25">
      <c r="A35" s="84" t="str">
        <f>BDD!B35</f>
        <v>Liquide de refroidissement</v>
      </c>
      <c r="B35" s="164">
        <f>SUMIF(Histo!C:C,$A$35,Histo!B:B)</f>
        <v>0</v>
      </c>
      <c r="C35" s="172">
        <v>3</v>
      </c>
      <c r="D35" s="165">
        <f>+C35-B35</f>
        <v>3</v>
      </c>
      <c r="E35" s="166" t="s">
        <v>48</v>
      </c>
      <c r="F35" s="167"/>
    </row>
    <row r="36" spans="1:6" x14ac:dyDescent="0.25">
      <c r="A36" s="84" t="str">
        <f>BDD!B36</f>
        <v>Liquide lave-glace</v>
      </c>
      <c r="B36" s="164">
        <f>SUMIF(Histo!C:C,$A$36,Histo!B:B)</f>
        <v>0</v>
      </c>
      <c r="C36" s="172">
        <v>8</v>
      </c>
      <c r="D36" s="165">
        <f t="shared" ref="D36:D54" si="3">+C36-B36</f>
        <v>8</v>
      </c>
      <c r="E36" s="166" t="s">
        <v>48</v>
      </c>
      <c r="F36" s="167"/>
    </row>
    <row r="37" spans="1:6" x14ac:dyDescent="0.25">
      <c r="A37" s="84" t="str">
        <f>BDD!B37</f>
        <v>Dégivrant</v>
      </c>
      <c r="B37" s="164">
        <f>SUMIF(Histo!C:C,$A$37,Histo!B:B)</f>
        <v>0</v>
      </c>
      <c r="C37" s="172">
        <v>8</v>
      </c>
      <c r="D37" s="165">
        <f t="shared" si="3"/>
        <v>8</v>
      </c>
      <c r="E37" s="166" t="s">
        <v>48</v>
      </c>
      <c r="F37" s="167"/>
    </row>
    <row r="38" spans="1:6" x14ac:dyDescent="0.25">
      <c r="A38" s="84">
        <f>BDD!B38</f>
        <v>0</v>
      </c>
      <c r="B38" s="164">
        <f>SUMIF(Histo!C:C,$A$38,Histo!B:B)</f>
        <v>0</v>
      </c>
      <c r="C38" s="172"/>
      <c r="D38" s="165">
        <f t="shared" si="3"/>
        <v>0</v>
      </c>
      <c r="E38" s="166" t="s">
        <v>48</v>
      </c>
      <c r="F38" s="167"/>
    </row>
    <row r="39" spans="1:6" x14ac:dyDescent="0.25">
      <c r="A39" s="84">
        <f>BDD!B39</f>
        <v>0</v>
      </c>
      <c r="B39" s="164">
        <f>SUMIF(Histo!C:C,$A$39,Histo!B:B)</f>
        <v>0</v>
      </c>
      <c r="C39" s="172"/>
      <c r="D39" s="165">
        <f t="shared" si="3"/>
        <v>0</v>
      </c>
      <c r="E39" s="166" t="s">
        <v>48</v>
      </c>
      <c r="F39" s="167"/>
    </row>
    <row r="40" spans="1:6" x14ac:dyDescent="0.25">
      <c r="A40" s="84">
        <f>BDD!B40</f>
        <v>0</v>
      </c>
      <c r="B40" s="164">
        <f>SUMIF(Histo!C:C,$A$40,Histo!B:B)</f>
        <v>0</v>
      </c>
      <c r="C40" s="172"/>
      <c r="D40" s="165">
        <f t="shared" si="3"/>
        <v>0</v>
      </c>
      <c r="E40" s="166" t="s">
        <v>48</v>
      </c>
      <c r="F40" s="167"/>
    </row>
    <row r="41" spans="1:6" x14ac:dyDescent="0.25">
      <c r="A41" s="84">
        <f>BDD!B41</f>
        <v>0</v>
      </c>
      <c r="B41" s="164">
        <f>SUMIF(Histo!C:C,$A$41,Histo!B:B)</f>
        <v>0</v>
      </c>
      <c r="C41" s="172"/>
      <c r="D41" s="165">
        <f t="shared" si="3"/>
        <v>0</v>
      </c>
      <c r="E41" s="166" t="s">
        <v>48</v>
      </c>
      <c r="F41" s="167"/>
    </row>
    <row r="42" spans="1:6" x14ac:dyDescent="0.25">
      <c r="A42" s="84" t="str">
        <f>BDD!B42</f>
        <v>Batterie N°1 45Ah-400A</v>
      </c>
      <c r="B42" s="164">
        <f>SUMIF(Histo!C:C,$A$42,Histo!B:B)</f>
        <v>0</v>
      </c>
      <c r="C42" s="172">
        <v>2</v>
      </c>
      <c r="D42" s="165">
        <f t="shared" si="3"/>
        <v>2</v>
      </c>
      <c r="E42" s="166" t="s">
        <v>49</v>
      </c>
      <c r="F42" s="167"/>
    </row>
    <row r="43" spans="1:6" x14ac:dyDescent="0.25">
      <c r="A43" s="84" t="str">
        <f>BDD!B43</f>
        <v>Batterie N°2 50Ah-420A</v>
      </c>
      <c r="B43" s="164">
        <f>SUMIF(Histo!C:C,$A$43,Histo!B:B)</f>
        <v>0</v>
      </c>
      <c r="C43" s="172">
        <v>4</v>
      </c>
      <c r="D43" s="165">
        <f t="shared" si="3"/>
        <v>4</v>
      </c>
      <c r="E43" s="166" t="s">
        <v>49</v>
      </c>
      <c r="F43" s="167"/>
    </row>
    <row r="44" spans="1:6" x14ac:dyDescent="0.25">
      <c r="A44" s="84" t="str">
        <f>BDD!B44</f>
        <v>Batterie N°3 60Ah-500A</v>
      </c>
      <c r="B44" s="164">
        <f>SUMIF(Histo!C:C,$A$44,Histo!B:B)</f>
        <v>0</v>
      </c>
      <c r="C44" s="172">
        <v>6</v>
      </c>
      <c r="D44" s="165">
        <f t="shared" si="3"/>
        <v>6</v>
      </c>
      <c r="E44" s="166" t="s">
        <v>49</v>
      </c>
      <c r="F44" s="167"/>
    </row>
    <row r="45" spans="1:6" x14ac:dyDescent="0.25">
      <c r="A45" s="84" t="str">
        <f>BDD!B45</f>
        <v>Batterie N°4 70Ah-640A</v>
      </c>
      <c r="B45" s="164">
        <f>SUMIF(Histo!C:C,$A$45,Histo!B:B)</f>
        <v>0</v>
      </c>
      <c r="C45" s="172">
        <v>4</v>
      </c>
      <c r="D45" s="165">
        <f t="shared" si="3"/>
        <v>4</v>
      </c>
      <c r="E45" s="166" t="s">
        <v>49</v>
      </c>
      <c r="F45" s="167"/>
    </row>
    <row r="46" spans="1:6" x14ac:dyDescent="0.25">
      <c r="A46" s="84" t="str">
        <f>BDD!B46</f>
        <v>Batterie N°5 95Ah-800A</v>
      </c>
      <c r="B46" s="164">
        <f>SUMIF(Histo!C:C,$A$46,Histo!B:B)</f>
        <v>0</v>
      </c>
      <c r="C46" s="172">
        <v>1</v>
      </c>
      <c r="D46" s="165">
        <f t="shared" si="3"/>
        <v>1</v>
      </c>
      <c r="E46" s="166" t="s">
        <v>49</v>
      </c>
      <c r="F46" s="167"/>
    </row>
    <row r="47" spans="1:6" x14ac:dyDescent="0.25">
      <c r="A47" s="84">
        <f>BDD!B47</f>
        <v>0</v>
      </c>
      <c r="B47" s="164">
        <f>SUMIF(Histo!C:C,$A$47,Histo!B:B)</f>
        <v>0</v>
      </c>
      <c r="C47" s="172"/>
      <c r="D47" s="165">
        <f t="shared" si="3"/>
        <v>0</v>
      </c>
      <c r="E47" s="166" t="s">
        <v>49</v>
      </c>
      <c r="F47" s="167"/>
    </row>
    <row r="48" spans="1:6" x14ac:dyDescent="0.25">
      <c r="A48" s="84">
        <f>BDD!B48</f>
        <v>0</v>
      </c>
      <c r="B48" s="164">
        <f>SUMIF(Histo!C:C,$A$48,Histo!B:B)</f>
        <v>0</v>
      </c>
      <c r="C48" s="172"/>
      <c r="D48" s="165">
        <f t="shared" si="3"/>
        <v>0</v>
      </c>
      <c r="E48" s="166" t="s">
        <v>49</v>
      </c>
      <c r="F48" s="167"/>
    </row>
    <row r="49" spans="1:6" x14ac:dyDescent="0.25">
      <c r="A49" s="84" t="str">
        <f>BDD!B49</f>
        <v>Essuie-glace 350 mm</v>
      </c>
      <c r="B49" s="164">
        <f>SUMIF(Histo!C:C,$A$49,Histo!B:B)</f>
        <v>0</v>
      </c>
      <c r="C49" s="172">
        <v>3</v>
      </c>
      <c r="D49" s="165">
        <f t="shared" si="3"/>
        <v>3</v>
      </c>
      <c r="E49" s="166" t="s">
        <v>50</v>
      </c>
      <c r="F49" s="167"/>
    </row>
    <row r="50" spans="1:6" x14ac:dyDescent="0.25">
      <c r="A50" s="84" t="str">
        <f>BDD!B50</f>
        <v>Essuie-glace 400 mm</v>
      </c>
      <c r="B50" s="164">
        <f>SUMIF(Histo!C:C,$A$50,Histo!B:B)</f>
        <v>0</v>
      </c>
      <c r="C50" s="172">
        <v>3</v>
      </c>
      <c r="D50" s="165">
        <f t="shared" si="3"/>
        <v>3</v>
      </c>
      <c r="E50" s="166" t="s">
        <v>50</v>
      </c>
      <c r="F50" s="167"/>
    </row>
    <row r="51" spans="1:6" x14ac:dyDescent="0.25">
      <c r="A51" s="84" t="str">
        <f>BDD!B51</f>
        <v>Essuie-glace 430 mm</v>
      </c>
      <c r="B51" s="164">
        <f>SUMIF(Histo!C:C,$A$51,Histo!B:B)</f>
        <v>0</v>
      </c>
      <c r="C51" s="172">
        <v>2</v>
      </c>
      <c r="D51" s="165">
        <f t="shared" si="3"/>
        <v>2</v>
      </c>
      <c r="E51" s="166" t="s">
        <v>50</v>
      </c>
      <c r="F51" s="167"/>
    </row>
    <row r="52" spans="1:6" x14ac:dyDescent="0.25">
      <c r="A52" s="84" t="str">
        <f>BDD!B52</f>
        <v>Essuie-glace 450 mm</v>
      </c>
      <c r="B52" s="164">
        <f>SUMIF(Histo!C:C,$A$52,Histo!B:B)</f>
        <v>0</v>
      </c>
      <c r="C52" s="172">
        <v>3</v>
      </c>
      <c r="D52" s="165">
        <f t="shared" si="3"/>
        <v>3</v>
      </c>
      <c r="E52" s="166" t="s">
        <v>50</v>
      </c>
      <c r="F52" s="167"/>
    </row>
    <row r="53" spans="1:6" x14ac:dyDescent="0.25">
      <c r="A53" s="84" t="str">
        <f>BDD!B53</f>
        <v>Essuie-glace 480 mm</v>
      </c>
      <c r="B53" s="164">
        <f>SUMIF(Histo!C:C,$A$53,Histo!B:B)</f>
        <v>0</v>
      </c>
      <c r="C53" s="172">
        <v>3</v>
      </c>
      <c r="D53" s="165">
        <f t="shared" si="3"/>
        <v>3</v>
      </c>
      <c r="E53" s="166" t="s">
        <v>50</v>
      </c>
      <c r="F53" s="167"/>
    </row>
    <row r="54" spans="1:6" x14ac:dyDescent="0.25">
      <c r="A54" s="84" t="str">
        <f>BDD!B54</f>
        <v>Essuie-glace 500 mm</v>
      </c>
      <c r="B54" s="164">
        <f>SUMIF(Histo!C:C,$A$54,Histo!B:B)</f>
        <v>0</v>
      </c>
      <c r="C54" s="172">
        <v>5</v>
      </c>
      <c r="D54" s="165">
        <f t="shared" si="3"/>
        <v>5</v>
      </c>
      <c r="E54" s="166" t="s">
        <v>50</v>
      </c>
      <c r="F54" s="167"/>
    </row>
    <row r="55" spans="1:6" x14ac:dyDescent="0.25">
      <c r="A55" s="84" t="str">
        <f>BDD!B55</f>
        <v>Essuie-glace 530 mm</v>
      </c>
      <c r="B55" s="164">
        <f>SUMIF(Histo!C:C,$A$55,Histo!B:B)</f>
        <v>0</v>
      </c>
      <c r="C55" s="172">
        <v>3</v>
      </c>
      <c r="D55" s="165">
        <f>+C55-B55</f>
        <v>3</v>
      </c>
      <c r="E55" s="166" t="s">
        <v>50</v>
      </c>
      <c r="F55" s="167"/>
    </row>
    <row r="56" spans="1:6" x14ac:dyDescent="0.25">
      <c r="A56" s="84" t="str">
        <f>BDD!B56</f>
        <v>Essuie-glace 550 mm</v>
      </c>
      <c r="B56" s="164">
        <f>SUMIF(Histo!C:C,$A$56,Histo!B:B)</f>
        <v>0</v>
      </c>
      <c r="C56" s="172">
        <v>4</v>
      </c>
      <c r="D56" s="165">
        <f>+C56-B56</f>
        <v>4</v>
      </c>
      <c r="E56" s="166" t="s">
        <v>50</v>
      </c>
      <c r="F56" s="167"/>
    </row>
    <row r="57" spans="1:6" x14ac:dyDescent="0.25">
      <c r="A57" s="84" t="str">
        <f>BDD!B57</f>
        <v>Essuie-glace 600 mm</v>
      </c>
      <c r="B57" s="164">
        <f>SUMIF(Histo!C:C,$A$57,Histo!B:B)</f>
        <v>0</v>
      </c>
      <c r="C57" s="172">
        <v>3</v>
      </c>
      <c r="D57" s="165">
        <f t="shared" ref="D57:D62" si="4">+C57-B57</f>
        <v>3</v>
      </c>
      <c r="E57" s="166" t="s">
        <v>50</v>
      </c>
      <c r="F57" s="167"/>
    </row>
    <row r="58" spans="1:6" x14ac:dyDescent="0.25">
      <c r="A58" s="84" t="str">
        <f>BDD!B58</f>
        <v>Essuie-glace 650 mm</v>
      </c>
      <c r="B58" s="164">
        <f>SUMIF(Histo!C:C,$A$58,Histo!B:B)</f>
        <v>0</v>
      </c>
      <c r="C58" s="172">
        <v>3</v>
      </c>
      <c r="D58" s="165">
        <f t="shared" si="4"/>
        <v>3</v>
      </c>
      <c r="E58" s="166" t="s">
        <v>50</v>
      </c>
      <c r="F58" s="167"/>
    </row>
    <row r="59" spans="1:6" x14ac:dyDescent="0.25">
      <c r="A59" s="84" t="str">
        <f>BDD!B59</f>
        <v>Essuie-glace 700 mm</v>
      </c>
      <c r="B59" s="164">
        <f>SUMIF(Histo!C:C,$A$59,Histo!B:B)</f>
        <v>0</v>
      </c>
      <c r="C59" s="172">
        <v>3</v>
      </c>
      <c r="D59" s="165">
        <f t="shared" si="4"/>
        <v>3</v>
      </c>
      <c r="E59" s="166" t="s">
        <v>50</v>
      </c>
      <c r="F59" s="167"/>
    </row>
    <row r="60" spans="1:6" x14ac:dyDescent="0.25">
      <c r="A60" s="84" t="str">
        <f>BDD!B60</f>
        <v>Essuie-glace 730 mm</v>
      </c>
      <c r="B60" s="164">
        <f>SUMIF(Histo!C:C,$A$60,Histo!B:B)</f>
        <v>0</v>
      </c>
      <c r="C60" s="172">
        <v>2</v>
      </c>
      <c r="D60" s="165">
        <f t="shared" si="4"/>
        <v>2</v>
      </c>
      <c r="E60" s="166" t="s">
        <v>50</v>
      </c>
      <c r="F60" s="167"/>
    </row>
    <row r="61" spans="1:6" x14ac:dyDescent="0.25">
      <c r="A61" s="84" t="str">
        <f>BDD!B61</f>
        <v>Essuie-glace 750 mm</v>
      </c>
      <c r="B61" s="164">
        <f>SUMIF(Histo!C:C,$A$61,Histo!B:B)</f>
        <v>0</v>
      </c>
      <c r="C61" s="172">
        <v>2</v>
      </c>
      <c r="D61" s="165">
        <f t="shared" si="4"/>
        <v>2</v>
      </c>
      <c r="E61" s="166" t="s">
        <v>50</v>
      </c>
      <c r="F61" s="167"/>
    </row>
    <row r="62" spans="1:6" x14ac:dyDescent="0.25">
      <c r="A62" s="84" t="str">
        <f>BDD!B62</f>
        <v>Essuie-glace 800 mm</v>
      </c>
      <c r="B62" s="164">
        <f>SUMIF(Histo!C:C,$A$62,Histo!B:B)</f>
        <v>0</v>
      </c>
      <c r="C62" s="172">
        <v>2</v>
      </c>
      <c r="D62" s="165">
        <f t="shared" si="4"/>
        <v>2</v>
      </c>
      <c r="E62" s="166" t="s">
        <v>50</v>
      </c>
      <c r="F62" s="167"/>
    </row>
    <row r="63" spans="1:6" x14ac:dyDescent="0.25">
      <c r="A63" s="163">
        <f>BDD!B63</f>
        <v>0</v>
      </c>
      <c r="B63" s="164"/>
      <c r="C63" s="172"/>
      <c r="D63" s="165"/>
      <c r="E63" s="166"/>
      <c r="F63" s="167"/>
    </row>
    <row r="64" spans="1:6" x14ac:dyDescent="0.25">
      <c r="A64" s="84">
        <f>BDD!B64</f>
        <v>0</v>
      </c>
      <c r="B64" s="98"/>
      <c r="C64" s="170"/>
      <c r="D64" s="83"/>
      <c r="E64" s="102"/>
      <c r="F64" s="19"/>
    </row>
    <row r="65" spans="1:6" x14ac:dyDescent="0.25">
      <c r="A65" s="84">
        <f>BDD!B65</f>
        <v>0</v>
      </c>
      <c r="B65" s="98"/>
      <c r="C65" s="170"/>
      <c r="D65" s="83"/>
      <c r="E65" s="102"/>
      <c r="F65" s="19"/>
    </row>
    <row r="66" spans="1:6" x14ac:dyDescent="0.25">
      <c r="A66" s="84">
        <f>BDD!B66</f>
        <v>0</v>
      </c>
      <c r="B66" s="98"/>
      <c r="C66" s="170"/>
      <c r="D66" s="83"/>
      <c r="E66" s="102"/>
      <c r="F66" s="19"/>
    </row>
    <row r="67" spans="1:6" x14ac:dyDescent="0.25">
      <c r="A67" s="84">
        <f>BDD!B67</f>
        <v>0</v>
      </c>
      <c r="B67" s="98"/>
      <c r="C67" s="170"/>
      <c r="D67" s="83"/>
      <c r="E67" s="102"/>
      <c r="F67" s="19"/>
    </row>
    <row r="68" spans="1:6" x14ac:dyDescent="0.25">
      <c r="A68" s="84">
        <f>BDD!B68</f>
        <v>0</v>
      </c>
      <c r="B68" s="98"/>
      <c r="C68" s="170"/>
      <c r="D68" s="83"/>
      <c r="E68" s="102"/>
      <c r="F68" s="19"/>
    </row>
    <row r="69" spans="1:6" x14ac:dyDescent="0.25">
      <c r="A69" s="84">
        <f>BDD!B69</f>
        <v>0</v>
      </c>
      <c r="B69" s="98"/>
      <c r="C69" s="170"/>
      <c r="D69" s="83"/>
      <c r="E69" s="102"/>
      <c r="F69" s="19"/>
    </row>
    <row r="70" spans="1:6" x14ac:dyDescent="0.25">
      <c r="A70" s="84">
        <f>BDD!B70</f>
        <v>0</v>
      </c>
      <c r="B70" s="98"/>
      <c r="C70" s="170"/>
      <c r="D70" s="83"/>
      <c r="E70" s="102"/>
      <c r="F70" s="19"/>
    </row>
    <row r="71" spans="1:6" x14ac:dyDescent="0.25">
      <c r="A71" s="84">
        <f>BDD!B71</f>
        <v>0</v>
      </c>
      <c r="B71" s="98"/>
      <c r="C71" s="170"/>
      <c r="D71" s="83"/>
      <c r="E71" s="102"/>
      <c r="F71" s="19"/>
    </row>
    <row r="72" spans="1:6" x14ac:dyDescent="0.25">
      <c r="A72" s="84">
        <f>BDD!B72</f>
        <v>0</v>
      </c>
      <c r="B72" s="98"/>
      <c r="C72" s="170"/>
      <c r="D72" s="83"/>
      <c r="E72" s="102"/>
      <c r="F72" s="19"/>
    </row>
    <row r="73" spans="1:6" x14ac:dyDescent="0.25">
      <c r="A73" s="84">
        <f>BDD!B73</f>
        <v>0</v>
      </c>
      <c r="B73" s="98"/>
      <c r="C73" s="170"/>
      <c r="D73" s="83"/>
      <c r="E73" s="102"/>
      <c r="F73" s="19"/>
    </row>
    <row r="74" spans="1:6" x14ac:dyDescent="0.25">
      <c r="A74" s="84">
        <f>BDD!B74</f>
        <v>0</v>
      </c>
      <c r="B74" s="98"/>
      <c r="C74" s="170"/>
      <c r="D74" s="83"/>
      <c r="E74" s="102"/>
      <c r="F74" s="19"/>
    </row>
    <row r="75" spans="1:6" x14ac:dyDescent="0.25">
      <c r="A75" s="84">
        <f>BDD!B75</f>
        <v>0</v>
      </c>
      <c r="B75" s="98"/>
      <c r="C75" s="170"/>
      <c r="D75" s="83"/>
      <c r="E75" s="102"/>
      <c r="F75" s="19"/>
    </row>
    <row r="76" spans="1:6" x14ac:dyDescent="0.25">
      <c r="A76" s="84">
        <f>BDD!B76</f>
        <v>0</v>
      </c>
      <c r="B76" s="98"/>
      <c r="C76" s="170"/>
      <c r="D76" s="83"/>
      <c r="E76" s="102"/>
      <c r="F76" s="19"/>
    </row>
    <row r="77" spans="1:6" x14ac:dyDescent="0.25">
      <c r="A77" s="84">
        <f>BDD!B77</f>
        <v>0</v>
      </c>
      <c r="B77" s="98"/>
      <c r="C77" s="170"/>
      <c r="D77" s="83"/>
      <c r="E77" s="102"/>
      <c r="F77" s="19"/>
    </row>
    <row r="78" spans="1:6" x14ac:dyDescent="0.25">
      <c r="A78" s="84">
        <f>BDD!B78</f>
        <v>0</v>
      </c>
      <c r="B78" s="98"/>
      <c r="C78" s="170"/>
      <c r="D78" s="83"/>
      <c r="E78" s="102"/>
      <c r="F78" s="19"/>
    </row>
    <row r="79" spans="1:6" x14ac:dyDescent="0.25">
      <c r="A79" s="84">
        <f>BDD!B79</f>
        <v>0</v>
      </c>
      <c r="B79" s="98"/>
      <c r="C79" s="170"/>
      <c r="D79" s="83"/>
      <c r="E79" s="102"/>
      <c r="F79" s="19"/>
    </row>
    <row r="80" spans="1:6" x14ac:dyDescent="0.25">
      <c r="A80" s="84">
        <f>BDD!B80</f>
        <v>0</v>
      </c>
      <c r="B80" s="98"/>
      <c r="C80" s="170"/>
      <c r="D80" s="83"/>
      <c r="E80" s="102"/>
      <c r="F80" s="19"/>
    </row>
    <row r="81" spans="1:6" x14ac:dyDescent="0.25">
      <c r="A81" s="84">
        <f>BDD!B81</f>
        <v>0</v>
      </c>
      <c r="B81" s="98"/>
      <c r="C81" s="170"/>
      <c r="D81" s="83"/>
      <c r="E81" s="102"/>
      <c r="F81" s="19"/>
    </row>
    <row r="82" spans="1:6" x14ac:dyDescent="0.25">
      <c r="A82" s="84">
        <f>BDD!B82</f>
        <v>0</v>
      </c>
      <c r="B82" s="98"/>
      <c r="C82" s="170"/>
      <c r="D82" s="83"/>
      <c r="E82" s="102"/>
      <c r="F82" s="19"/>
    </row>
    <row r="83" spans="1:6" x14ac:dyDescent="0.25">
      <c r="A83" s="84">
        <f>BDD!B83</f>
        <v>0</v>
      </c>
      <c r="B83" s="98"/>
      <c r="C83" s="170"/>
      <c r="D83" s="83"/>
      <c r="E83" s="102"/>
      <c r="F83" s="19"/>
    </row>
    <row r="84" spans="1:6" x14ac:dyDescent="0.25">
      <c r="A84" s="84">
        <f>BDD!B84</f>
        <v>0</v>
      </c>
      <c r="B84" s="98"/>
      <c r="C84" s="170"/>
      <c r="D84" s="83"/>
      <c r="E84" s="102"/>
      <c r="F84" s="19"/>
    </row>
    <row r="85" spans="1:6" x14ac:dyDescent="0.25">
      <c r="A85" s="84">
        <f>BDD!B85</f>
        <v>0</v>
      </c>
      <c r="B85" s="98"/>
      <c r="C85" s="170"/>
      <c r="D85" s="83"/>
      <c r="E85" s="102"/>
      <c r="F85" s="19"/>
    </row>
    <row r="86" spans="1:6" x14ac:dyDescent="0.25">
      <c r="A86" s="84">
        <f>BDD!B86</f>
        <v>0</v>
      </c>
      <c r="B86" s="98"/>
      <c r="C86" s="170"/>
      <c r="D86" s="83"/>
      <c r="E86" s="102"/>
      <c r="F86" s="19"/>
    </row>
    <row r="87" spans="1:6" x14ac:dyDescent="0.25">
      <c r="A87" s="84">
        <f>BDD!B87</f>
        <v>0</v>
      </c>
      <c r="B87" s="98"/>
      <c r="C87" s="170"/>
      <c r="D87" s="83"/>
      <c r="E87" s="102"/>
      <c r="F87" s="19"/>
    </row>
    <row r="88" spans="1:6" x14ac:dyDescent="0.25">
      <c r="A88" s="84">
        <f>BDD!B88</f>
        <v>0</v>
      </c>
      <c r="B88" s="98"/>
      <c r="C88" s="170"/>
      <c r="D88" s="83"/>
      <c r="E88" s="102"/>
      <c r="F88" s="19"/>
    </row>
    <row r="89" spans="1:6" x14ac:dyDescent="0.25">
      <c r="A89" s="84">
        <f>BDD!B89</f>
        <v>0</v>
      </c>
      <c r="B89" s="98"/>
      <c r="C89" s="170"/>
      <c r="D89" s="83"/>
      <c r="E89" s="102"/>
      <c r="F89" s="19"/>
    </row>
    <row r="90" spans="1:6" x14ac:dyDescent="0.25">
      <c r="A90" s="84">
        <f>BDD!B90</f>
        <v>0</v>
      </c>
      <c r="B90" s="98"/>
      <c r="C90" s="170"/>
      <c r="D90" s="83"/>
      <c r="E90" s="102"/>
      <c r="F90" s="19"/>
    </row>
    <row r="91" spans="1:6" x14ac:dyDescent="0.25">
      <c r="A91" s="84">
        <f>BDD!B91</f>
        <v>0</v>
      </c>
      <c r="B91" s="98"/>
      <c r="C91" s="170"/>
      <c r="D91" s="83"/>
      <c r="E91" s="102"/>
      <c r="F91" s="19"/>
    </row>
    <row r="92" spans="1:6" x14ac:dyDescent="0.25">
      <c r="A92" s="84">
        <f>BDD!B92</f>
        <v>0</v>
      </c>
      <c r="B92" s="98"/>
      <c r="C92" s="170"/>
      <c r="D92" s="83"/>
      <c r="E92" s="102"/>
      <c r="F92" s="19"/>
    </row>
    <row r="93" spans="1:6" x14ac:dyDescent="0.25">
      <c r="A93" s="84">
        <f>BDD!B93</f>
        <v>0</v>
      </c>
      <c r="B93" s="98"/>
      <c r="C93" s="170"/>
      <c r="D93" s="83"/>
      <c r="E93" s="102"/>
      <c r="F93" s="19"/>
    </row>
    <row r="94" spans="1:6" x14ac:dyDescent="0.25">
      <c r="A94" s="84">
        <f>BDD!B94</f>
        <v>0</v>
      </c>
      <c r="B94" s="98"/>
      <c r="C94" s="170"/>
      <c r="D94" s="83"/>
      <c r="E94" s="102"/>
      <c r="F94" s="19"/>
    </row>
    <row r="95" spans="1:6" x14ac:dyDescent="0.25">
      <c r="A95" s="84">
        <f>BDD!B95</f>
        <v>0</v>
      </c>
      <c r="B95" s="98"/>
      <c r="C95" s="170"/>
      <c r="D95" s="83"/>
      <c r="E95" s="102"/>
      <c r="F95" s="19"/>
    </row>
    <row r="96" spans="1:6" x14ac:dyDescent="0.25">
      <c r="A96" s="84">
        <f>BDD!B96</f>
        <v>0</v>
      </c>
      <c r="B96" s="98"/>
      <c r="C96" s="170"/>
      <c r="D96" s="83"/>
      <c r="E96" s="102"/>
      <c r="F96" s="19"/>
    </row>
    <row r="97" spans="1:6" x14ac:dyDescent="0.25">
      <c r="A97" s="84">
        <f>BDD!B97</f>
        <v>0</v>
      </c>
      <c r="B97" s="98"/>
      <c r="C97" s="170"/>
      <c r="D97" s="83"/>
      <c r="E97" s="102"/>
      <c r="F97" s="19"/>
    </row>
    <row r="98" spans="1:6" x14ac:dyDescent="0.25">
      <c r="A98" s="84">
        <f>BDD!B98</f>
        <v>0</v>
      </c>
      <c r="B98" s="98"/>
      <c r="C98" s="170"/>
      <c r="D98" s="83"/>
      <c r="E98" s="102"/>
      <c r="F98" s="19"/>
    </row>
    <row r="99" spans="1:6" x14ac:dyDescent="0.25">
      <c r="A99" s="84" t="str">
        <f>BDD!B99</f>
        <v>Prélèvement Compte Bancaire</v>
      </c>
      <c r="B99" s="98"/>
      <c r="C99" s="170"/>
      <c r="D99" s="83"/>
      <c r="E99" s="102"/>
      <c r="F99" s="19"/>
    </row>
    <row r="100" spans="1:6" x14ac:dyDescent="0.25">
      <c r="A100" s="84" t="str">
        <f>BDD!B100</f>
        <v>Versement Compte Bancaire</v>
      </c>
      <c r="B100" s="98"/>
      <c r="C100" s="170"/>
      <c r="D100" s="83"/>
      <c r="E100" s="102"/>
      <c r="F100" s="19"/>
    </row>
    <row r="101" spans="1:6" x14ac:dyDescent="0.25">
      <c r="A101" s="84" t="str">
        <f>BDD!B101</f>
        <v>Retrait Monnayeur pour CB</v>
      </c>
      <c r="B101" s="98"/>
      <c r="C101" s="170"/>
      <c r="D101" s="83"/>
      <c r="E101" s="102"/>
      <c r="F101" s="19"/>
    </row>
    <row r="102" spans="1:6" x14ac:dyDescent="0.25">
      <c r="A102" s="84" t="str">
        <f>BDD!B102</f>
        <v>Retrait CB pour Monnayeur</v>
      </c>
      <c r="B102" s="98"/>
      <c r="C102" s="170"/>
      <c r="D102" s="83"/>
      <c r="E102" s="102"/>
      <c r="F102" s="19"/>
    </row>
    <row r="103" spans="1:6" x14ac:dyDescent="0.25">
      <c r="A103" s="84" t="str">
        <f>BDD!B103</f>
        <v>Créditer le Compte bancaire</v>
      </c>
      <c r="B103" s="98"/>
      <c r="C103" s="170"/>
      <c r="D103" s="83"/>
      <c r="E103" s="102"/>
      <c r="F103" s="19"/>
    </row>
    <row r="104" spans="1:6" x14ac:dyDescent="0.25">
      <c r="A104" s="84" t="str">
        <f>BDD!B104</f>
        <v>Mouvement d'Espèces Caisse</v>
      </c>
      <c r="B104" s="98"/>
      <c r="C104" s="170"/>
      <c r="D104" s="83"/>
      <c r="E104" s="102"/>
      <c r="F104" s="19"/>
    </row>
    <row r="105" spans="1:6" x14ac:dyDescent="0.25">
      <c r="A105" s="84" t="str">
        <f>BDD!B105</f>
        <v>Vente par CSE MECACHROME</v>
      </c>
      <c r="B105" s="98"/>
      <c r="C105" s="170"/>
      <c r="D105" s="83"/>
      <c r="E105" s="102"/>
      <c r="F105" s="19"/>
    </row>
    <row r="106" spans="1:6" x14ac:dyDescent="0.25">
      <c r="A106" s="84" t="str">
        <f>BDD!B106</f>
        <v>Créditer la Caisse</v>
      </c>
      <c r="B106" s="98"/>
      <c r="C106" s="170"/>
      <c r="D106" s="83"/>
      <c r="E106" s="102"/>
      <c r="F106" s="19"/>
    </row>
    <row r="107" spans="1:6" x14ac:dyDescent="0.25">
      <c r="A107" s="84" t="str">
        <f>BDD!B107</f>
        <v>Retrait d'Espèces Banque</v>
      </c>
      <c r="B107" s="98"/>
      <c r="C107" s="170"/>
      <c r="D107" s="83"/>
      <c r="E107" s="102"/>
      <c r="F107" s="19"/>
    </row>
    <row r="108" spans="1:6" x14ac:dyDescent="0.25">
      <c r="A108" s="84" t="str">
        <f>BDD!B108</f>
        <v>Achat</v>
      </c>
      <c r="B108" s="98"/>
      <c r="C108" s="170"/>
      <c r="D108" s="83"/>
      <c r="E108" s="102"/>
      <c r="F108" s="19"/>
    </row>
    <row r="109" spans="1:6" x14ac:dyDescent="0.25">
      <c r="A109" s="97" t="str">
        <f>BDD!B109</f>
        <v>Remboursement</v>
      </c>
      <c r="B109" s="99"/>
      <c r="C109" s="173"/>
      <c r="D109" s="96"/>
      <c r="E109" s="103"/>
      <c r="F109" s="10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D25A-F438-40B6-A862-1272A931CFC2}">
  <sheetPr codeName="Feuil10"/>
  <dimension ref="A1:G5"/>
  <sheetViews>
    <sheetView workbookViewId="0"/>
  </sheetViews>
  <sheetFormatPr baseColWidth="10" defaultRowHeight="15" x14ac:dyDescent="0.25"/>
  <cols>
    <col min="1" max="1" width="27.7109375" customWidth="1"/>
    <col min="2" max="2" width="10.7109375" style="162" customWidth="1"/>
    <col min="3" max="3" width="22.7109375" customWidth="1"/>
    <col min="4" max="4" width="11.42578125" style="51"/>
    <col min="5" max="5" width="14.85546875" customWidth="1"/>
    <col min="6" max="6" width="16.7109375" customWidth="1"/>
    <col min="10" max="10" width="11.42578125" customWidth="1"/>
    <col min="13" max="13" width="16.42578125" customWidth="1"/>
  </cols>
  <sheetData>
    <row r="1" spans="1:7" x14ac:dyDescent="0.25">
      <c r="A1" t="s">
        <v>148</v>
      </c>
      <c r="B1" s="162" t="s">
        <v>140</v>
      </c>
      <c r="C1" t="s">
        <v>156</v>
      </c>
    </row>
    <row r="2" spans="1:7" x14ac:dyDescent="0.25">
      <c r="A2" t="s">
        <v>149</v>
      </c>
      <c r="B2" s="162" t="s">
        <v>143</v>
      </c>
      <c r="C2" t="s">
        <v>114</v>
      </c>
    </row>
    <row r="3" spans="1:7" x14ac:dyDescent="0.25">
      <c r="A3" t="s">
        <v>150</v>
      </c>
      <c r="B3" s="162" t="s">
        <v>113</v>
      </c>
      <c r="C3" t="s">
        <v>155</v>
      </c>
      <c r="D3" s="51" t="s">
        <v>145</v>
      </c>
      <c r="E3" t="s">
        <v>150</v>
      </c>
      <c r="F3" t="s">
        <v>153</v>
      </c>
      <c r="G3" t="s">
        <v>146</v>
      </c>
    </row>
    <row r="4" spans="1:7" x14ac:dyDescent="0.25">
      <c r="A4" t="s">
        <v>151</v>
      </c>
      <c r="B4" s="162" t="s">
        <v>113</v>
      </c>
      <c r="C4" t="s">
        <v>154</v>
      </c>
      <c r="D4" s="51">
        <v>39534</v>
      </c>
      <c r="E4" t="s">
        <v>151</v>
      </c>
      <c r="F4" t="s">
        <v>134</v>
      </c>
      <c r="G4" t="str">
        <f ca="1">DATEDIF(D4,TODAY(),"y")&amp;" Ans"</f>
        <v>16 Ans</v>
      </c>
    </row>
    <row r="5" spans="1:7" x14ac:dyDescent="0.25">
      <c r="A5" t="s">
        <v>152</v>
      </c>
      <c r="B5" s="162" t="s">
        <v>142</v>
      </c>
      <c r="C5" t="s">
        <v>141</v>
      </c>
    </row>
  </sheetData>
  <sortState xmlns:xlrd2="http://schemas.microsoft.com/office/spreadsheetml/2017/richdata2" ref="A1:I742">
    <sortCondition ref="A9999"/>
  </sortState>
  <phoneticPr fontId="1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E5A71-32C6-4B0C-8DB3-C215580D5EC0}">
  <sheetPr codeName="Feuil11"/>
  <dimension ref="A1:Z373"/>
  <sheetViews>
    <sheetView showGridLines="0" topLeftCell="B1" zoomScale="90" zoomScaleNormal="90" workbookViewId="0">
      <selection activeCell="D25" sqref="D25"/>
    </sheetView>
  </sheetViews>
  <sheetFormatPr baseColWidth="10" defaultRowHeight="15" x14ac:dyDescent="0.25"/>
  <cols>
    <col min="1" max="1" width="5.7109375" style="16" customWidth="1"/>
    <col min="2" max="2" width="22.7109375" style="16" customWidth="1"/>
    <col min="3" max="16384" width="11.42578125" style="16"/>
  </cols>
  <sheetData>
    <row r="1" spans="1:26" ht="27" thickBot="1" x14ac:dyDescent="0.3">
      <c r="A1" s="63"/>
      <c r="B1" s="149" t="s">
        <v>120</v>
      </c>
      <c r="C1" s="137">
        <f ca="1">TODAY()</f>
        <v>45575</v>
      </c>
      <c r="D1" s="112">
        <f ca="1">YEAR(TODAY())</f>
        <v>2024</v>
      </c>
      <c r="E1" s="111">
        <f ca="1">DATE(YEAR(TODAY()),1,1)</f>
        <v>45292</v>
      </c>
      <c r="F1" s="140">
        <f ca="1">MONTH(C1)</f>
        <v>10</v>
      </c>
      <c r="K1" s="187" t="s">
        <v>11</v>
      </c>
      <c r="L1" s="188"/>
      <c r="M1" s="108">
        <f ca="1">SUM($D$4:$D$110)</f>
        <v>0</v>
      </c>
      <c r="N1" s="109">
        <f ca="1">SUM($E$4:$E$110)</f>
        <v>0</v>
      </c>
      <c r="W1" s="149" t="str">
        <f ca="1">IF(F1=1,"janvier",IF(F1=2,"février",IF(F1=3,"mars",IF(F1=4,"avril",IF(F1=5,"mai",IF(F1=6,"juin",IF(F1=7,"juillet",IF(F1=8,"août",IF(F1=9,"septembre",IF(F1=10,"octobre",IF(F1=11,"novembre",IF(F1=12,"décembre"," "))))))))))))</f>
        <v>octobre</v>
      </c>
    </row>
    <row r="2" spans="1:26" ht="15.75" thickBot="1" x14ac:dyDescent="0.3">
      <c r="B2" s="141"/>
      <c r="C2" s="156"/>
      <c r="D2" s="111"/>
      <c r="E2" s="111"/>
      <c r="W2" s="148">
        <f ca="1">IF(COUNTIF(X2:X373,$W$1)&gt;=ROW()-1,INDEX(X2:Y373,MATCH($W$1&amp;ROW()-1,Z2:Z373,0),2))</f>
        <v>45566</v>
      </c>
      <c r="X2" s="145" t="s">
        <v>121</v>
      </c>
      <c r="Y2" s="142">
        <f ca="1">DATE(D1,1,1)</f>
        <v>45292</v>
      </c>
      <c r="Z2" s="150" t="str">
        <f>IF(X2="","",X2&amp;COUNTIF(X2:$X$2,X2))</f>
        <v>janvier1</v>
      </c>
    </row>
    <row r="3" spans="1:26" ht="15.75" thickBot="1" x14ac:dyDescent="0.3">
      <c r="B3" s="184" t="s">
        <v>0</v>
      </c>
      <c r="C3" s="186"/>
      <c r="D3" s="112" t="s">
        <v>9</v>
      </c>
      <c r="E3" s="112" t="s">
        <v>10</v>
      </c>
      <c r="W3" s="146">
        <f t="shared" ref="W3:W32" ca="1" si="0">IF(COUNTIF(X3:X374,$W$1)&gt;=ROW()-1,INDEX(X3:Y374,MATCH($W$1&amp;ROW()-1,Z3:Z374,0),2))</f>
        <v>45567</v>
      </c>
      <c r="X3" s="145" t="s">
        <v>121</v>
      </c>
      <c r="Y3" s="142">
        <f ca="1">IF(EOMONTH(Y2,0)&gt;Y2,Y2+1,"")</f>
        <v>45293</v>
      </c>
      <c r="Z3" s="150" t="str">
        <f>IF(X3="","",X3&amp;COUNTIF(X$2:$X3,X3))</f>
        <v>janvier2</v>
      </c>
    </row>
    <row r="4" spans="1:26" x14ac:dyDescent="0.25">
      <c r="B4" s="113" t="str">
        <f>IF(ISBLANK(BDD!B2), "",BDD!B2)</f>
        <v>Sancerre Sardelles BLANC</v>
      </c>
      <c r="C4" s="114"/>
      <c r="D4" s="157" t="str">
        <f t="shared" ref="D4:D35" ca="1" si="1">IFERROR(SUMIFS(Quantitee,Lesdates,"&gt;="&amp;$C$1,Lesdates,"&lt;="&amp;$C$1,Articles,$B4),"")</f>
        <v/>
      </c>
      <c r="E4" s="153" t="str">
        <f t="shared" ref="E4:E20" ca="1" si="2">IFERROR(SUMIFS(Total,Lesdates,"&gt;="&amp;$W$2,Lesdates,"&lt;="&amp;$W$34,Articles,$B4),"")</f>
        <v/>
      </c>
      <c r="W4" s="146">
        <f t="shared" ca="1" si="0"/>
        <v>45568</v>
      </c>
      <c r="X4" s="145" t="s">
        <v>121</v>
      </c>
      <c r="Y4" s="142">
        <f t="shared" ref="Y4:Y32" ca="1" si="3">IF(EOMONTH(Y3,0)&gt;Y3,Y3+1,"")</f>
        <v>45294</v>
      </c>
      <c r="Z4" s="150" t="str">
        <f>IF(X4="","",X4&amp;COUNTIF(X$2:$X4,X4))</f>
        <v>janvier3</v>
      </c>
    </row>
    <row r="5" spans="1:26" x14ac:dyDescent="0.25">
      <c r="B5" s="117" t="str">
        <f>BDD!B3</f>
        <v>Sancerre Sardelles ROSÉ</v>
      </c>
      <c r="C5" s="118"/>
      <c r="D5" s="119" t="str">
        <f t="shared" ca="1" si="1"/>
        <v/>
      </c>
      <c r="E5" s="154" t="str">
        <f t="shared" ca="1" si="2"/>
        <v/>
      </c>
      <c r="W5" s="146">
        <f t="shared" ca="1" si="0"/>
        <v>45569</v>
      </c>
      <c r="X5" s="145" t="s">
        <v>121</v>
      </c>
      <c r="Y5" s="142">
        <f t="shared" ca="1" si="3"/>
        <v>45295</v>
      </c>
      <c r="Z5" s="150" t="str">
        <f>IF(X5="","",X5&amp;COUNTIF(X$2:$X5,X5))</f>
        <v>janvier4</v>
      </c>
    </row>
    <row r="6" spans="1:26" x14ac:dyDescent="0.25">
      <c r="B6" s="117" t="str">
        <f>BDD!B4</f>
        <v>Sancerre Sardelles ROUGE</v>
      </c>
      <c r="C6" s="118"/>
      <c r="D6" s="119" t="str">
        <f t="shared" ca="1" si="1"/>
        <v/>
      </c>
      <c r="E6" s="154" t="str">
        <f t="shared" ca="1" si="2"/>
        <v/>
      </c>
      <c r="W6" s="146">
        <f t="shared" ca="1" si="0"/>
        <v>45570</v>
      </c>
      <c r="X6" s="145" t="s">
        <v>121</v>
      </c>
      <c r="Y6" s="142">
        <f t="shared" ca="1" si="3"/>
        <v>45296</v>
      </c>
      <c r="Z6" s="150" t="str">
        <f>IF(X6="","",X6&amp;COUNTIF(X$2:$X6,X6))</f>
        <v>janvier5</v>
      </c>
    </row>
    <row r="7" spans="1:26" x14ac:dyDescent="0.25">
      <c r="B7" s="117" t="str">
        <f>BDD!B5</f>
        <v>Menetou Assadet BLANC</v>
      </c>
      <c r="C7" s="118"/>
      <c r="D7" s="119" t="str">
        <f t="shared" ca="1" si="1"/>
        <v/>
      </c>
      <c r="E7" s="154" t="str">
        <f t="shared" ca="1" si="2"/>
        <v/>
      </c>
      <c r="W7" s="146">
        <f t="shared" ca="1" si="0"/>
        <v>45571</v>
      </c>
      <c r="X7" s="145" t="s">
        <v>121</v>
      </c>
      <c r="Y7" s="142">
        <f t="shared" ca="1" si="3"/>
        <v>45297</v>
      </c>
      <c r="Z7" s="150" t="str">
        <f>IF(X7="","",X7&amp;COUNTIF(X$2:$X7,X7))</f>
        <v>janvier6</v>
      </c>
    </row>
    <row r="8" spans="1:26" x14ac:dyDescent="0.25">
      <c r="B8" s="117" t="str">
        <f>BDD!B6</f>
        <v>Menetou Assadet ROUGE</v>
      </c>
      <c r="C8" s="118"/>
      <c r="D8" s="119" t="str">
        <f t="shared" ca="1" si="1"/>
        <v/>
      </c>
      <c r="E8" s="154" t="str">
        <f t="shared" ca="1" si="2"/>
        <v/>
      </c>
      <c r="W8" s="146">
        <f t="shared" ca="1" si="0"/>
        <v>45572</v>
      </c>
      <c r="X8" s="145" t="s">
        <v>121</v>
      </c>
      <c r="Y8" s="142">
        <f t="shared" ca="1" si="3"/>
        <v>45298</v>
      </c>
      <c r="Z8" s="150" t="str">
        <f>IF(X8="","",X8&amp;COUNTIF(X$2:$X8,X8))</f>
        <v>janvier7</v>
      </c>
    </row>
    <row r="9" spans="1:26" x14ac:dyDescent="0.25">
      <c r="B9" s="117" t="str">
        <f>BDD!B7</f>
        <v>Bordeaux Peneture</v>
      </c>
      <c r="C9" s="118"/>
      <c r="D9" s="119" t="str">
        <f t="shared" ca="1" si="1"/>
        <v/>
      </c>
      <c r="E9" s="154" t="str">
        <f t="shared" ca="1" si="2"/>
        <v/>
      </c>
      <c r="W9" s="146">
        <f t="shared" ca="1" si="0"/>
        <v>45573</v>
      </c>
      <c r="X9" s="145" t="s">
        <v>121</v>
      </c>
      <c r="Y9" s="142">
        <f t="shared" ca="1" si="3"/>
        <v>45299</v>
      </c>
      <c r="Z9" s="150" t="str">
        <f>IF(X9="","",X9&amp;COUNTIF(X$2:$X9,X9))</f>
        <v>janvier8</v>
      </c>
    </row>
    <row r="10" spans="1:26" x14ac:dyDescent="0.25">
      <c r="B10" s="117" t="str">
        <f>BDD!B8</f>
        <v>Quincy</v>
      </c>
      <c r="C10" s="118"/>
      <c r="D10" s="119" t="str">
        <f t="shared" ca="1" si="1"/>
        <v/>
      </c>
      <c r="E10" s="154" t="str">
        <f t="shared" ca="1" si="2"/>
        <v/>
      </c>
      <c r="W10" s="146">
        <f t="shared" ca="1" si="0"/>
        <v>45574</v>
      </c>
      <c r="X10" s="145" t="s">
        <v>121</v>
      </c>
      <c r="Y10" s="142">
        <f t="shared" ca="1" si="3"/>
        <v>45300</v>
      </c>
      <c r="Z10" s="150" t="str">
        <f>IF(X10="","",X10&amp;COUNTIF(X$2:$X10,X10))</f>
        <v>janvier9</v>
      </c>
    </row>
    <row r="11" spans="1:26" x14ac:dyDescent="0.25">
      <c r="B11" s="117" t="str">
        <f>BDD!B9</f>
        <v>Tariquet</v>
      </c>
      <c r="C11" s="118"/>
      <c r="D11" s="119" t="str">
        <f t="shared" ca="1" si="1"/>
        <v/>
      </c>
      <c r="E11" s="154" t="str">
        <f t="shared" ca="1" si="2"/>
        <v/>
      </c>
      <c r="W11" s="146">
        <f t="shared" ca="1" si="0"/>
        <v>45575</v>
      </c>
      <c r="X11" s="145" t="s">
        <v>121</v>
      </c>
      <c r="Y11" s="142">
        <f t="shared" ca="1" si="3"/>
        <v>45301</v>
      </c>
      <c r="Z11" s="150" t="str">
        <f>IF(X11="","",X11&amp;COUNTIF(X$2:$X11,X11))</f>
        <v>janvier10</v>
      </c>
    </row>
    <row r="12" spans="1:26" x14ac:dyDescent="0.25">
      <c r="B12" s="117" t="str">
        <f>BDD!B10</f>
        <v>Vouvray Pétillant BLANC</v>
      </c>
      <c r="C12" s="121"/>
      <c r="D12" s="119" t="str">
        <f t="shared" ca="1" si="1"/>
        <v/>
      </c>
      <c r="E12" s="154" t="str">
        <f t="shared" ca="1" si="2"/>
        <v/>
      </c>
      <c r="W12" s="146">
        <f t="shared" ca="1" si="0"/>
        <v>45576</v>
      </c>
      <c r="X12" s="145" t="s">
        <v>121</v>
      </c>
      <c r="Y12" s="142">
        <f t="shared" ca="1" si="3"/>
        <v>45302</v>
      </c>
      <c r="Z12" s="150" t="str">
        <f>IF(X12="","",X12&amp;COUNTIF(X$2:$X12,X12))</f>
        <v>janvier11</v>
      </c>
    </row>
    <row r="13" spans="1:26" x14ac:dyDescent="0.25">
      <c r="B13" s="117" t="str">
        <f>BDD!B11</f>
        <v>Vouvray Pétillant ROSÉ</v>
      </c>
      <c r="C13" s="121"/>
      <c r="D13" s="119" t="str">
        <f t="shared" ca="1" si="1"/>
        <v/>
      </c>
      <c r="E13" s="154" t="str">
        <f t="shared" ca="1" si="2"/>
        <v/>
      </c>
      <c r="W13" s="146">
        <f t="shared" ca="1" si="0"/>
        <v>45577</v>
      </c>
      <c r="X13" s="145" t="s">
        <v>121</v>
      </c>
      <c r="Y13" s="142">
        <f t="shared" ca="1" si="3"/>
        <v>45303</v>
      </c>
      <c r="Z13" s="150" t="str">
        <f>IF(X13="","",X13&amp;COUNTIF(X$2:$X13,X13))</f>
        <v>janvier12</v>
      </c>
    </row>
    <row r="14" spans="1:26" x14ac:dyDescent="0.25">
      <c r="B14" s="117" t="str">
        <f>BDD!B12</f>
        <v>Champagne Beaufort</v>
      </c>
      <c r="C14" s="121"/>
      <c r="D14" s="119" t="str">
        <f t="shared" ca="1" si="1"/>
        <v/>
      </c>
      <c r="E14" s="154" t="str">
        <f t="shared" ca="1" si="2"/>
        <v/>
      </c>
      <c r="W14" s="146">
        <f t="shared" ca="1" si="0"/>
        <v>45578</v>
      </c>
      <c r="X14" s="145" t="s">
        <v>121</v>
      </c>
      <c r="Y14" s="142">
        <f t="shared" ca="1" si="3"/>
        <v>45304</v>
      </c>
      <c r="Z14" s="150" t="str">
        <f>IF(X14="","",X14&amp;COUNTIF(X$2:$X14,X14))</f>
        <v>janvier13</v>
      </c>
    </row>
    <row r="15" spans="1:26" x14ac:dyDescent="0.25">
      <c r="B15" s="117" t="str">
        <f>BDD!B13</f>
        <v>Cinéma CGR</v>
      </c>
      <c r="C15" s="121"/>
      <c r="D15" s="119" t="str">
        <f t="shared" ca="1" si="1"/>
        <v/>
      </c>
      <c r="E15" s="154" t="str">
        <f t="shared" ca="1" si="2"/>
        <v/>
      </c>
      <c r="W15" s="146">
        <f t="shared" ca="1" si="0"/>
        <v>45579</v>
      </c>
      <c r="X15" s="145" t="s">
        <v>121</v>
      </c>
      <c r="Y15" s="142">
        <f t="shared" ca="1" si="3"/>
        <v>45305</v>
      </c>
      <c r="Z15" s="150" t="str">
        <f>IF(X15="","",X15&amp;COUNTIF(X$2:$X15,X15))</f>
        <v>janvier14</v>
      </c>
    </row>
    <row r="16" spans="1:26" x14ac:dyDescent="0.25">
      <c r="B16" s="117" t="str">
        <f>BDD!B14</f>
        <v>Cinéma L'Argentis</v>
      </c>
      <c r="C16" s="121"/>
      <c r="D16" s="119" t="str">
        <f t="shared" ca="1" si="1"/>
        <v/>
      </c>
      <c r="E16" s="154" t="str">
        <f t="shared" ca="1" si="2"/>
        <v/>
      </c>
      <c r="W16" s="146">
        <f t="shared" ca="1" si="0"/>
        <v>45580</v>
      </c>
      <c r="X16" s="145" t="s">
        <v>121</v>
      </c>
      <c r="Y16" s="142">
        <f t="shared" ca="1" si="3"/>
        <v>45306</v>
      </c>
      <c r="Z16" s="150" t="str">
        <f>IF(X16="","",X16&amp;COUNTIF(X$2:$X16,X16))</f>
        <v>janvier15</v>
      </c>
    </row>
    <row r="17" spans="2:26" x14ac:dyDescent="0.25">
      <c r="B17" s="117" t="str">
        <f>BDD!B15</f>
        <v>Atomic Cinéma</v>
      </c>
      <c r="C17" s="121"/>
      <c r="D17" s="119" t="str">
        <f t="shared" ca="1" si="1"/>
        <v/>
      </c>
      <c r="E17" s="154" t="str">
        <f t="shared" ca="1" si="2"/>
        <v/>
      </c>
      <c r="W17" s="146">
        <f t="shared" ca="1" si="0"/>
        <v>45581</v>
      </c>
      <c r="X17" s="145" t="s">
        <v>121</v>
      </c>
      <c r="Y17" s="142">
        <f t="shared" ca="1" si="3"/>
        <v>45307</v>
      </c>
      <c r="Z17" s="150" t="str">
        <f>IF(X17="","",X17&amp;COUNTIF(X$2:$X17,X17))</f>
        <v>janvier16</v>
      </c>
    </row>
    <row r="18" spans="2:26" x14ac:dyDescent="0.25">
      <c r="B18" s="117" t="str">
        <f>BDD!B16</f>
        <v>AUBIGNY Piscine adulte</v>
      </c>
      <c r="C18" s="121"/>
      <c r="D18" s="119" t="str">
        <f t="shared" ca="1" si="1"/>
        <v/>
      </c>
      <c r="E18" s="154" t="str">
        <f t="shared" ca="1" si="2"/>
        <v/>
      </c>
      <c r="W18" s="146">
        <f t="shared" ca="1" si="0"/>
        <v>45582</v>
      </c>
      <c r="X18" s="145" t="s">
        <v>121</v>
      </c>
      <c r="Y18" s="142">
        <f t="shared" ca="1" si="3"/>
        <v>45308</v>
      </c>
      <c r="Z18" s="150" t="str">
        <f>IF(X18="","",X18&amp;COUNTIF(X$2:$X18,X18))</f>
        <v>janvier17</v>
      </c>
    </row>
    <row r="19" spans="2:26" x14ac:dyDescent="0.25">
      <c r="B19" s="117" t="str">
        <f>BDD!B17</f>
        <v>AUBIGNY Piscine enfant</v>
      </c>
      <c r="C19" s="121"/>
      <c r="D19" s="119" t="str">
        <f t="shared" ca="1" si="1"/>
        <v/>
      </c>
      <c r="E19" s="154" t="str">
        <f t="shared" ca="1" si="2"/>
        <v/>
      </c>
      <c r="W19" s="146">
        <f t="shared" ca="1" si="0"/>
        <v>45583</v>
      </c>
      <c r="X19" s="145" t="s">
        <v>121</v>
      </c>
      <c r="Y19" s="142">
        <f t="shared" ca="1" si="3"/>
        <v>45309</v>
      </c>
      <c r="Z19" s="150" t="str">
        <f>IF(X19="","",X19&amp;COUNTIF(X$2:$X19,X19))</f>
        <v>janvier18</v>
      </c>
    </row>
    <row r="20" spans="2:26" x14ac:dyDescent="0.25">
      <c r="B20" s="117" t="str">
        <f>BDD!B18</f>
        <v>Jeton(s) de lavage INTERMARCHÉ</v>
      </c>
      <c r="C20" s="121"/>
      <c r="D20" s="119" t="str">
        <f t="shared" ca="1" si="1"/>
        <v/>
      </c>
      <c r="E20" s="154" t="str">
        <f t="shared" ca="1" si="2"/>
        <v/>
      </c>
      <c r="W20" s="146">
        <f t="shared" ca="1" si="0"/>
        <v>45584</v>
      </c>
      <c r="X20" s="145" t="s">
        <v>121</v>
      </c>
      <c r="Y20" s="142">
        <f t="shared" ca="1" si="3"/>
        <v>45310</v>
      </c>
      <c r="Z20" s="150" t="str">
        <f>IF(X20="","",X20&amp;COUNTIF(X$2:$X20,X20))</f>
        <v>janvier19</v>
      </c>
    </row>
    <row r="21" spans="2:26" x14ac:dyDescent="0.25">
      <c r="B21" s="117" t="str">
        <f>BDD!B19</f>
        <v>Jeton(s) de lavage ROUTE DE BOURGES</v>
      </c>
      <c r="C21" s="121"/>
      <c r="D21" s="119" t="str">
        <f t="shared" ca="1" si="1"/>
        <v/>
      </c>
      <c r="E21" s="154" t="str">
        <f t="shared" ref="E21:E63" ca="1" si="4">IFERROR(SUMIFS(Total,Lesdates,"&gt;="&amp;$W$2,Lesdates,"&lt;="&amp;$W$34,Articles,$B22),"")</f>
        <v/>
      </c>
      <c r="W21" s="146">
        <f t="shared" ca="1" si="0"/>
        <v>45585</v>
      </c>
      <c r="X21" s="145" t="s">
        <v>121</v>
      </c>
      <c r="Y21" s="142">
        <f t="shared" ca="1" si="3"/>
        <v>45311</v>
      </c>
      <c r="Z21" s="150" t="str">
        <f>IF(X21="","",X21&amp;COUNTIF(X$2:$X21,X21))</f>
        <v>janvier20</v>
      </c>
    </row>
    <row r="22" spans="2:26" x14ac:dyDescent="0.25">
      <c r="B22" s="117" t="str">
        <f>BDD!B20</f>
        <v>AUBIGNY CTA gallet</v>
      </c>
      <c r="C22" s="121"/>
      <c r="D22" s="119" t="str">
        <f t="shared" ca="1" si="1"/>
        <v/>
      </c>
      <c r="E22" s="154" t="str">
        <f t="shared" ca="1" si="4"/>
        <v/>
      </c>
      <c r="W22" s="146">
        <f t="shared" ca="1" si="0"/>
        <v>45586</v>
      </c>
      <c r="X22" s="145" t="s">
        <v>121</v>
      </c>
      <c r="Y22" s="142">
        <f t="shared" ca="1" si="3"/>
        <v>45312</v>
      </c>
      <c r="Z22" s="150" t="str">
        <f>IF(X22="","",X22&amp;COUNTIF(X$2:$X22,X22))</f>
        <v>janvier21</v>
      </c>
    </row>
    <row r="23" spans="2:26" x14ac:dyDescent="0.25">
      <c r="B23" s="117" t="str">
        <f>BDD!B21</f>
        <v>Parc ASTÉRIX</v>
      </c>
      <c r="C23" s="121"/>
      <c r="D23" s="119" t="str">
        <f t="shared" ca="1" si="1"/>
        <v/>
      </c>
      <c r="E23" s="154" t="str">
        <f t="shared" ca="1" si="4"/>
        <v/>
      </c>
      <c r="W23" s="146">
        <f t="shared" ca="1" si="0"/>
        <v>45587</v>
      </c>
      <c r="X23" s="145" t="s">
        <v>121</v>
      </c>
      <c r="Y23" s="142">
        <f t="shared" ca="1" si="3"/>
        <v>45313</v>
      </c>
      <c r="Z23" s="150" t="str">
        <f>IF(X23="","",X23&amp;COUNTIF(X$2:$X23,X23))</f>
        <v>janvier22</v>
      </c>
    </row>
    <row r="24" spans="2:26" x14ac:dyDescent="0.25">
      <c r="B24" s="117" t="str">
        <f>BDD!B22</f>
        <v>Parc Le PAL</v>
      </c>
      <c r="C24" s="121"/>
      <c r="D24" s="119" t="str">
        <f t="shared" ca="1" si="1"/>
        <v/>
      </c>
      <c r="E24" s="154" t="str">
        <f t="shared" ca="1" si="4"/>
        <v/>
      </c>
      <c r="W24" s="146">
        <f t="shared" ca="1" si="0"/>
        <v>45588</v>
      </c>
      <c r="X24" s="145" t="s">
        <v>121</v>
      </c>
      <c r="Y24" s="142">
        <f t="shared" ca="1" si="3"/>
        <v>45314</v>
      </c>
      <c r="Z24" s="150" t="str">
        <f>IF(X24="","",X24&amp;COUNTIF(X$2:$X24,X24))</f>
        <v>janvier23</v>
      </c>
    </row>
    <row r="25" spans="2:26" x14ac:dyDescent="0.25">
      <c r="B25" s="117" t="str">
        <f>BDD!B23</f>
        <v>ZooParc de Beauval adulte</v>
      </c>
      <c r="C25" s="121"/>
      <c r="D25" s="119" t="str">
        <f t="shared" ca="1" si="1"/>
        <v/>
      </c>
      <c r="E25" s="154" t="str">
        <f t="shared" ca="1" si="4"/>
        <v/>
      </c>
      <c r="W25" s="146">
        <f t="shared" ca="1" si="0"/>
        <v>45589</v>
      </c>
      <c r="X25" s="145" t="s">
        <v>121</v>
      </c>
      <c r="Y25" s="142">
        <f t="shared" ca="1" si="3"/>
        <v>45315</v>
      </c>
      <c r="Z25" s="150" t="str">
        <f>IF(X25="","",X25&amp;COUNTIF(X$2:$X25,X25))</f>
        <v>janvier24</v>
      </c>
    </row>
    <row r="26" spans="2:26" x14ac:dyDescent="0.25">
      <c r="B26" s="117" t="str">
        <f>BDD!B24</f>
        <v>ZooParc de Beauval enfant</v>
      </c>
      <c r="C26" s="121"/>
      <c r="D26" s="119" t="str">
        <f t="shared" ca="1" si="1"/>
        <v/>
      </c>
      <c r="E26" s="154" t="str">
        <f t="shared" ca="1" si="4"/>
        <v/>
      </c>
      <c r="W26" s="146">
        <f t="shared" ca="1" si="0"/>
        <v>45590</v>
      </c>
      <c r="X26" s="145" t="s">
        <v>121</v>
      </c>
      <c r="Y26" s="142">
        <f t="shared" ca="1" si="3"/>
        <v>45316</v>
      </c>
      <c r="Z26" s="150" t="str">
        <f>IF(X26="","",X26&amp;COUNTIF(X$2:$X26,X26))</f>
        <v>janvier25</v>
      </c>
    </row>
    <row r="27" spans="2:26" x14ac:dyDescent="0.25">
      <c r="B27" s="117" t="str">
        <f>BDD!B25</f>
        <v>Futuroscope adulte</v>
      </c>
      <c r="C27" s="121"/>
      <c r="D27" s="119" t="str">
        <f t="shared" ca="1" si="1"/>
        <v/>
      </c>
      <c r="E27" s="154" t="str">
        <f t="shared" ca="1" si="4"/>
        <v/>
      </c>
      <c r="W27" s="146">
        <f t="shared" ca="1" si="0"/>
        <v>45591</v>
      </c>
      <c r="X27" s="145" t="s">
        <v>121</v>
      </c>
      <c r="Y27" s="142">
        <f t="shared" ca="1" si="3"/>
        <v>45317</v>
      </c>
      <c r="Z27" s="150" t="str">
        <f>IF(X27="","",X27&amp;COUNTIF(X$2:$X27,X27))</f>
        <v>janvier26</v>
      </c>
    </row>
    <row r="28" spans="2:26" x14ac:dyDescent="0.25">
      <c r="B28" s="117" t="str">
        <f>BDD!B26</f>
        <v>Futuroscope enfant</v>
      </c>
      <c r="C28" s="121"/>
      <c r="D28" s="119" t="str">
        <f t="shared" ca="1" si="1"/>
        <v/>
      </c>
      <c r="E28" s="154" t="str">
        <f t="shared" ca="1" si="4"/>
        <v/>
      </c>
      <c r="W28" s="146">
        <f t="shared" ca="1" si="0"/>
        <v>45592</v>
      </c>
      <c r="X28" s="145" t="s">
        <v>121</v>
      </c>
      <c r="Y28" s="142">
        <f t="shared" ca="1" si="3"/>
        <v>45318</v>
      </c>
      <c r="Z28" s="150" t="str">
        <f>IF(X28="","",X28&amp;COUNTIF(X$2:$X28,X28))</f>
        <v>janvier27</v>
      </c>
    </row>
    <row r="29" spans="2:26" x14ac:dyDescent="0.25">
      <c r="B29" s="117"/>
      <c r="C29" s="121"/>
      <c r="D29" s="119" t="str">
        <f t="shared" ca="1" si="1"/>
        <v/>
      </c>
      <c r="E29" s="154" t="str">
        <f t="shared" ca="1" si="4"/>
        <v/>
      </c>
      <c r="W29" s="146">
        <f t="shared" ca="1" si="0"/>
        <v>45593</v>
      </c>
      <c r="X29" s="145" t="s">
        <v>121</v>
      </c>
      <c r="Y29" s="142">
        <f t="shared" ca="1" si="3"/>
        <v>45319</v>
      </c>
      <c r="Z29" s="150" t="str">
        <f>IF(X29="","",X29&amp;COUNTIF(X$2:$X29,X29))</f>
        <v>janvier28</v>
      </c>
    </row>
    <row r="30" spans="2:26" x14ac:dyDescent="0.25">
      <c r="B30" s="117" t="str">
        <f>BDD!B28</f>
        <v>Billetterie par CSE MECACHROME</v>
      </c>
      <c r="C30" s="121"/>
      <c r="D30" s="119" t="str">
        <f t="shared" ca="1" si="1"/>
        <v/>
      </c>
      <c r="E30" s="154" t="str">
        <f t="shared" ca="1" si="4"/>
        <v/>
      </c>
      <c r="W30" s="146">
        <f t="shared" ca="1" si="0"/>
        <v>45594</v>
      </c>
      <c r="X30" s="145" t="s">
        <v>121</v>
      </c>
      <c r="Y30" s="142">
        <f t="shared" ca="1" si="3"/>
        <v>45320</v>
      </c>
      <c r="Z30" s="150" t="str">
        <f>IF(X30="","",X30&amp;COUNTIF(X$2:$X30,X30))</f>
        <v>janvier29</v>
      </c>
    </row>
    <row r="31" spans="2:26" x14ac:dyDescent="0.25">
      <c r="B31" s="117" t="str">
        <f>BDD!B29</f>
        <v>Billetterie extérieur</v>
      </c>
      <c r="C31" s="121"/>
      <c r="D31" s="119" t="str">
        <f t="shared" ca="1" si="1"/>
        <v/>
      </c>
      <c r="E31" s="154" t="str">
        <f t="shared" ca="1" si="4"/>
        <v/>
      </c>
      <c r="W31" s="146">
        <f t="shared" ca="1" si="0"/>
        <v>45595</v>
      </c>
      <c r="X31" s="145" t="s">
        <v>121</v>
      </c>
      <c r="Y31" s="142">
        <f ca="1">IF(EOMONTH(Y30,0)&gt;Y30,Y30+1,"")</f>
        <v>45321</v>
      </c>
      <c r="Z31" s="150" t="str">
        <f>IF(X31="","",X31&amp;COUNTIF(X$2:$X31,X31))</f>
        <v>janvier30</v>
      </c>
    </row>
    <row r="32" spans="2:26" ht="15.75" thickBot="1" x14ac:dyDescent="0.3">
      <c r="B32" s="117" t="str">
        <f>BDD!B30</f>
        <v>Activités scolaire=&gt;140€</v>
      </c>
      <c r="C32" s="121"/>
      <c r="D32" s="119" t="str">
        <f t="shared" ca="1" si="1"/>
        <v/>
      </c>
      <c r="E32" s="154" t="str">
        <f t="shared" ca="1" si="4"/>
        <v/>
      </c>
      <c r="W32" s="147">
        <f t="shared" ca="1" si="0"/>
        <v>45596</v>
      </c>
      <c r="X32" s="145" t="s">
        <v>121</v>
      </c>
      <c r="Y32" s="142">
        <f t="shared" ca="1" si="3"/>
        <v>45322</v>
      </c>
      <c r="Z32" s="150" t="str">
        <f>IF(X32="","",X32&amp;COUNTIF(X$2:$X32,X32))</f>
        <v>janvier31</v>
      </c>
    </row>
    <row r="33" spans="2:26" ht="15.75" thickBot="1" x14ac:dyDescent="0.3">
      <c r="B33" s="117" t="str">
        <f>BDD!B31</f>
        <v>Activités scolaire &lt;140€</v>
      </c>
      <c r="C33" s="121"/>
      <c r="D33" s="119" t="str">
        <f t="shared" ca="1" si="1"/>
        <v/>
      </c>
      <c r="E33" s="154" t="str">
        <f t="shared" ca="1" si="4"/>
        <v/>
      </c>
      <c r="X33" s="139" t="s">
        <v>122</v>
      </c>
      <c r="Y33" s="142">
        <f ca="1">DATE(D1,2,1)</f>
        <v>45323</v>
      </c>
      <c r="Z33" s="150" t="str">
        <f>IF(X33="","",X33&amp;COUNTIF(X$2:$X33,X33))</f>
        <v>février1</v>
      </c>
    </row>
    <row r="34" spans="2:26" ht="15.75" thickBot="1" x14ac:dyDescent="0.3">
      <c r="B34" s="117" t="str">
        <f>BDD!B32</f>
        <v>Don naissance</v>
      </c>
      <c r="C34" s="121"/>
      <c r="D34" s="119" t="str">
        <f t="shared" ca="1" si="1"/>
        <v/>
      </c>
      <c r="E34" s="154" t="str">
        <f t="shared" ca="1" si="4"/>
        <v/>
      </c>
      <c r="W34" s="152">
        <f ca="1">EOMONTH(W2,0)</f>
        <v>45596</v>
      </c>
      <c r="X34" s="151" t="s">
        <v>122</v>
      </c>
      <c r="Y34" s="142">
        <f ca="1">IF(EOMONTH(Y33,0)&gt;Y33,Y33+1,"")</f>
        <v>45324</v>
      </c>
      <c r="Z34" s="150" t="str">
        <f>IF(X34="","",X34&amp;COUNTIF(X$2:$X34,X34))</f>
        <v>février2</v>
      </c>
    </row>
    <row r="35" spans="2:26" x14ac:dyDescent="0.25">
      <c r="B35" s="117" t="str">
        <f>BDD!B33</f>
        <v>Don Mariage/Pacs</v>
      </c>
      <c r="C35" s="121"/>
      <c r="D35" s="119" t="str">
        <f t="shared" ca="1" si="1"/>
        <v/>
      </c>
      <c r="E35" s="154" t="str">
        <f t="shared" ca="1" si="4"/>
        <v/>
      </c>
      <c r="X35" s="139" t="s">
        <v>122</v>
      </c>
      <c r="Y35" s="142">
        <f t="shared" ref="Y35:Y60" ca="1" si="5">IF(EOMONTH(Y34,0)&gt;Y34,Y34+1,"")</f>
        <v>45325</v>
      </c>
      <c r="Z35" s="150" t="str">
        <f>IF(X35="","",X35&amp;COUNTIF(X$2:$X35,X35))</f>
        <v>février3</v>
      </c>
    </row>
    <row r="36" spans="2:26" x14ac:dyDescent="0.25">
      <c r="B36" s="117" t="str">
        <f>BDD!B34</f>
        <v>Don retraite</v>
      </c>
      <c r="C36" s="121"/>
      <c r="D36" s="119" t="str">
        <f t="shared" ref="D36:D67" ca="1" si="6">IFERROR(SUMIFS(Quantitee,Lesdates,"&gt;="&amp;$C$1,Lesdates,"&lt;="&amp;$C$1,Articles,$B36),"")</f>
        <v/>
      </c>
      <c r="E36" s="154" t="str">
        <f t="shared" ca="1" si="4"/>
        <v/>
      </c>
      <c r="X36" s="139" t="s">
        <v>122</v>
      </c>
      <c r="Y36" s="142">
        <f t="shared" ca="1" si="5"/>
        <v>45326</v>
      </c>
      <c r="Z36" s="150" t="str">
        <f>IF(X36="","",X36&amp;COUNTIF(X$2:$X36,X36))</f>
        <v>février4</v>
      </c>
    </row>
    <row r="37" spans="2:26" x14ac:dyDescent="0.25">
      <c r="B37" s="117" t="str">
        <f>BDD!B35</f>
        <v>Liquide de refroidissement</v>
      </c>
      <c r="C37" s="121"/>
      <c r="D37" s="119" t="str">
        <f t="shared" ca="1" si="6"/>
        <v/>
      </c>
      <c r="E37" s="154" t="str">
        <f t="shared" ca="1" si="4"/>
        <v/>
      </c>
      <c r="X37" s="139" t="s">
        <v>122</v>
      </c>
      <c r="Y37" s="142">
        <f t="shared" ca="1" si="5"/>
        <v>45327</v>
      </c>
      <c r="Z37" s="150" t="str">
        <f>IF(X37="","",X37&amp;COUNTIF(X$2:$X37,X37))</f>
        <v>février5</v>
      </c>
    </row>
    <row r="38" spans="2:26" x14ac:dyDescent="0.25">
      <c r="B38" s="117" t="str">
        <f>BDD!B36</f>
        <v>Liquide lave-glace</v>
      </c>
      <c r="C38" s="121"/>
      <c r="D38" s="119" t="str">
        <f t="shared" ca="1" si="6"/>
        <v/>
      </c>
      <c r="E38" s="154" t="str">
        <f t="shared" ca="1" si="4"/>
        <v/>
      </c>
      <c r="X38" s="139" t="s">
        <v>122</v>
      </c>
      <c r="Y38" s="142">
        <f t="shared" ca="1" si="5"/>
        <v>45328</v>
      </c>
      <c r="Z38" s="150" t="str">
        <f>IF(X38="","",X38&amp;COUNTIF(X$2:$X38,X38))</f>
        <v>février6</v>
      </c>
    </row>
    <row r="39" spans="2:26" x14ac:dyDescent="0.25">
      <c r="B39" s="117" t="str">
        <f>BDD!B37</f>
        <v>Dégivrant</v>
      </c>
      <c r="C39" s="121"/>
      <c r="D39" s="119" t="str">
        <f t="shared" ca="1" si="6"/>
        <v/>
      </c>
      <c r="E39" s="154" t="str">
        <f t="shared" ca="1" si="4"/>
        <v/>
      </c>
      <c r="X39" s="139" t="s">
        <v>122</v>
      </c>
      <c r="Y39" s="142">
        <f t="shared" ca="1" si="5"/>
        <v>45329</v>
      </c>
      <c r="Z39" s="150" t="str">
        <f>IF(X39="","",X39&amp;COUNTIF(X$2:$X39,X39))</f>
        <v>février7</v>
      </c>
    </row>
    <row r="40" spans="2:26" x14ac:dyDescent="0.25">
      <c r="B40" s="117"/>
      <c r="C40" s="121"/>
      <c r="D40" s="119" t="str">
        <f t="shared" ca="1" si="6"/>
        <v/>
      </c>
      <c r="E40" s="154" t="str">
        <f t="shared" ca="1" si="4"/>
        <v/>
      </c>
      <c r="X40" s="139" t="s">
        <v>122</v>
      </c>
      <c r="Y40" s="142">
        <f t="shared" ca="1" si="5"/>
        <v>45330</v>
      </c>
      <c r="Z40" s="150" t="str">
        <f>IF(X40="","",X40&amp;COUNTIF(X$2:$X40,X40))</f>
        <v>février8</v>
      </c>
    </row>
    <row r="41" spans="2:26" x14ac:dyDescent="0.25">
      <c r="B41" s="117"/>
      <c r="C41" s="121"/>
      <c r="D41" s="119" t="str">
        <f t="shared" ca="1" si="6"/>
        <v/>
      </c>
      <c r="E41" s="154" t="str">
        <f t="shared" ca="1" si="4"/>
        <v/>
      </c>
      <c r="X41" s="139" t="s">
        <v>122</v>
      </c>
      <c r="Y41" s="142">
        <f t="shared" ca="1" si="5"/>
        <v>45331</v>
      </c>
      <c r="Z41" s="150" t="str">
        <f>IF(X41="","",X41&amp;COUNTIF(X$2:$X41,X41))</f>
        <v>février9</v>
      </c>
    </row>
    <row r="42" spans="2:26" x14ac:dyDescent="0.25">
      <c r="B42" s="117"/>
      <c r="C42" s="121"/>
      <c r="D42" s="119" t="str">
        <f t="shared" ca="1" si="6"/>
        <v/>
      </c>
      <c r="E42" s="154" t="str">
        <f t="shared" ca="1" si="4"/>
        <v/>
      </c>
      <c r="X42" s="139" t="s">
        <v>122</v>
      </c>
      <c r="Y42" s="142">
        <f t="shared" ca="1" si="5"/>
        <v>45332</v>
      </c>
      <c r="Z42" s="150" t="str">
        <f>IF(X42="","",X42&amp;COUNTIF(X$2:$X42,X42))</f>
        <v>février10</v>
      </c>
    </row>
    <row r="43" spans="2:26" x14ac:dyDescent="0.25">
      <c r="B43" s="117"/>
      <c r="C43" s="121"/>
      <c r="D43" s="119" t="str">
        <f t="shared" ca="1" si="6"/>
        <v/>
      </c>
      <c r="E43" s="154" t="str">
        <f t="shared" ca="1" si="4"/>
        <v/>
      </c>
      <c r="X43" s="139" t="s">
        <v>122</v>
      </c>
      <c r="Y43" s="142">
        <f t="shared" ca="1" si="5"/>
        <v>45333</v>
      </c>
      <c r="Z43" s="150" t="str">
        <f>IF(X43="","",X43&amp;COUNTIF(X$2:$X43,X43))</f>
        <v>février11</v>
      </c>
    </row>
    <row r="44" spans="2:26" x14ac:dyDescent="0.25">
      <c r="B44" s="117" t="str">
        <f>BDD!B42</f>
        <v>Batterie N°1 45Ah-400A</v>
      </c>
      <c r="C44" s="121"/>
      <c r="D44" s="119" t="str">
        <f t="shared" ca="1" si="6"/>
        <v/>
      </c>
      <c r="E44" s="154" t="str">
        <f t="shared" ca="1" si="4"/>
        <v/>
      </c>
      <c r="X44" s="139" t="s">
        <v>122</v>
      </c>
      <c r="Y44" s="142">
        <f t="shared" ca="1" si="5"/>
        <v>45334</v>
      </c>
      <c r="Z44" s="150" t="str">
        <f>IF(X44="","",X44&amp;COUNTIF(X$2:$X44,X44))</f>
        <v>février12</v>
      </c>
    </row>
    <row r="45" spans="2:26" x14ac:dyDescent="0.25">
      <c r="B45" s="117" t="str">
        <f>BDD!B43</f>
        <v>Batterie N°2 50Ah-420A</v>
      </c>
      <c r="C45" s="121"/>
      <c r="D45" s="119" t="str">
        <f t="shared" ca="1" si="6"/>
        <v/>
      </c>
      <c r="E45" s="154" t="str">
        <f t="shared" ca="1" si="4"/>
        <v/>
      </c>
      <c r="X45" s="139" t="s">
        <v>122</v>
      </c>
      <c r="Y45" s="142">
        <f t="shared" ca="1" si="5"/>
        <v>45335</v>
      </c>
      <c r="Z45" s="150" t="str">
        <f>IF(X45="","",X45&amp;COUNTIF(X$2:$X45,X45))</f>
        <v>février13</v>
      </c>
    </row>
    <row r="46" spans="2:26" x14ac:dyDescent="0.25">
      <c r="B46" s="117" t="str">
        <f>BDD!B44</f>
        <v>Batterie N°3 60Ah-500A</v>
      </c>
      <c r="C46" s="121"/>
      <c r="D46" s="119" t="str">
        <f t="shared" ca="1" si="6"/>
        <v/>
      </c>
      <c r="E46" s="154" t="str">
        <f t="shared" ca="1" si="4"/>
        <v/>
      </c>
      <c r="X46" s="139" t="s">
        <v>122</v>
      </c>
      <c r="Y46" s="142">
        <f t="shared" ca="1" si="5"/>
        <v>45336</v>
      </c>
      <c r="Z46" s="150" t="str">
        <f>IF(X46="","",X46&amp;COUNTIF(X$2:$X46,X46))</f>
        <v>février14</v>
      </c>
    </row>
    <row r="47" spans="2:26" x14ac:dyDescent="0.25">
      <c r="B47" s="117" t="str">
        <f>BDD!B45</f>
        <v>Batterie N°4 70Ah-640A</v>
      </c>
      <c r="C47" s="121"/>
      <c r="D47" s="119" t="str">
        <f t="shared" ca="1" si="6"/>
        <v/>
      </c>
      <c r="E47" s="154" t="str">
        <f t="shared" ca="1" si="4"/>
        <v/>
      </c>
      <c r="X47" s="139" t="s">
        <v>122</v>
      </c>
      <c r="Y47" s="142">
        <f t="shared" ca="1" si="5"/>
        <v>45337</v>
      </c>
      <c r="Z47" s="150" t="str">
        <f>IF(X47="","",X47&amp;COUNTIF(X$2:$X47,X47))</f>
        <v>février15</v>
      </c>
    </row>
    <row r="48" spans="2:26" x14ac:dyDescent="0.25">
      <c r="B48" s="117" t="str">
        <f>BDD!B46</f>
        <v>Batterie N°5 95Ah-800A</v>
      </c>
      <c r="C48" s="121"/>
      <c r="D48" s="119" t="str">
        <f t="shared" ca="1" si="6"/>
        <v/>
      </c>
      <c r="E48" s="154" t="str">
        <f t="shared" ca="1" si="4"/>
        <v/>
      </c>
      <c r="F48" s="100"/>
      <c r="X48" s="139" t="s">
        <v>122</v>
      </c>
      <c r="Y48" s="142">
        <f t="shared" ca="1" si="5"/>
        <v>45338</v>
      </c>
      <c r="Z48" s="150" t="str">
        <f>IF(X48="","",X48&amp;COUNTIF(X$2:$X48,X48))</f>
        <v>février16</v>
      </c>
    </row>
    <row r="49" spans="2:26" x14ac:dyDescent="0.25">
      <c r="B49" s="117"/>
      <c r="C49" s="121"/>
      <c r="D49" s="119" t="str">
        <f t="shared" ca="1" si="6"/>
        <v/>
      </c>
      <c r="E49" s="154" t="str">
        <f t="shared" ca="1" si="4"/>
        <v/>
      </c>
      <c r="F49" s="100"/>
      <c r="X49" s="139" t="s">
        <v>122</v>
      </c>
      <c r="Y49" s="142">
        <f t="shared" ca="1" si="5"/>
        <v>45339</v>
      </c>
      <c r="Z49" s="150" t="str">
        <f>IF(X49="","",X49&amp;COUNTIF(X$2:$X49,X49))</f>
        <v>février17</v>
      </c>
    </row>
    <row r="50" spans="2:26" x14ac:dyDescent="0.25">
      <c r="B50" s="117"/>
      <c r="C50" s="121"/>
      <c r="D50" s="119" t="str">
        <f t="shared" ca="1" si="6"/>
        <v/>
      </c>
      <c r="E50" s="154" t="str">
        <f t="shared" ca="1" si="4"/>
        <v/>
      </c>
      <c r="F50" s="100"/>
      <c r="X50" s="139" t="s">
        <v>122</v>
      </c>
      <c r="Y50" s="142">
        <f t="shared" ca="1" si="5"/>
        <v>45340</v>
      </c>
      <c r="Z50" s="150" t="str">
        <f>IF(X50="","",X50&amp;COUNTIF(X$2:$X50,X50))</f>
        <v>février18</v>
      </c>
    </row>
    <row r="51" spans="2:26" x14ac:dyDescent="0.25">
      <c r="B51" s="117" t="str">
        <f>BDD!B49</f>
        <v>Essuie-glace 350 mm</v>
      </c>
      <c r="C51" s="121"/>
      <c r="D51" s="119" t="str">
        <f t="shared" ca="1" si="6"/>
        <v/>
      </c>
      <c r="E51" s="154" t="str">
        <f t="shared" ca="1" si="4"/>
        <v/>
      </c>
      <c r="X51" s="139" t="s">
        <v>122</v>
      </c>
      <c r="Y51" s="142">
        <f t="shared" ca="1" si="5"/>
        <v>45341</v>
      </c>
      <c r="Z51" s="150" t="str">
        <f>IF(X51="","",X51&amp;COUNTIF(X$2:$X51,X51))</f>
        <v>février19</v>
      </c>
    </row>
    <row r="52" spans="2:26" x14ac:dyDescent="0.25">
      <c r="B52" s="117" t="str">
        <f>BDD!B50</f>
        <v>Essuie-glace 400 mm</v>
      </c>
      <c r="C52" s="121"/>
      <c r="D52" s="119" t="str">
        <f t="shared" ca="1" si="6"/>
        <v/>
      </c>
      <c r="E52" s="154" t="str">
        <f t="shared" ca="1" si="4"/>
        <v/>
      </c>
      <c r="X52" s="139" t="s">
        <v>122</v>
      </c>
      <c r="Y52" s="142">
        <f t="shared" ca="1" si="5"/>
        <v>45342</v>
      </c>
      <c r="Z52" s="150" t="str">
        <f>IF(X52="","",X52&amp;COUNTIF(X$2:$X52,X52))</f>
        <v>février20</v>
      </c>
    </row>
    <row r="53" spans="2:26" x14ac:dyDescent="0.25">
      <c r="B53" s="117" t="str">
        <f>BDD!B51</f>
        <v>Essuie-glace 430 mm</v>
      </c>
      <c r="C53" s="121"/>
      <c r="D53" s="119" t="str">
        <f t="shared" ca="1" si="6"/>
        <v/>
      </c>
      <c r="E53" s="154" t="str">
        <f t="shared" ca="1" si="4"/>
        <v/>
      </c>
      <c r="X53" s="139" t="s">
        <v>122</v>
      </c>
      <c r="Y53" s="142">
        <f t="shared" ca="1" si="5"/>
        <v>45343</v>
      </c>
      <c r="Z53" s="150" t="str">
        <f>IF(X53="","",X53&amp;COUNTIF(X$2:$X53,X53))</f>
        <v>février21</v>
      </c>
    </row>
    <row r="54" spans="2:26" x14ac:dyDescent="0.25">
      <c r="B54" s="117" t="str">
        <f>BDD!B52</f>
        <v>Essuie-glace 450 mm</v>
      </c>
      <c r="C54" s="121"/>
      <c r="D54" s="119" t="str">
        <f t="shared" ca="1" si="6"/>
        <v/>
      </c>
      <c r="E54" s="154" t="str">
        <f t="shared" ca="1" si="4"/>
        <v/>
      </c>
      <c r="X54" s="139" t="s">
        <v>122</v>
      </c>
      <c r="Y54" s="142">
        <f t="shared" ca="1" si="5"/>
        <v>45344</v>
      </c>
      <c r="Z54" s="150" t="str">
        <f>IF(X54="","",X54&amp;COUNTIF(X$2:$X54,X54))</f>
        <v>février22</v>
      </c>
    </row>
    <row r="55" spans="2:26" x14ac:dyDescent="0.25">
      <c r="B55" s="117" t="str">
        <f>BDD!B53</f>
        <v>Essuie-glace 480 mm</v>
      </c>
      <c r="C55" s="121"/>
      <c r="D55" s="119" t="str">
        <f t="shared" ca="1" si="6"/>
        <v/>
      </c>
      <c r="E55" s="154" t="str">
        <f t="shared" ca="1" si="4"/>
        <v/>
      </c>
      <c r="X55" s="139" t="s">
        <v>122</v>
      </c>
      <c r="Y55" s="142">
        <f t="shared" ca="1" si="5"/>
        <v>45345</v>
      </c>
      <c r="Z55" s="150" t="str">
        <f>IF(X55="","",X55&amp;COUNTIF(X$2:$X55,X55))</f>
        <v>février23</v>
      </c>
    </row>
    <row r="56" spans="2:26" x14ac:dyDescent="0.25">
      <c r="B56" s="117" t="str">
        <f>BDD!B54</f>
        <v>Essuie-glace 500 mm</v>
      </c>
      <c r="C56" s="121"/>
      <c r="D56" s="119" t="str">
        <f t="shared" ca="1" si="6"/>
        <v/>
      </c>
      <c r="E56" s="154" t="str">
        <f t="shared" ca="1" si="4"/>
        <v/>
      </c>
      <c r="X56" s="139" t="s">
        <v>122</v>
      </c>
      <c r="Y56" s="142">
        <f t="shared" ca="1" si="5"/>
        <v>45346</v>
      </c>
      <c r="Z56" s="150" t="str">
        <f>IF(X56="","",X56&amp;COUNTIF(X$2:$X56,X56))</f>
        <v>février24</v>
      </c>
    </row>
    <row r="57" spans="2:26" x14ac:dyDescent="0.25">
      <c r="B57" s="117" t="str">
        <f>BDD!B55</f>
        <v>Essuie-glace 530 mm</v>
      </c>
      <c r="C57" s="121"/>
      <c r="D57" s="119" t="str">
        <f t="shared" ca="1" si="6"/>
        <v/>
      </c>
      <c r="E57" s="154" t="str">
        <f t="shared" ca="1" si="4"/>
        <v/>
      </c>
      <c r="X57" s="139" t="s">
        <v>122</v>
      </c>
      <c r="Y57" s="142">
        <f t="shared" ca="1" si="5"/>
        <v>45347</v>
      </c>
      <c r="Z57" s="150" t="str">
        <f>IF(X57="","",X57&amp;COUNTIF(X$2:$X57,X57))</f>
        <v>février25</v>
      </c>
    </row>
    <row r="58" spans="2:26" x14ac:dyDescent="0.25">
      <c r="B58" s="117" t="str">
        <f>BDD!B56</f>
        <v>Essuie-glace 550 mm</v>
      </c>
      <c r="C58" s="121"/>
      <c r="D58" s="119" t="str">
        <f t="shared" ca="1" si="6"/>
        <v/>
      </c>
      <c r="E58" s="154" t="str">
        <f t="shared" ca="1" si="4"/>
        <v/>
      </c>
      <c r="X58" s="139" t="s">
        <v>122</v>
      </c>
      <c r="Y58" s="142">
        <f t="shared" ca="1" si="5"/>
        <v>45348</v>
      </c>
      <c r="Z58" s="150" t="str">
        <f>IF(X58="","",X58&amp;COUNTIF(X$2:$X58,X58))</f>
        <v>février26</v>
      </c>
    </row>
    <row r="59" spans="2:26" x14ac:dyDescent="0.25">
      <c r="B59" s="117" t="str">
        <f>BDD!B57</f>
        <v>Essuie-glace 600 mm</v>
      </c>
      <c r="C59" s="121"/>
      <c r="D59" s="119" t="str">
        <f t="shared" ca="1" si="6"/>
        <v/>
      </c>
      <c r="E59" s="154" t="str">
        <f t="shared" ca="1" si="4"/>
        <v/>
      </c>
      <c r="X59" s="139" t="s">
        <v>122</v>
      </c>
      <c r="Y59" s="142">
        <f t="shared" ca="1" si="5"/>
        <v>45349</v>
      </c>
      <c r="Z59" s="150" t="str">
        <f>IF(X59="","",X59&amp;COUNTIF(X$2:$X59,X59))</f>
        <v>février27</v>
      </c>
    </row>
    <row r="60" spans="2:26" x14ac:dyDescent="0.25">
      <c r="B60" s="117" t="str">
        <f>BDD!B58</f>
        <v>Essuie-glace 650 mm</v>
      </c>
      <c r="C60" s="121"/>
      <c r="D60" s="119" t="str">
        <f t="shared" ca="1" si="6"/>
        <v/>
      </c>
      <c r="E60" s="154" t="str">
        <f t="shared" ca="1" si="4"/>
        <v/>
      </c>
      <c r="X60" s="139" t="s">
        <v>122</v>
      </c>
      <c r="Y60" s="142">
        <f t="shared" ca="1" si="5"/>
        <v>45350</v>
      </c>
      <c r="Z60" s="150" t="str">
        <f>IF(X60="","",X60&amp;COUNTIF(X$2:$X60,X60))</f>
        <v>février28</v>
      </c>
    </row>
    <row r="61" spans="2:26" x14ac:dyDescent="0.25">
      <c r="B61" s="117" t="str">
        <f>BDD!B59</f>
        <v>Essuie-glace 700 mm</v>
      </c>
      <c r="C61" s="121"/>
      <c r="D61" s="119" t="str">
        <f t="shared" ca="1" si="6"/>
        <v/>
      </c>
      <c r="E61" s="154" t="str">
        <f t="shared" ca="1" si="4"/>
        <v/>
      </c>
      <c r="X61" s="139" t="s">
        <v>122</v>
      </c>
      <c r="Y61" s="142">
        <f ca="1">IF(EOMONTH(Y60,0)&gt;Y60,Y60+1,"/")</f>
        <v>45351</v>
      </c>
      <c r="Z61" s="150" t="str">
        <f>IF(X61="","",X61&amp;COUNTIF(X$2:$X61,X61))</f>
        <v>février29</v>
      </c>
    </row>
    <row r="62" spans="2:26" x14ac:dyDescent="0.25">
      <c r="B62" s="117" t="str">
        <f>BDD!B60</f>
        <v>Essuie-glace 730 mm</v>
      </c>
      <c r="C62" s="121"/>
      <c r="D62" s="119" t="str">
        <f t="shared" ca="1" si="6"/>
        <v/>
      </c>
      <c r="E62" s="154" t="str">
        <f t="shared" ca="1" si="4"/>
        <v/>
      </c>
      <c r="X62" s="139" t="s">
        <v>122</v>
      </c>
      <c r="Y62" s="143" t="s">
        <v>123</v>
      </c>
      <c r="Z62" s="150" t="str">
        <f>IF(X62="","",X62&amp;COUNTIF(X$2:$X62,X62))</f>
        <v>février30</v>
      </c>
    </row>
    <row r="63" spans="2:26" x14ac:dyDescent="0.25">
      <c r="B63" s="117" t="str">
        <f>BDD!B61</f>
        <v>Essuie-glace 750 mm</v>
      </c>
      <c r="C63" s="121"/>
      <c r="D63" s="119" t="str">
        <f t="shared" ca="1" si="6"/>
        <v/>
      </c>
      <c r="E63" s="154" t="str">
        <f t="shared" ca="1" si="4"/>
        <v/>
      </c>
      <c r="X63" s="139" t="s">
        <v>122</v>
      </c>
      <c r="Y63" s="143" t="s">
        <v>123</v>
      </c>
      <c r="Z63" s="150" t="str">
        <f>IF(X63="","",X63&amp;COUNTIF(X$2:$X63,X63))</f>
        <v>février31</v>
      </c>
    </row>
    <row r="64" spans="2:26" x14ac:dyDescent="0.25">
      <c r="B64" s="117" t="str">
        <f>BDD!B62</f>
        <v>Essuie-glace 800 mm</v>
      </c>
      <c r="C64" s="121"/>
      <c r="D64" s="119" t="str">
        <f t="shared" ca="1" si="6"/>
        <v/>
      </c>
      <c r="E64" s="154" t="str">
        <f ca="1">IFERROR(SUMIFS(Total,Lesdates,"&gt;="&amp;$W$2,Lesdates,"&lt;="&amp;$W$34,Articles,#REF!),"")</f>
        <v/>
      </c>
      <c r="X64" s="138" t="s">
        <v>124</v>
      </c>
      <c r="Y64" s="142">
        <f ca="1">DATE(D1,3,1)</f>
        <v>45352</v>
      </c>
      <c r="Z64" s="150" t="str">
        <f>IF(X64="","",X64&amp;COUNTIF(X$2:$X64,X64))</f>
        <v>mars1</v>
      </c>
    </row>
    <row r="65" spans="2:26" x14ac:dyDescent="0.25">
      <c r="B65" s="117"/>
      <c r="C65" s="121"/>
      <c r="D65" s="119" t="str">
        <f t="shared" ca="1" si="6"/>
        <v/>
      </c>
      <c r="E65" s="154" t="str">
        <f ca="1">IFERROR(SUMIFS(Total,Lesdates,"&gt;="&amp;$W$2,Lesdates,"&lt;="&amp;$W$34,Articles,$B65),"")</f>
        <v/>
      </c>
      <c r="X65" s="138" t="s">
        <v>124</v>
      </c>
      <c r="Y65" s="142">
        <f ca="1">IF(EOMONTH(Y64,0)&gt;Y64,Y64+1,"")</f>
        <v>45353</v>
      </c>
      <c r="Z65" s="150" t="str">
        <f>IF(X65="","",X65&amp;COUNTIF(X$2:$X65,X65))</f>
        <v>mars2</v>
      </c>
    </row>
    <row r="66" spans="2:26" x14ac:dyDescent="0.25">
      <c r="B66" s="122"/>
      <c r="C66" s="121"/>
      <c r="D66" s="119" t="str">
        <f t="shared" ca="1" si="6"/>
        <v/>
      </c>
      <c r="E66" s="154" t="str">
        <f ca="1">IFERROR(SUMIFS(Total,Lesdates,"&gt;="&amp;$W$2,Lesdates,"&lt;="&amp;$W$34,Articles,$B66),"")</f>
        <v/>
      </c>
      <c r="X66" s="138" t="s">
        <v>124</v>
      </c>
      <c r="Y66" s="142">
        <f t="shared" ref="Y66:Y94" ca="1" si="7">IF(EOMONTH(Y65,0)&gt;Y65,Y65+1,"")</f>
        <v>45354</v>
      </c>
      <c r="Z66" s="150" t="str">
        <f>IF(X66="","",X66&amp;COUNTIF(X$2:$X66,X66))</f>
        <v>mars3</v>
      </c>
    </row>
    <row r="67" spans="2:26" x14ac:dyDescent="0.25">
      <c r="B67" s="122"/>
      <c r="C67" s="121"/>
      <c r="D67" s="119" t="str">
        <f t="shared" ca="1" si="6"/>
        <v/>
      </c>
      <c r="E67" s="154" t="str">
        <f ca="1">IFERROR(SUMIFS(Total,Lesdates,"&gt;="&amp;$W$2,Lesdates,"&lt;="&amp;$W$34,Articles,$B67),"")</f>
        <v/>
      </c>
      <c r="X67" s="138" t="s">
        <v>124</v>
      </c>
      <c r="Y67" s="142">
        <f t="shared" ca="1" si="7"/>
        <v>45355</v>
      </c>
      <c r="Z67" s="150" t="str">
        <f>IF(X67="","",X67&amp;COUNTIF(X$2:$X67,X67))</f>
        <v>mars4</v>
      </c>
    </row>
    <row r="68" spans="2:26" x14ac:dyDescent="0.25">
      <c r="B68" s="122"/>
      <c r="C68" s="121"/>
      <c r="D68" s="119" t="str">
        <f t="shared" ref="D68:D99" ca="1" si="8">IFERROR(SUMIFS(Quantitee,Lesdates,"&gt;="&amp;$C$1,Lesdates,"&lt;="&amp;$C$1,Articles,$B68),"")</f>
        <v/>
      </c>
      <c r="E68" s="154" t="str">
        <f t="shared" ref="E68:E99" ca="1" si="9">IFERROR(SUMIFS(Total,Lesdates,"&gt;="&amp;$W$2,Lesdates,"&lt;="&amp;$W$34,Articles,$B68),"")</f>
        <v/>
      </c>
      <c r="X68" s="138" t="s">
        <v>124</v>
      </c>
      <c r="Y68" s="142">
        <f t="shared" ca="1" si="7"/>
        <v>45356</v>
      </c>
      <c r="Z68" s="150" t="str">
        <f>IF(X68="","",X68&amp;COUNTIF(X$2:$X68,X68))</f>
        <v>mars5</v>
      </c>
    </row>
    <row r="69" spans="2:26" x14ac:dyDescent="0.25">
      <c r="B69" s="122"/>
      <c r="C69" s="121"/>
      <c r="D69" s="119" t="str">
        <f t="shared" ca="1" si="8"/>
        <v/>
      </c>
      <c r="E69" s="154" t="str">
        <f t="shared" ca="1" si="9"/>
        <v/>
      </c>
      <c r="X69" s="138" t="s">
        <v>124</v>
      </c>
      <c r="Y69" s="142">
        <f t="shared" ca="1" si="7"/>
        <v>45357</v>
      </c>
      <c r="Z69" s="150" t="str">
        <f>IF(X69="","",X69&amp;COUNTIF(X$2:$X69,X69))</f>
        <v>mars6</v>
      </c>
    </row>
    <row r="70" spans="2:26" x14ac:dyDescent="0.25">
      <c r="B70" s="122"/>
      <c r="C70" s="121"/>
      <c r="D70" s="119" t="str">
        <f t="shared" ca="1" si="8"/>
        <v/>
      </c>
      <c r="E70" s="154" t="str">
        <f t="shared" ca="1" si="9"/>
        <v/>
      </c>
      <c r="X70" s="138" t="s">
        <v>124</v>
      </c>
      <c r="Y70" s="142">
        <f t="shared" ca="1" si="7"/>
        <v>45358</v>
      </c>
      <c r="Z70" s="150" t="str">
        <f>IF(X70="","",X70&amp;COUNTIF(X$2:$X70,X70))</f>
        <v>mars7</v>
      </c>
    </row>
    <row r="71" spans="2:26" x14ac:dyDescent="0.25">
      <c r="B71" s="122"/>
      <c r="C71" s="121"/>
      <c r="D71" s="119" t="str">
        <f t="shared" ca="1" si="8"/>
        <v/>
      </c>
      <c r="E71" s="154" t="str">
        <f t="shared" ca="1" si="9"/>
        <v/>
      </c>
      <c r="X71" s="138" t="s">
        <v>124</v>
      </c>
      <c r="Y71" s="142">
        <f t="shared" ca="1" si="7"/>
        <v>45359</v>
      </c>
      <c r="Z71" s="150" t="str">
        <f>IF(X71="","",X71&amp;COUNTIF(X$2:$X71,X71))</f>
        <v>mars8</v>
      </c>
    </row>
    <row r="72" spans="2:26" x14ac:dyDescent="0.25">
      <c r="B72" s="122"/>
      <c r="C72" s="121"/>
      <c r="D72" s="119" t="str">
        <f t="shared" ca="1" si="8"/>
        <v/>
      </c>
      <c r="E72" s="154" t="str">
        <f t="shared" ca="1" si="9"/>
        <v/>
      </c>
      <c r="X72" s="138" t="s">
        <v>124</v>
      </c>
      <c r="Y72" s="142">
        <f t="shared" ca="1" si="7"/>
        <v>45360</v>
      </c>
      <c r="Z72" s="150" t="str">
        <f>IF(X72="","",X72&amp;COUNTIF(X$2:$X72,X72))</f>
        <v>mars9</v>
      </c>
    </row>
    <row r="73" spans="2:26" x14ac:dyDescent="0.25">
      <c r="B73" s="122"/>
      <c r="C73" s="121"/>
      <c r="D73" s="119" t="str">
        <f t="shared" ca="1" si="8"/>
        <v/>
      </c>
      <c r="E73" s="154" t="str">
        <f t="shared" ca="1" si="9"/>
        <v/>
      </c>
      <c r="X73" s="138" t="s">
        <v>124</v>
      </c>
      <c r="Y73" s="142">
        <f t="shared" ca="1" si="7"/>
        <v>45361</v>
      </c>
      <c r="Z73" s="150" t="str">
        <f>IF(X73="","",X73&amp;COUNTIF(X$2:$X73,X73))</f>
        <v>mars10</v>
      </c>
    </row>
    <row r="74" spans="2:26" x14ac:dyDescent="0.25">
      <c r="B74" s="122"/>
      <c r="C74" s="121"/>
      <c r="D74" s="119" t="str">
        <f t="shared" ca="1" si="8"/>
        <v/>
      </c>
      <c r="E74" s="154" t="str">
        <f t="shared" ca="1" si="9"/>
        <v/>
      </c>
      <c r="X74" s="138" t="s">
        <v>124</v>
      </c>
      <c r="Y74" s="142">
        <f t="shared" ca="1" si="7"/>
        <v>45362</v>
      </c>
      <c r="Z74" s="150" t="str">
        <f>IF(X74="","",X74&amp;COUNTIF(X$2:$X74,X74))</f>
        <v>mars11</v>
      </c>
    </row>
    <row r="75" spans="2:26" x14ac:dyDescent="0.25">
      <c r="B75" s="122"/>
      <c r="C75" s="121"/>
      <c r="D75" s="119" t="str">
        <f t="shared" ca="1" si="8"/>
        <v/>
      </c>
      <c r="E75" s="154" t="str">
        <f t="shared" ca="1" si="9"/>
        <v/>
      </c>
      <c r="X75" s="138" t="s">
        <v>124</v>
      </c>
      <c r="Y75" s="142">
        <f t="shared" ca="1" si="7"/>
        <v>45363</v>
      </c>
      <c r="Z75" s="150" t="str">
        <f>IF(X75="","",X75&amp;COUNTIF(X$2:$X75,X75))</f>
        <v>mars12</v>
      </c>
    </row>
    <row r="76" spans="2:26" x14ac:dyDescent="0.25">
      <c r="B76" s="122"/>
      <c r="C76" s="121"/>
      <c r="D76" s="119" t="str">
        <f t="shared" ca="1" si="8"/>
        <v/>
      </c>
      <c r="E76" s="154" t="str">
        <f t="shared" ca="1" si="9"/>
        <v/>
      </c>
      <c r="X76" s="138" t="s">
        <v>124</v>
      </c>
      <c r="Y76" s="142">
        <f t="shared" ca="1" si="7"/>
        <v>45364</v>
      </c>
      <c r="Z76" s="150" t="str">
        <f>IF(X76="","",X76&amp;COUNTIF(X$2:$X76,X76))</f>
        <v>mars13</v>
      </c>
    </row>
    <row r="77" spans="2:26" x14ac:dyDescent="0.25">
      <c r="B77" s="122"/>
      <c r="C77" s="121"/>
      <c r="D77" s="119" t="str">
        <f t="shared" ca="1" si="8"/>
        <v/>
      </c>
      <c r="E77" s="154" t="str">
        <f t="shared" ca="1" si="9"/>
        <v/>
      </c>
      <c r="X77" s="138" t="s">
        <v>124</v>
      </c>
      <c r="Y77" s="142">
        <f t="shared" ca="1" si="7"/>
        <v>45365</v>
      </c>
      <c r="Z77" s="150" t="str">
        <f>IF(X77="","",X77&amp;COUNTIF(X$2:$X77,X77))</f>
        <v>mars14</v>
      </c>
    </row>
    <row r="78" spans="2:26" x14ac:dyDescent="0.25">
      <c r="B78" s="122"/>
      <c r="C78" s="121"/>
      <c r="D78" s="119" t="str">
        <f t="shared" ca="1" si="8"/>
        <v/>
      </c>
      <c r="E78" s="154" t="str">
        <f t="shared" ca="1" si="9"/>
        <v/>
      </c>
      <c r="X78" s="138" t="s">
        <v>124</v>
      </c>
      <c r="Y78" s="142">
        <f t="shared" ca="1" si="7"/>
        <v>45366</v>
      </c>
      <c r="Z78" s="150" t="str">
        <f>IF(X78="","",X78&amp;COUNTIF(X$2:$X78,X78))</f>
        <v>mars15</v>
      </c>
    </row>
    <row r="79" spans="2:26" x14ac:dyDescent="0.25">
      <c r="B79" s="122"/>
      <c r="C79" s="121"/>
      <c r="D79" s="119" t="str">
        <f t="shared" ca="1" si="8"/>
        <v/>
      </c>
      <c r="E79" s="154" t="str">
        <f t="shared" ca="1" si="9"/>
        <v/>
      </c>
      <c r="X79" s="138" t="s">
        <v>124</v>
      </c>
      <c r="Y79" s="142">
        <f t="shared" ca="1" si="7"/>
        <v>45367</v>
      </c>
      <c r="Z79" s="150" t="str">
        <f>IF(X79="","",X79&amp;COUNTIF(X$2:$X79,X79))</f>
        <v>mars16</v>
      </c>
    </row>
    <row r="80" spans="2:26" x14ac:dyDescent="0.25">
      <c r="B80" s="122"/>
      <c r="C80" s="121"/>
      <c r="D80" s="119" t="str">
        <f t="shared" ca="1" si="8"/>
        <v/>
      </c>
      <c r="E80" s="154" t="str">
        <f t="shared" ca="1" si="9"/>
        <v/>
      </c>
      <c r="X80" s="138" t="s">
        <v>124</v>
      </c>
      <c r="Y80" s="142">
        <f t="shared" ca="1" si="7"/>
        <v>45368</v>
      </c>
      <c r="Z80" s="150" t="str">
        <f>IF(X80="","",X80&amp;COUNTIF(X$2:$X80,X80))</f>
        <v>mars17</v>
      </c>
    </row>
    <row r="81" spans="2:26" x14ac:dyDescent="0.25">
      <c r="B81" s="122"/>
      <c r="C81" s="121"/>
      <c r="D81" s="119" t="str">
        <f t="shared" ca="1" si="8"/>
        <v/>
      </c>
      <c r="E81" s="154" t="str">
        <f t="shared" ca="1" si="9"/>
        <v/>
      </c>
      <c r="X81" s="138" t="s">
        <v>124</v>
      </c>
      <c r="Y81" s="142">
        <f t="shared" ca="1" si="7"/>
        <v>45369</v>
      </c>
      <c r="Z81" s="150" t="str">
        <f>IF(X81="","",X81&amp;COUNTIF(X$2:$X81,X81))</f>
        <v>mars18</v>
      </c>
    </row>
    <row r="82" spans="2:26" x14ac:dyDescent="0.25">
      <c r="B82" s="122"/>
      <c r="C82" s="121"/>
      <c r="D82" s="119" t="str">
        <f t="shared" ca="1" si="8"/>
        <v/>
      </c>
      <c r="E82" s="154" t="str">
        <f t="shared" ca="1" si="9"/>
        <v/>
      </c>
      <c r="X82" s="138" t="s">
        <v>124</v>
      </c>
      <c r="Y82" s="142">
        <f t="shared" ca="1" si="7"/>
        <v>45370</v>
      </c>
      <c r="Z82" s="150" t="str">
        <f>IF(X82="","",X82&amp;COUNTIF(X$2:$X82,X82))</f>
        <v>mars19</v>
      </c>
    </row>
    <row r="83" spans="2:26" x14ac:dyDescent="0.25">
      <c r="B83" s="122"/>
      <c r="C83" s="121"/>
      <c r="D83" s="119" t="str">
        <f t="shared" ca="1" si="8"/>
        <v/>
      </c>
      <c r="E83" s="154" t="str">
        <f t="shared" ca="1" si="9"/>
        <v/>
      </c>
      <c r="X83" s="138" t="s">
        <v>124</v>
      </c>
      <c r="Y83" s="142">
        <f t="shared" ca="1" si="7"/>
        <v>45371</v>
      </c>
      <c r="Z83" s="150" t="str">
        <f>IF(X83="","",X83&amp;COUNTIF(X$2:$X83,X83))</f>
        <v>mars20</v>
      </c>
    </row>
    <row r="84" spans="2:26" x14ac:dyDescent="0.25">
      <c r="B84" s="122"/>
      <c r="C84" s="121"/>
      <c r="D84" s="119" t="str">
        <f t="shared" ca="1" si="8"/>
        <v/>
      </c>
      <c r="E84" s="154" t="str">
        <f t="shared" ca="1" si="9"/>
        <v/>
      </c>
      <c r="X84" s="138" t="s">
        <v>124</v>
      </c>
      <c r="Y84" s="142">
        <f t="shared" ca="1" si="7"/>
        <v>45372</v>
      </c>
      <c r="Z84" s="150" t="str">
        <f>IF(X84="","",X84&amp;COUNTIF(X$2:$X84,X84))</f>
        <v>mars21</v>
      </c>
    </row>
    <row r="85" spans="2:26" x14ac:dyDescent="0.25">
      <c r="B85" s="122"/>
      <c r="C85" s="121"/>
      <c r="D85" s="119" t="str">
        <f t="shared" ca="1" si="8"/>
        <v/>
      </c>
      <c r="E85" s="154" t="str">
        <f t="shared" ca="1" si="9"/>
        <v/>
      </c>
      <c r="X85" s="138" t="s">
        <v>124</v>
      </c>
      <c r="Y85" s="142">
        <f t="shared" ca="1" si="7"/>
        <v>45373</v>
      </c>
      <c r="Z85" s="150" t="str">
        <f>IF(X85="","",X85&amp;COUNTIF(X$2:$X85,X85))</f>
        <v>mars22</v>
      </c>
    </row>
    <row r="86" spans="2:26" x14ac:dyDescent="0.25">
      <c r="B86" s="122"/>
      <c r="C86" s="121"/>
      <c r="D86" s="119" t="str">
        <f t="shared" ca="1" si="8"/>
        <v/>
      </c>
      <c r="E86" s="154" t="str">
        <f t="shared" ca="1" si="9"/>
        <v/>
      </c>
      <c r="X86" s="138" t="s">
        <v>124</v>
      </c>
      <c r="Y86" s="142">
        <f t="shared" ca="1" si="7"/>
        <v>45374</v>
      </c>
      <c r="Z86" s="150" t="str">
        <f>IF(X86="","",X86&amp;COUNTIF(X$2:$X86,X86))</f>
        <v>mars23</v>
      </c>
    </row>
    <row r="87" spans="2:26" x14ac:dyDescent="0.25">
      <c r="B87" s="122"/>
      <c r="C87" s="121"/>
      <c r="D87" s="119" t="str">
        <f t="shared" ca="1" si="8"/>
        <v/>
      </c>
      <c r="E87" s="154" t="str">
        <f t="shared" ca="1" si="9"/>
        <v/>
      </c>
      <c r="X87" s="138" t="s">
        <v>124</v>
      </c>
      <c r="Y87" s="142">
        <f t="shared" ca="1" si="7"/>
        <v>45375</v>
      </c>
      <c r="Z87" s="150" t="str">
        <f>IF(X87="","",X87&amp;COUNTIF(X$2:$X87,X87))</f>
        <v>mars24</v>
      </c>
    </row>
    <row r="88" spans="2:26" x14ac:dyDescent="0.25">
      <c r="B88" s="122"/>
      <c r="C88" s="121"/>
      <c r="D88" s="119" t="str">
        <f t="shared" ca="1" si="8"/>
        <v/>
      </c>
      <c r="E88" s="154" t="str">
        <f t="shared" ca="1" si="9"/>
        <v/>
      </c>
      <c r="X88" s="138" t="s">
        <v>124</v>
      </c>
      <c r="Y88" s="142">
        <f t="shared" ca="1" si="7"/>
        <v>45376</v>
      </c>
      <c r="Z88" s="150" t="str">
        <f>IF(X88="","",X88&amp;COUNTIF(X$2:$X88,X88))</f>
        <v>mars25</v>
      </c>
    </row>
    <row r="89" spans="2:26" x14ac:dyDescent="0.25">
      <c r="B89" s="122"/>
      <c r="C89" s="121"/>
      <c r="D89" s="119" t="str">
        <f t="shared" ca="1" si="8"/>
        <v/>
      </c>
      <c r="E89" s="154" t="str">
        <f t="shared" ca="1" si="9"/>
        <v/>
      </c>
      <c r="X89" s="138" t="s">
        <v>124</v>
      </c>
      <c r="Y89" s="142">
        <f t="shared" ca="1" si="7"/>
        <v>45377</v>
      </c>
      <c r="Z89" s="150" t="str">
        <f>IF(X89="","",X89&amp;COUNTIF(X$2:$X89,X89))</f>
        <v>mars26</v>
      </c>
    </row>
    <row r="90" spans="2:26" x14ac:dyDescent="0.25">
      <c r="B90" s="122"/>
      <c r="C90" s="121"/>
      <c r="D90" s="119" t="str">
        <f t="shared" ca="1" si="8"/>
        <v/>
      </c>
      <c r="E90" s="154" t="str">
        <f t="shared" ca="1" si="9"/>
        <v/>
      </c>
      <c r="X90" s="138" t="s">
        <v>124</v>
      </c>
      <c r="Y90" s="142">
        <f t="shared" ca="1" si="7"/>
        <v>45378</v>
      </c>
      <c r="Z90" s="150" t="str">
        <f>IF(X90="","",X90&amp;COUNTIF(X$2:$X90,X90))</f>
        <v>mars27</v>
      </c>
    </row>
    <row r="91" spans="2:26" x14ac:dyDescent="0.25">
      <c r="B91" s="122"/>
      <c r="C91" s="121"/>
      <c r="D91" s="119" t="str">
        <f t="shared" ca="1" si="8"/>
        <v/>
      </c>
      <c r="E91" s="154" t="str">
        <f t="shared" ca="1" si="9"/>
        <v/>
      </c>
      <c r="X91" s="138" t="s">
        <v>124</v>
      </c>
      <c r="Y91" s="142">
        <f t="shared" ca="1" si="7"/>
        <v>45379</v>
      </c>
      <c r="Z91" s="150" t="str">
        <f>IF(X91="","",X91&amp;COUNTIF(X$2:$X91,X91))</f>
        <v>mars28</v>
      </c>
    </row>
    <row r="92" spans="2:26" x14ac:dyDescent="0.25">
      <c r="B92" s="122"/>
      <c r="C92" s="121"/>
      <c r="D92" s="119" t="str">
        <f t="shared" ca="1" si="8"/>
        <v/>
      </c>
      <c r="E92" s="154" t="str">
        <f t="shared" ca="1" si="9"/>
        <v/>
      </c>
      <c r="X92" s="138" t="s">
        <v>124</v>
      </c>
      <c r="Y92" s="142">
        <f t="shared" ca="1" si="7"/>
        <v>45380</v>
      </c>
      <c r="Z92" s="150" t="str">
        <f>IF(X92="","",X92&amp;COUNTIF(X$2:$X92,X92))</f>
        <v>mars29</v>
      </c>
    </row>
    <row r="93" spans="2:26" x14ac:dyDescent="0.25">
      <c r="B93" s="122"/>
      <c r="C93" s="121"/>
      <c r="D93" s="119" t="str">
        <f t="shared" ca="1" si="8"/>
        <v/>
      </c>
      <c r="E93" s="154" t="str">
        <f t="shared" ca="1" si="9"/>
        <v/>
      </c>
      <c r="X93" s="138" t="s">
        <v>124</v>
      </c>
      <c r="Y93" s="142">
        <f t="shared" ca="1" si="7"/>
        <v>45381</v>
      </c>
      <c r="Z93" s="150" t="str">
        <f>IF(X93="","",X93&amp;COUNTIF(X$2:$X93,X93))</f>
        <v>mars30</v>
      </c>
    </row>
    <row r="94" spans="2:26" x14ac:dyDescent="0.25">
      <c r="B94" s="122"/>
      <c r="C94" s="121"/>
      <c r="D94" s="119" t="str">
        <f t="shared" ca="1" si="8"/>
        <v/>
      </c>
      <c r="E94" s="154" t="str">
        <f t="shared" ca="1" si="9"/>
        <v/>
      </c>
      <c r="X94" s="138" t="s">
        <v>124</v>
      </c>
      <c r="Y94" s="142">
        <f t="shared" ca="1" si="7"/>
        <v>45382</v>
      </c>
      <c r="Z94" s="150" t="str">
        <f>IF(X94="","",X94&amp;COUNTIF(X$2:$X94,X94))</f>
        <v>mars31</v>
      </c>
    </row>
    <row r="95" spans="2:26" x14ac:dyDescent="0.25">
      <c r="B95" s="122"/>
      <c r="C95" s="121"/>
      <c r="D95" s="119" t="str">
        <f t="shared" ca="1" si="8"/>
        <v/>
      </c>
      <c r="E95" s="154" t="str">
        <f t="shared" ca="1" si="9"/>
        <v/>
      </c>
      <c r="X95" s="139" t="s">
        <v>125</v>
      </c>
      <c r="Y95" s="142">
        <f ca="1">DATE(D1,4,1)</f>
        <v>45383</v>
      </c>
      <c r="Z95" s="150" t="str">
        <f>IF(X95="","",X95&amp;COUNTIF(X$2:$X95,X95))</f>
        <v>avril1</v>
      </c>
    </row>
    <row r="96" spans="2:26" x14ac:dyDescent="0.25">
      <c r="B96" s="122"/>
      <c r="C96" s="121"/>
      <c r="D96" s="119" t="str">
        <f t="shared" ca="1" si="8"/>
        <v/>
      </c>
      <c r="E96" s="154" t="str">
        <f t="shared" ca="1" si="9"/>
        <v/>
      </c>
      <c r="X96" s="139" t="s">
        <v>125</v>
      </c>
      <c r="Y96" s="142">
        <f ca="1">IF(EOMONTH(Y95,0)&gt;Y95,Y95+1,"")</f>
        <v>45384</v>
      </c>
      <c r="Z96" s="150" t="str">
        <f>IF(X96="","",X96&amp;COUNTIF(X$2:$X96,X96))</f>
        <v>avril2</v>
      </c>
    </row>
    <row r="97" spans="2:26" x14ac:dyDescent="0.25">
      <c r="B97" s="122"/>
      <c r="C97" s="121"/>
      <c r="D97" s="119" t="str">
        <f t="shared" ca="1" si="8"/>
        <v/>
      </c>
      <c r="E97" s="154" t="str">
        <f t="shared" ca="1" si="9"/>
        <v/>
      </c>
      <c r="X97" s="139" t="s">
        <v>125</v>
      </c>
      <c r="Y97" s="142">
        <f t="shared" ref="Y97:Y123" ca="1" si="10">IF(EOMONTH(Y96,0)&gt;Y96,Y96+1,"")</f>
        <v>45385</v>
      </c>
      <c r="Z97" s="150" t="str">
        <f>IF(X97="","",X97&amp;COUNTIF(X$2:$X97,X97))</f>
        <v>avril3</v>
      </c>
    </row>
    <row r="98" spans="2:26" x14ac:dyDescent="0.25">
      <c r="B98" s="122"/>
      <c r="C98" s="121"/>
      <c r="D98" s="119" t="str">
        <f t="shared" ca="1" si="8"/>
        <v/>
      </c>
      <c r="E98" s="154" t="str">
        <f t="shared" ca="1" si="9"/>
        <v/>
      </c>
      <c r="X98" s="139" t="s">
        <v>125</v>
      </c>
      <c r="Y98" s="142">
        <f t="shared" ca="1" si="10"/>
        <v>45386</v>
      </c>
      <c r="Z98" s="150" t="str">
        <f>IF(X98="","",X98&amp;COUNTIF(X$2:$X98,X98))</f>
        <v>avril4</v>
      </c>
    </row>
    <row r="99" spans="2:26" x14ac:dyDescent="0.25">
      <c r="B99" s="122"/>
      <c r="C99" s="121"/>
      <c r="D99" s="119" t="str">
        <f t="shared" ca="1" si="8"/>
        <v/>
      </c>
      <c r="E99" s="154" t="str">
        <f t="shared" ca="1" si="9"/>
        <v/>
      </c>
      <c r="X99" s="139" t="s">
        <v>125</v>
      </c>
      <c r="Y99" s="142">
        <f t="shared" ca="1" si="10"/>
        <v>45387</v>
      </c>
      <c r="Z99" s="150" t="str">
        <f>IF(X99="","",X99&amp;COUNTIF(X$2:$X99,X99))</f>
        <v>avril5</v>
      </c>
    </row>
    <row r="100" spans="2:26" x14ac:dyDescent="0.25">
      <c r="B100" s="122"/>
      <c r="C100" s="121"/>
      <c r="D100" s="119" t="str">
        <f t="shared" ref="D100:D113" ca="1" si="11">IFERROR(SUMIFS(Quantitee,Lesdates,"&gt;="&amp;$C$1,Lesdates,"&lt;="&amp;$C$1,Articles,$B100),"")</f>
        <v/>
      </c>
      <c r="E100" s="154" t="str">
        <f t="shared" ref="E100:E113" ca="1" si="12">IFERROR(SUMIFS(Total,Lesdates,"&gt;="&amp;$W$2,Lesdates,"&lt;="&amp;$W$34,Articles,$B100),"")</f>
        <v/>
      </c>
      <c r="X100" s="139" t="s">
        <v>125</v>
      </c>
      <c r="Y100" s="142">
        <f t="shared" ca="1" si="10"/>
        <v>45388</v>
      </c>
      <c r="Z100" s="150" t="str">
        <f>IF(X100="","",X100&amp;COUNTIF(X$2:$X100,X100))</f>
        <v>avril6</v>
      </c>
    </row>
    <row r="101" spans="2:26" x14ac:dyDescent="0.25">
      <c r="B101" s="122"/>
      <c r="C101" s="121"/>
      <c r="D101" s="119" t="str">
        <f t="shared" ca="1" si="11"/>
        <v/>
      </c>
      <c r="E101" s="154" t="str">
        <f t="shared" ca="1" si="12"/>
        <v/>
      </c>
      <c r="X101" s="139" t="s">
        <v>125</v>
      </c>
      <c r="Y101" s="142">
        <f t="shared" ca="1" si="10"/>
        <v>45389</v>
      </c>
      <c r="Z101" s="150" t="str">
        <f>IF(X101="","",X101&amp;COUNTIF(X$2:$X101,X101))</f>
        <v>avril7</v>
      </c>
    </row>
    <row r="102" spans="2:26" x14ac:dyDescent="0.25">
      <c r="B102" s="122"/>
      <c r="C102" s="121"/>
      <c r="D102" s="119" t="str">
        <f t="shared" ca="1" si="11"/>
        <v/>
      </c>
      <c r="E102" s="154" t="str">
        <f t="shared" ca="1" si="12"/>
        <v/>
      </c>
      <c r="X102" s="139" t="s">
        <v>125</v>
      </c>
      <c r="Y102" s="142">
        <f t="shared" ca="1" si="10"/>
        <v>45390</v>
      </c>
      <c r="Z102" s="150" t="str">
        <f>IF(X102="","",X102&amp;COUNTIF(X$2:$X102,X102))</f>
        <v>avril8</v>
      </c>
    </row>
    <row r="103" spans="2:26" x14ac:dyDescent="0.25">
      <c r="B103" s="122"/>
      <c r="C103" s="121"/>
      <c r="D103" s="119" t="str">
        <f t="shared" ca="1" si="11"/>
        <v/>
      </c>
      <c r="E103" s="154" t="str">
        <f t="shared" ca="1" si="12"/>
        <v/>
      </c>
      <c r="X103" s="139" t="s">
        <v>125</v>
      </c>
      <c r="Y103" s="142">
        <f t="shared" ca="1" si="10"/>
        <v>45391</v>
      </c>
      <c r="Z103" s="150" t="str">
        <f>IF(X103="","",X103&amp;COUNTIF(X$2:$X103,X103))</f>
        <v>avril9</v>
      </c>
    </row>
    <row r="104" spans="2:26" x14ac:dyDescent="0.25">
      <c r="B104" s="122"/>
      <c r="C104" s="121"/>
      <c r="D104" s="119" t="str">
        <f t="shared" ca="1" si="11"/>
        <v/>
      </c>
      <c r="E104" s="154" t="str">
        <f t="shared" ca="1" si="12"/>
        <v/>
      </c>
      <c r="X104" s="139" t="s">
        <v>125</v>
      </c>
      <c r="Y104" s="142">
        <f t="shared" ca="1" si="10"/>
        <v>45392</v>
      </c>
      <c r="Z104" s="150" t="str">
        <f>IF(X104="","",X104&amp;COUNTIF(X$2:$X104,X104))</f>
        <v>avril10</v>
      </c>
    </row>
    <row r="105" spans="2:26" x14ac:dyDescent="0.25">
      <c r="B105" s="122"/>
      <c r="C105" s="121"/>
      <c r="D105" s="119" t="str">
        <f t="shared" ca="1" si="11"/>
        <v/>
      </c>
      <c r="E105" s="154" t="str">
        <f t="shared" ca="1" si="12"/>
        <v/>
      </c>
      <c r="X105" s="139" t="s">
        <v>125</v>
      </c>
      <c r="Y105" s="142">
        <f t="shared" ca="1" si="10"/>
        <v>45393</v>
      </c>
      <c r="Z105" s="150" t="str">
        <f>IF(X105="","",X105&amp;COUNTIF(X$2:$X105,X105))</f>
        <v>avril11</v>
      </c>
    </row>
    <row r="106" spans="2:26" x14ac:dyDescent="0.25">
      <c r="B106" s="122"/>
      <c r="C106" s="121"/>
      <c r="D106" s="119" t="str">
        <f t="shared" ca="1" si="11"/>
        <v/>
      </c>
      <c r="E106" s="154" t="str">
        <f t="shared" ca="1" si="12"/>
        <v/>
      </c>
      <c r="X106" s="139" t="s">
        <v>125</v>
      </c>
      <c r="Y106" s="142">
        <f t="shared" ca="1" si="10"/>
        <v>45394</v>
      </c>
      <c r="Z106" s="150" t="str">
        <f>IF(X106="","",X106&amp;COUNTIF(X$2:$X106,X106))</f>
        <v>avril12</v>
      </c>
    </row>
    <row r="107" spans="2:26" x14ac:dyDescent="0.25">
      <c r="B107" s="122"/>
      <c r="C107" s="121"/>
      <c r="D107" s="119" t="str">
        <f t="shared" ca="1" si="11"/>
        <v/>
      </c>
      <c r="E107" s="154" t="str">
        <f t="shared" ca="1" si="12"/>
        <v/>
      </c>
      <c r="X107" s="139" t="s">
        <v>125</v>
      </c>
      <c r="Y107" s="142">
        <f t="shared" ca="1" si="10"/>
        <v>45395</v>
      </c>
      <c r="Z107" s="150" t="str">
        <f>IF(X107="","",X107&amp;COUNTIF(X$2:$X107,X107))</f>
        <v>avril13</v>
      </c>
    </row>
    <row r="108" spans="2:26" x14ac:dyDescent="0.25">
      <c r="B108" s="122"/>
      <c r="C108" s="121"/>
      <c r="D108" s="119" t="str">
        <f t="shared" ca="1" si="11"/>
        <v/>
      </c>
      <c r="E108" s="154" t="str">
        <f t="shared" ca="1" si="12"/>
        <v/>
      </c>
      <c r="X108" s="139" t="s">
        <v>125</v>
      </c>
      <c r="Y108" s="142">
        <f t="shared" ca="1" si="10"/>
        <v>45396</v>
      </c>
      <c r="Z108" s="150" t="str">
        <f>IF(X108="","",X108&amp;COUNTIF(X$2:$X108,X108))</f>
        <v>avril14</v>
      </c>
    </row>
    <row r="109" spans="2:26" x14ac:dyDescent="0.25">
      <c r="B109" s="122"/>
      <c r="C109" s="121"/>
      <c r="D109" s="119" t="str">
        <f t="shared" ca="1" si="11"/>
        <v/>
      </c>
      <c r="E109" s="154" t="str">
        <f t="shared" ca="1" si="12"/>
        <v/>
      </c>
      <c r="X109" s="139" t="s">
        <v>125</v>
      </c>
      <c r="Y109" s="142">
        <f t="shared" ca="1" si="10"/>
        <v>45397</v>
      </c>
      <c r="Z109" s="150" t="str">
        <f>IF(X109="","",X109&amp;COUNTIF(X$2:$X109,X109))</f>
        <v>avril15</v>
      </c>
    </row>
    <row r="110" spans="2:26" x14ac:dyDescent="0.25">
      <c r="B110" s="122"/>
      <c r="C110" s="121"/>
      <c r="D110" s="119" t="str">
        <f t="shared" ca="1" si="11"/>
        <v/>
      </c>
      <c r="E110" s="154" t="str">
        <f t="shared" ca="1" si="12"/>
        <v/>
      </c>
      <c r="X110" s="139" t="s">
        <v>125</v>
      </c>
      <c r="Y110" s="142">
        <f t="shared" ca="1" si="10"/>
        <v>45398</v>
      </c>
      <c r="Z110" s="150" t="str">
        <f>IF(X110="","",X110&amp;COUNTIF(X$2:$X110,X110))</f>
        <v>avril16</v>
      </c>
    </row>
    <row r="111" spans="2:26" x14ac:dyDescent="0.25">
      <c r="B111" s="159" t="s">
        <v>37</v>
      </c>
      <c r="C111" s="121"/>
      <c r="D111" s="119" t="str">
        <f t="shared" ca="1" si="11"/>
        <v/>
      </c>
      <c r="E111" s="154" t="str">
        <f t="shared" ca="1" si="12"/>
        <v/>
      </c>
      <c r="X111" s="139" t="s">
        <v>125</v>
      </c>
      <c r="Y111" s="142">
        <f t="shared" ca="1" si="10"/>
        <v>45399</v>
      </c>
      <c r="Z111" s="150" t="str">
        <f>IF(X111="","",X111&amp;COUNTIF(X$2:$X111,X111))</f>
        <v>avril17</v>
      </c>
    </row>
    <row r="112" spans="2:26" x14ac:dyDescent="0.25">
      <c r="B112" s="117" t="s">
        <v>45</v>
      </c>
      <c r="C112" s="121"/>
      <c r="D112" s="119" t="str">
        <f t="shared" ca="1" si="11"/>
        <v/>
      </c>
      <c r="E112" s="154" t="str">
        <f t="shared" ca="1" si="12"/>
        <v/>
      </c>
      <c r="X112" s="139" t="s">
        <v>125</v>
      </c>
      <c r="Y112" s="142">
        <f t="shared" ca="1" si="10"/>
        <v>45400</v>
      </c>
      <c r="Z112" s="150" t="str">
        <f>IF(X112="","",X112&amp;COUNTIF(X$2:$X112,X112))</f>
        <v>avril18</v>
      </c>
    </row>
    <row r="113" spans="2:26" ht="15.75" thickBot="1" x14ac:dyDescent="0.3">
      <c r="B113" s="123" t="s">
        <v>44</v>
      </c>
      <c r="C113" s="124"/>
      <c r="D113" s="119" t="str">
        <f t="shared" ca="1" si="11"/>
        <v/>
      </c>
      <c r="E113" s="155" t="str">
        <f t="shared" ca="1" si="12"/>
        <v/>
      </c>
      <c r="X113" s="139" t="s">
        <v>125</v>
      </c>
      <c r="Y113" s="142">
        <f t="shared" ca="1" si="10"/>
        <v>45401</v>
      </c>
      <c r="Z113" s="150" t="str">
        <f>IF(X113="","",X113&amp;COUNTIF(X$2:$X113,X113))</f>
        <v>avril19</v>
      </c>
    </row>
    <row r="114" spans="2:26" x14ac:dyDescent="0.25">
      <c r="X114" s="139" t="s">
        <v>125</v>
      </c>
      <c r="Y114" s="142">
        <f t="shared" ca="1" si="10"/>
        <v>45402</v>
      </c>
      <c r="Z114" s="150" t="str">
        <f>IF(X114="","",X114&amp;COUNTIF(X$2:$X114,X114))</f>
        <v>avril20</v>
      </c>
    </row>
    <row r="115" spans="2:26" x14ac:dyDescent="0.25">
      <c r="X115" s="139" t="s">
        <v>125</v>
      </c>
      <c r="Y115" s="142">
        <f t="shared" ca="1" si="10"/>
        <v>45403</v>
      </c>
      <c r="Z115" s="150" t="str">
        <f>IF(X115="","",X115&amp;COUNTIF(X$2:$X115,X115))</f>
        <v>avril21</v>
      </c>
    </row>
    <row r="116" spans="2:26" x14ac:dyDescent="0.25">
      <c r="X116" s="139" t="s">
        <v>125</v>
      </c>
      <c r="Y116" s="142">
        <f t="shared" ca="1" si="10"/>
        <v>45404</v>
      </c>
      <c r="Z116" s="150" t="str">
        <f>IF(X116="","",X116&amp;COUNTIF(X$2:$X116,X116))</f>
        <v>avril22</v>
      </c>
    </row>
    <row r="117" spans="2:26" x14ac:dyDescent="0.25">
      <c r="X117" s="139" t="s">
        <v>125</v>
      </c>
      <c r="Y117" s="142">
        <f t="shared" ca="1" si="10"/>
        <v>45405</v>
      </c>
      <c r="Z117" s="150" t="str">
        <f>IF(X117="","",X117&amp;COUNTIF(X$2:$X117,X117))</f>
        <v>avril23</v>
      </c>
    </row>
    <row r="118" spans="2:26" x14ac:dyDescent="0.25">
      <c r="X118" s="139" t="s">
        <v>125</v>
      </c>
      <c r="Y118" s="142">
        <f t="shared" ca="1" si="10"/>
        <v>45406</v>
      </c>
      <c r="Z118" s="150" t="str">
        <f>IF(X118="","",X118&amp;COUNTIF(X$2:$X118,X118))</f>
        <v>avril24</v>
      </c>
    </row>
    <row r="119" spans="2:26" x14ac:dyDescent="0.25">
      <c r="X119" s="139" t="s">
        <v>125</v>
      </c>
      <c r="Y119" s="142">
        <f t="shared" ca="1" si="10"/>
        <v>45407</v>
      </c>
      <c r="Z119" s="150" t="str">
        <f>IF(X119="","",X119&amp;COUNTIF(X$2:$X119,X119))</f>
        <v>avril25</v>
      </c>
    </row>
    <row r="120" spans="2:26" x14ac:dyDescent="0.25">
      <c r="X120" s="139" t="s">
        <v>125</v>
      </c>
      <c r="Y120" s="142">
        <f t="shared" ca="1" si="10"/>
        <v>45408</v>
      </c>
      <c r="Z120" s="150" t="str">
        <f>IF(X120="","",X120&amp;COUNTIF(X$2:$X120,X120))</f>
        <v>avril26</v>
      </c>
    </row>
    <row r="121" spans="2:26" x14ac:dyDescent="0.25">
      <c r="X121" s="139" t="s">
        <v>125</v>
      </c>
      <c r="Y121" s="142">
        <f t="shared" ca="1" si="10"/>
        <v>45409</v>
      </c>
      <c r="Z121" s="150" t="str">
        <f>IF(X121="","",X121&amp;COUNTIF(X$2:$X121,X121))</f>
        <v>avril27</v>
      </c>
    </row>
    <row r="122" spans="2:26" x14ac:dyDescent="0.25">
      <c r="X122" s="139" t="s">
        <v>125</v>
      </c>
      <c r="Y122" s="142">
        <f t="shared" ca="1" si="10"/>
        <v>45410</v>
      </c>
      <c r="Z122" s="150" t="str">
        <f>IF(X122="","",X122&amp;COUNTIF(X$2:$X122,X122))</f>
        <v>avril28</v>
      </c>
    </row>
    <row r="123" spans="2:26" x14ac:dyDescent="0.25">
      <c r="X123" s="139" t="s">
        <v>125</v>
      </c>
      <c r="Y123" s="142">
        <f t="shared" ca="1" si="10"/>
        <v>45411</v>
      </c>
      <c r="Z123" s="150" t="str">
        <f>IF(X123="","",X123&amp;COUNTIF(X$2:$X123,X123))</f>
        <v>avril29</v>
      </c>
    </row>
    <row r="124" spans="2:26" x14ac:dyDescent="0.25">
      <c r="X124" s="139" t="s">
        <v>125</v>
      </c>
      <c r="Y124" s="142">
        <f ca="1">IF(EOMONTH(Y123,0)&gt;Y123,Y123+1,"")</f>
        <v>45412</v>
      </c>
      <c r="Z124" s="150" t="str">
        <f>IF(X124="","",X124&amp;COUNTIF(X$2:$X124,X124))</f>
        <v>avril30</v>
      </c>
    </row>
    <row r="125" spans="2:26" x14ac:dyDescent="0.25">
      <c r="X125" s="139" t="s">
        <v>125</v>
      </c>
      <c r="Y125" s="143" t="s">
        <v>123</v>
      </c>
      <c r="Z125" s="150" t="str">
        <f>IF(X125="","",X125&amp;COUNTIF(X$2:$X125,X125))</f>
        <v>avril31</v>
      </c>
    </row>
    <row r="126" spans="2:26" x14ac:dyDescent="0.25">
      <c r="X126" s="138" t="s">
        <v>126</v>
      </c>
      <c r="Y126" s="142">
        <f ca="1">DATE(D1,5,1)</f>
        <v>45413</v>
      </c>
      <c r="Z126" s="150" t="str">
        <f>IF(X126="","",X126&amp;COUNTIF(X$2:$X126,X126))</f>
        <v>mai1</v>
      </c>
    </row>
    <row r="127" spans="2:26" x14ac:dyDescent="0.25">
      <c r="X127" s="138" t="s">
        <v>126</v>
      </c>
      <c r="Y127" s="142">
        <f ca="1">IF(EOMONTH(Y126,0)&gt;Y126,Y126+1,"")</f>
        <v>45414</v>
      </c>
      <c r="Z127" s="150" t="str">
        <f>IF(X127="","",X127&amp;COUNTIF(X$2:$X127,X127))</f>
        <v>mai2</v>
      </c>
    </row>
    <row r="128" spans="2:26" x14ac:dyDescent="0.25">
      <c r="X128" s="138" t="s">
        <v>126</v>
      </c>
      <c r="Y128" s="142">
        <f t="shared" ref="Y128:Y156" ca="1" si="13">IF(EOMONTH(Y127,0)&gt;Y127,Y127+1,"")</f>
        <v>45415</v>
      </c>
      <c r="Z128" s="150" t="str">
        <f>IF(X128="","",X128&amp;COUNTIF(X$2:$X128,X128))</f>
        <v>mai3</v>
      </c>
    </row>
    <row r="129" spans="24:26" x14ac:dyDescent="0.25">
      <c r="X129" s="138" t="s">
        <v>126</v>
      </c>
      <c r="Y129" s="142">
        <f t="shared" ca="1" si="13"/>
        <v>45416</v>
      </c>
      <c r="Z129" s="150" t="str">
        <f>IF(X129="","",X129&amp;COUNTIF(X$2:$X129,X129))</f>
        <v>mai4</v>
      </c>
    </row>
    <row r="130" spans="24:26" x14ac:dyDescent="0.25">
      <c r="X130" s="138" t="s">
        <v>126</v>
      </c>
      <c r="Y130" s="142">
        <f t="shared" ca="1" si="13"/>
        <v>45417</v>
      </c>
      <c r="Z130" s="150" t="str">
        <f>IF(X130="","",X130&amp;COUNTIF(X$2:$X130,X130))</f>
        <v>mai5</v>
      </c>
    </row>
    <row r="131" spans="24:26" x14ac:dyDescent="0.25">
      <c r="X131" s="138" t="s">
        <v>126</v>
      </c>
      <c r="Y131" s="142">
        <f t="shared" ca="1" si="13"/>
        <v>45418</v>
      </c>
      <c r="Z131" s="150" t="str">
        <f>IF(X131="","",X131&amp;COUNTIF(X$2:$X131,X131))</f>
        <v>mai6</v>
      </c>
    </row>
    <row r="132" spans="24:26" x14ac:dyDescent="0.25">
      <c r="X132" s="138" t="s">
        <v>126</v>
      </c>
      <c r="Y132" s="142">
        <f t="shared" ca="1" si="13"/>
        <v>45419</v>
      </c>
      <c r="Z132" s="150" t="str">
        <f>IF(X132="","",X132&amp;COUNTIF(X$2:$X132,X132))</f>
        <v>mai7</v>
      </c>
    </row>
    <row r="133" spans="24:26" x14ac:dyDescent="0.25">
      <c r="X133" s="138" t="s">
        <v>126</v>
      </c>
      <c r="Y133" s="142">
        <f t="shared" ca="1" si="13"/>
        <v>45420</v>
      </c>
      <c r="Z133" s="150" t="str">
        <f>IF(X133="","",X133&amp;COUNTIF(X$2:$X133,X133))</f>
        <v>mai8</v>
      </c>
    </row>
    <row r="134" spans="24:26" x14ac:dyDescent="0.25">
      <c r="X134" s="138" t="s">
        <v>126</v>
      </c>
      <c r="Y134" s="142">
        <f t="shared" ca="1" si="13"/>
        <v>45421</v>
      </c>
      <c r="Z134" s="150" t="str">
        <f>IF(X134="","",X134&amp;COUNTIF(X$2:$X134,X134))</f>
        <v>mai9</v>
      </c>
    </row>
    <row r="135" spans="24:26" x14ac:dyDescent="0.25">
      <c r="X135" s="138" t="s">
        <v>126</v>
      </c>
      <c r="Y135" s="142">
        <f t="shared" ca="1" si="13"/>
        <v>45422</v>
      </c>
      <c r="Z135" s="150" t="str">
        <f>IF(X135="","",X135&amp;COUNTIF(X$2:$X135,X135))</f>
        <v>mai10</v>
      </c>
    </row>
    <row r="136" spans="24:26" x14ac:dyDescent="0.25">
      <c r="X136" s="138" t="s">
        <v>126</v>
      </c>
      <c r="Y136" s="142">
        <f t="shared" ca="1" si="13"/>
        <v>45423</v>
      </c>
      <c r="Z136" s="150" t="str">
        <f>IF(X136="","",X136&amp;COUNTIF(X$2:$X136,X136))</f>
        <v>mai11</v>
      </c>
    </row>
    <row r="137" spans="24:26" x14ac:dyDescent="0.25">
      <c r="X137" s="138" t="s">
        <v>126</v>
      </c>
      <c r="Y137" s="142">
        <f t="shared" ca="1" si="13"/>
        <v>45424</v>
      </c>
      <c r="Z137" s="150" t="str">
        <f>IF(X137="","",X137&amp;COUNTIF(X$2:$X137,X137))</f>
        <v>mai12</v>
      </c>
    </row>
    <row r="138" spans="24:26" x14ac:dyDescent="0.25">
      <c r="X138" s="138" t="s">
        <v>126</v>
      </c>
      <c r="Y138" s="142">
        <f t="shared" ca="1" si="13"/>
        <v>45425</v>
      </c>
      <c r="Z138" s="150" t="str">
        <f>IF(X138="","",X138&amp;COUNTIF(X$2:$X138,X138))</f>
        <v>mai13</v>
      </c>
    </row>
    <row r="139" spans="24:26" x14ac:dyDescent="0.25">
      <c r="X139" s="138" t="s">
        <v>126</v>
      </c>
      <c r="Y139" s="142">
        <f t="shared" ca="1" si="13"/>
        <v>45426</v>
      </c>
      <c r="Z139" s="150" t="str">
        <f>IF(X139="","",X139&amp;COUNTIF(X$2:$X139,X139))</f>
        <v>mai14</v>
      </c>
    </row>
    <row r="140" spans="24:26" x14ac:dyDescent="0.25">
      <c r="X140" s="138" t="s">
        <v>126</v>
      </c>
      <c r="Y140" s="142">
        <f t="shared" ca="1" si="13"/>
        <v>45427</v>
      </c>
      <c r="Z140" s="150" t="str">
        <f>IF(X140="","",X140&amp;COUNTIF(X$2:$X140,X140))</f>
        <v>mai15</v>
      </c>
    </row>
    <row r="141" spans="24:26" x14ac:dyDescent="0.25">
      <c r="X141" s="138" t="s">
        <v>126</v>
      </c>
      <c r="Y141" s="142">
        <f t="shared" ca="1" si="13"/>
        <v>45428</v>
      </c>
      <c r="Z141" s="150" t="str">
        <f>IF(X141="","",X141&amp;COUNTIF(X$2:$X141,X141))</f>
        <v>mai16</v>
      </c>
    </row>
    <row r="142" spans="24:26" x14ac:dyDescent="0.25">
      <c r="X142" s="138" t="s">
        <v>126</v>
      </c>
      <c r="Y142" s="142">
        <f t="shared" ca="1" si="13"/>
        <v>45429</v>
      </c>
      <c r="Z142" s="150" t="str">
        <f>IF(X142="","",X142&amp;COUNTIF(X$2:$X142,X142))</f>
        <v>mai17</v>
      </c>
    </row>
    <row r="143" spans="24:26" x14ac:dyDescent="0.25">
      <c r="X143" s="138" t="s">
        <v>126</v>
      </c>
      <c r="Y143" s="142">
        <f t="shared" ca="1" si="13"/>
        <v>45430</v>
      </c>
      <c r="Z143" s="150" t="str">
        <f>IF(X143="","",X143&amp;COUNTIF(X$2:$X143,X143))</f>
        <v>mai18</v>
      </c>
    </row>
    <row r="144" spans="24:26" x14ac:dyDescent="0.25">
      <c r="X144" s="138" t="s">
        <v>126</v>
      </c>
      <c r="Y144" s="142">
        <f t="shared" ca="1" si="13"/>
        <v>45431</v>
      </c>
      <c r="Z144" s="150" t="str">
        <f>IF(X144="","",X144&amp;COUNTIF(X$2:$X144,X144))</f>
        <v>mai19</v>
      </c>
    </row>
    <row r="145" spans="24:26" x14ac:dyDescent="0.25">
      <c r="X145" s="138" t="s">
        <v>126</v>
      </c>
      <c r="Y145" s="142">
        <f t="shared" ca="1" si="13"/>
        <v>45432</v>
      </c>
      <c r="Z145" s="150" t="str">
        <f>IF(X145="","",X145&amp;COUNTIF(X$2:$X145,X145))</f>
        <v>mai20</v>
      </c>
    </row>
    <row r="146" spans="24:26" x14ac:dyDescent="0.25">
      <c r="X146" s="138" t="s">
        <v>126</v>
      </c>
      <c r="Y146" s="142">
        <f t="shared" ca="1" si="13"/>
        <v>45433</v>
      </c>
      <c r="Z146" s="150" t="str">
        <f>IF(X146="","",X146&amp;COUNTIF(X$2:$X146,X146))</f>
        <v>mai21</v>
      </c>
    </row>
    <row r="147" spans="24:26" x14ac:dyDescent="0.25">
      <c r="X147" s="138" t="s">
        <v>126</v>
      </c>
      <c r="Y147" s="142">
        <f t="shared" ca="1" si="13"/>
        <v>45434</v>
      </c>
      <c r="Z147" s="150" t="str">
        <f>IF(X147="","",X147&amp;COUNTIF(X$2:$X147,X147))</f>
        <v>mai22</v>
      </c>
    </row>
    <row r="148" spans="24:26" x14ac:dyDescent="0.25">
      <c r="X148" s="138" t="s">
        <v>126</v>
      </c>
      <c r="Y148" s="142">
        <f t="shared" ca="1" si="13"/>
        <v>45435</v>
      </c>
      <c r="Z148" s="150" t="str">
        <f>IF(X148="","",X148&amp;COUNTIF(X$2:$X148,X148))</f>
        <v>mai23</v>
      </c>
    </row>
    <row r="149" spans="24:26" x14ac:dyDescent="0.25">
      <c r="X149" s="138" t="s">
        <v>126</v>
      </c>
      <c r="Y149" s="142">
        <f t="shared" ca="1" si="13"/>
        <v>45436</v>
      </c>
      <c r="Z149" s="150" t="str">
        <f>IF(X149="","",X149&amp;COUNTIF(X$2:$X149,X149))</f>
        <v>mai24</v>
      </c>
    </row>
    <row r="150" spans="24:26" x14ac:dyDescent="0.25">
      <c r="X150" s="138" t="s">
        <v>126</v>
      </c>
      <c r="Y150" s="142">
        <f t="shared" ca="1" si="13"/>
        <v>45437</v>
      </c>
      <c r="Z150" s="150" t="str">
        <f>IF(X150="","",X150&amp;COUNTIF(X$2:$X150,X150))</f>
        <v>mai25</v>
      </c>
    </row>
    <row r="151" spans="24:26" x14ac:dyDescent="0.25">
      <c r="X151" s="138" t="s">
        <v>126</v>
      </c>
      <c r="Y151" s="142">
        <f t="shared" ca="1" si="13"/>
        <v>45438</v>
      </c>
      <c r="Z151" s="150" t="str">
        <f>IF(X151="","",X151&amp;COUNTIF(X$2:$X151,X151))</f>
        <v>mai26</v>
      </c>
    </row>
    <row r="152" spans="24:26" x14ac:dyDescent="0.25">
      <c r="X152" s="138" t="s">
        <v>126</v>
      </c>
      <c r="Y152" s="142">
        <f t="shared" ca="1" si="13"/>
        <v>45439</v>
      </c>
      <c r="Z152" s="150" t="str">
        <f>IF(X152="","",X152&amp;COUNTIF(X$2:$X152,X152))</f>
        <v>mai27</v>
      </c>
    </row>
    <row r="153" spans="24:26" x14ac:dyDescent="0.25">
      <c r="X153" s="138" t="s">
        <v>126</v>
      </c>
      <c r="Y153" s="142">
        <f t="shared" ca="1" si="13"/>
        <v>45440</v>
      </c>
      <c r="Z153" s="150" t="str">
        <f>IF(X153="","",X153&amp;COUNTIF(X$2:$X153,X153))</f>
        <v>mai28</v>
      </c>
    </row>
    <row r="154" spans="24:26" x14ac:dyDescent="0.25">
      <c r="X154" s="138" t="s">
        <v>126</v>
      </c>
      <c r="Y154" s="142">
        <f t="shared" ca="1" si="13"/>
        <v>45441</v>
      </c>
      <c r="Z154" s="150" t="str">
        <f>IF(X154="","",X154&amp;COUNTIF(X$2:$X154,X154))</f>
        <v>mai29</v>
      </c>
    </row>
    <row r="155" spans="24:26" x14ac:dyDescent="0.25">
      <c r="X155" s="138" t="s">
        <v>126</v>
      </c>
      <c r="Y155" s="142">
        <f t="shared" ca="1" si="13"/>
        <v>45442</v>
      </c>
      <c r="Z155" s="150" t="str">
        <f>IF(X155="","",X155&amp;COUNTIF(X$2:$X155,X155))</f>
        <v>mai30</v>
      </c>
    </row>
    <row r="156" spans="24:26" x14ac:dyDescent="0.25">
      <c r="X156" s="138" t="s">
        <v>126</v>
      </c>
      <c r="Y156" s="142">
        <f t="shared" ca="1" si="13"/>
        <v>45443</v>
      </c>
      <c r="Z156" s="150" t="str">
        <f>IF(X156="","",X156&amp;COUNTIF(X$2:$X156,X156))</f>
        <v>mai31</v>
      </c>
    </row>
    <row r="157" spans="24:26" x14ac:dyDescent="0.25">
      <c r="X157" s="139" t="s">
        <v>127</v>
      </c>
      <c r="Y157" s="142">
        <f ca="1">DATE(D1,6,1)</f>
        <v>45444</v>
      </c>
      <c r="Z157" s="150" t="str">
        <f>IF(X157="","",X157&amp;COUNTIF(X$2:$X157,X157))</f>
        <v>juin1</v>
      </c>
    </row>
    <row r="158" spans="24:26" x14ac:dyDescent="0.25">
      <c r="X158" s="139" t="s">
        <v>127</v>
      </c>
      <c r="Y158" s="142">
        <f ca="1">IF(EOMONTH(Y157,0)&gt;Y157,Y157+1,"")</f>
        <v>45445</v>
      </c>
      <c r="Z158" s="150" t="str">
        <f>IF(X158="","",X158&amp;COUNTIF(X$2:$X158,X158))</f>
        <v>juin2</v>
      </c>
    </row>
    <row r="159" spans="24:26" x14ac:dyDescent="0.25">
      <c r="X159" s="139" t="s">
        <v>127</v>
      </c>
      <c r="Y159" s="142">
        <f t="shared" ref="Y159:Y186" ca="1" si="14">IF(EOMONTH(Y158,0)&gt;Y158,Y158+1,"")</f>
        <v>45446</v>
      </c>
      <c r="Z159" s="150" t="str">
        <f>IF(X159="","",X159&amp;COUNTIF(X$2:$X159,X159))</f>
        <v>juin3</v>
      </c>
    </row>
    <row r="160" spans="24:26" x14ac:dyDescent="0.25">
      <c r="X160" s="139" t="s">
        <v>127</v>
      </c>
      <c r="Y160" s="142">
        <f t="shared" ca="1" si="14"/>
        <v>45447</v>
      </c>
      <c r="Z160" s="150" t="str">
        <f>IF(X160="","",X160&amp;COUNTIF(X$2:$X160,X160))</f>
        <v>juin4</v>
      </c>
    </row>
    <row r="161" spans="24:26" x14ac:dyDescent="0.25">
      <c r="X161" s="139" t="s">
        <v>127</v>
      </c>
      <c r="Y161" s="142">
        <f t="shared" ca="1" si="14"/>
        <v>45448</v>
      </c>
      <c r="Z161" s="150" t="str">
        <f>IF(X161="","",X161&amp;COUNTIF(X$2:$X161,X161))</f>
        <v>juin5</v>
      </c>
    </row>
    <row r="162" spans="24:26" x14ac:dyDescent="0.25">
      <c r="X162" s="139" t="s">
        <v>127</v>
      </c>
      <c r="Y162" s="142">
        <f t="shared" ca="1" si="14"/>
        <v>45449</v>
      </c>
      <c r="Z162" s="150" t="str">
        <f>IF(X162="","",X162&amp;COUNTIF(X$2:$X162,X162))</f>
        <v>juin6</v>
      </c>
    </row>
    <row r="163" spans="24:26" x14ac:dyDescent="0.25">
      <c r="X163" s="139" t="s">
        <v>127</v>
      </c>
      <c r="Y163" s="142">
        <f t="shared" ca="1" si="14"/>
        <v>45450</v>
      </c>
      <c r="Z163" s="150" t="str">
        <f>IF(X163="","",X163&amp;COUNTIF(X$2:$X163,X163))</f>
        <v>juin7</v>
      </c>
    </row>
    <row r="164" spans="24:26" x14ac:dyDescent="0.25">
      <c r="X164" s="139" t="s">
        <v>127</v>
      </c>
      <c r="Y164" s="142">
        <f t="shared" ca="1" si="14"/>
        <v>45451</v>
      </c>
      <c r="Z164" s="150" t="str">
        <f>IF(X164="","",X164&amp;COUNTIF(X$2:$X164,X164))</f>
        <v>juin8</v>
      </c>
    </row>
    <row r="165" spans="24:26" x14ac:dyDescent="0.25">
      <c r="X165" s="139" t="s">
        <v>127</v>
      </c>
      <c r="Y165" s="142">
        <f t="shared" ca="1" si="14"/>
        <v>45452</v>
      </c>
      <c r="Z165" s="150" t="str">
        <f>IF(X165="","",X165&amp;COUNTIF(X$2:$X165,X165))</f>
        <v>juin9</v>
      </c>
    </row>
    <row r="166" spans="24:26" x14ac:dyDescent="0.25">
      <c r="X166" s="139" t="s">
        <v>127</v>
      </c>
      <c r="Y166" s="142">
        <f t="shared" ca="1" si="14"/>
        <v>45453</v>
      </c>
      <c r="Z166" s="150" t="str">
        <f>IF(X166="","",X166&amp;COUNTIF(X$2:$X166,X166))</f>
        <v>juin10</v>
      </c>
    </row>
    <row r="167" spans="24:26" x14ac:dyDescent="0.25">
      <c r="X167" s="139" t="s">
        <v>127</v>
      </c>
      <c r="Y167" s="142">
        <f t="shared" ca="1" si="14"/>
        <v>45454</v>
      </c>
      <c r="Z167" s="150" t="str">
        <f>IF(X167="","",X167&amp;COUNTIF(X$2:$X167,X167))</f>
        <v>juin11</v>
      </c>
    </row>
    <row r="168" spans="24:26" x14ac:dyDescent="0.25">
      <c r="X168" s="139" t="s">
        <v>127</v>
      </c>
      <c r="Y168" s="142">
        <f t="shared" ca="1" si="14"/>
        <v>45455</v>
      </c>
      <c r="Z168" s="150" t="str">
        <f>IF(X168="","",X168&amp;COUNTIF(X$2:$X168,X168))</f>
        <v>juin12</v>
      </c>
    </row>
    <row r="169" spans="24:26" x14ac:dyDescent="0.25">
      <c r="X169" s="139" t="s">
        <v>127</v>
      </c>
      <c r="Y169" s="142">
        <f t="shared" ca="1" si="14"/>
        <v>45456</v>
      </c>
      <c r="Z169" s="150" t="str">
        <f>IF(X169="","",X169&amp;COUNTIF(X$2:$X169,X169))</f>
        <v>juin13</v>
      </c>
    </row>
    <row r="170" spans="24:26" x14ac:dyDescent="0.25">
      <c r="X170" s="139" t="s">
        <v>127</v>
      </c>
      <c r="Y170" s="142">
        <f t="shared" ca="1" si="14"/>
        <v>45457</v>
      </c>
      <c r="Z170" s="150" t="str">
        <f>IF(X170="","",X170&amp;COUNTIF(X$2:$X170,X170))</f>
        <v>juin14</v>
      </c>
    </row>
    <row r="171" spans="24:26" x14ac:dyDescent="0.25">
      <c r="X171" s="139" t="s">
        <v>127</v>
      </c>
      <c r="Y171" s="142">
        <f t="shared" ca="1" si="14"/>
        <v>45458</v>
      </c>
      <c r="Z171" s="150" t="str">
        <f>IF(X171="","",X171&amp;COUNTIF(X$2:$X171,X171))</f>
        <v>juin15</v>
      </c>
    </row>
    <row r="172" spans="24:26" x14ac:dyDescent="0.25">
      <c r="X172" s="139" t="s">
        <v>127</v>
      </c>
      <c r="Y172" s="142">
        <f t="shared" ca="1" si="14"/>
        <v>45459</v>
      </c>
      <c r="Z172" s="150" t="str">
        <f>IF(X172="","",X172&amp;COUNTIF(X$2:$X172,X172))</f>
        <v>juin16</v>
      </c>
    </row>
    <row r="173" spans="24:26" x14ac:dyDescent="0.25">
      <c r="X173" s="139" t="s">
        <v>127</v>
      </c>
      <c r="Y173" s="142">
        <f t="shared" ca="1" si="14"/>
        <v>45460</v>
      </c>
      <c r="Z173" s="150" t="str">
        <f>IF(X173="","",X173&amp;COUNTIF(X$2:$X173,X173))</f>
        <v>juin17</v>
      </c>
    </row>
    <row r="174" spans="24:26" x14ac:dyDescent="0.25">
      <c r="X174" s="139" t="s">
        <v>127</v>
      </c>
      <c r="Y174" s="142">
        <f t="shared" ca="1" si="14"/>
        <v>45461</v>
      </c>
      <c r="Z174" s="150" t="str">
        <f>IF(X174="","",X174&amp;COUNTIF(X$2:$X174,X174))</f>
        <v>juin18</v>
      </c>
    </row>
    <row r="175" spans="24:26" x14ac:dyDescent="0.25">
      <c r="X175" s="139" t="s">
        <v>127</v>
      </c>
      <c r="Y175" s="142">
        <f t="shared" ca="1" si="14"/>
        <v>45462</v>
      </c>
      <c r="Z175" s="150" t="str">
        <f>IF(X175="","",X175&amp;COUNTIF(X$2:$X175,X175))</f>
        <v>juin19</v>
      </c>
    </row>
    <row r="176" spans="24:26" x14ac:dyDescent="0.25">
      <c r="X176" s="139" t="s">
        <v>127</v>
      </c>
      <c r="Y176" s="142">
        <f t="shared" ca="1" si="14"/>
        <v>45463</v>
      </c>
      <c r="Z176" s="150" t="str">
        <f>IF(X176="","",X176&amp;COUNTIF(X$2:$X176,X176))</f>
        <v>juin20</v>
      </c>
    </row>
    <row r="177" spans="24:26" x14ac:dyDescent="0.25">
      <c r="X177" s="139" t="s">
        <v>127</v>
      </c>
      <c r="Y177" s="142">
        <f t="shared" ca="1" si="14"/>
        <v>45464</v>
      </c>
      <c r="Z177" s="150" t="str">
        <f>IF(X177="","",X177&amp;COUNTIF(X$2:$X177,X177))</f>
        <v>juin21</v>
      </c>
    </row>
    <row r="178" spans="24:26" x14ac:dyDescent="0.25">
      <c r="X178" s="139" t="s">
        <v>127</v>
      </c>
      <c r="Y178" s="142">
        <f t="shared" ca="1" si="14"/>
        <v>45465</v>
      </c>
      <c r="Z178" s="150" t="str">
        <f>IF(X178="","",X178&amp;COUNTIF(X$2:$X178,X178))</f>
        <v>juin22</v>
      </c>
    </row>
    <row r="179" spans="24:26" x14ac:dyDescent="0.25">
      <c r="X179" s="139" t="s">
        <v>127</v>
      </c>
      <c r="Y179" s="142">
        <f t="shared" ca="1" si="14"/>
        <v>45466</v>
      </c>
      <c r="Z179" s="150" t="str">
        <f>IF(X179="","",X179&amp;COUNTIF(X$2:$X179,X179))</f>
        <v>juin23</v>
      </c>
    </row>
    <row r="180" spans="24:26" x14ac:dyDescent="0.25">
      <c r="X180" s="139" t="s">
        <v>127</v>
      </c>
      <c r="Y180" s="142">
        <f t="shared" ca="1" si="14"/>
        <v>45467</v>
      </c>
      <c r="Z180" s="150" t="str">
        <f>IF(X180="","",X180&amp;COUNTIF(X$2:$X180,X180))</f>
        <v>juin24</v>
      </c>
    </row>
    <row r="181" spans="24:26" x14ac:dyDescent="0.25">
      <c r="X181" s="139" t="s">
        <v>127</v>
      </c>
      <c r="Y181" s="142">
        <f t="shared" ca="1" si="14"/>
        <v>45468</v>
      </c>
      <c r="Z181" s="150" t="str">
        <f>IF(X181="","",X181&amp;COUNTIF(X$2:$X181,X181))</f>
        <v>juin25</v>
      </c>
    </row>
    <row r="182" spans="24:26" x14ac:dyDescent="0.25">
      <c r="X182" s="139" t="s">
        <v>127</v>
      </c>
      <c r="Y182" s="142">
        <f t="shared" ca="1" si="14"/>
        <v>45469</v>
      </c>
      <c r="Z182" s="150" t="str">
        <f>IF(X182="","",X182&amp;COUNTIF(X$2:$X182,X182))</f>
        <v>juin26</v>
      </c>
    </row>
    <row r="183" spans="24:26" x14ac:dyDescent="0.25">
      <c r="X183" s="139" t="s">
        <v>127</v>
      </c>
      <c r="Y183" s="142">
        <f t="shared" ca="1" si="14"/>
        <v>45470</v>
      </c>
      <c r="Z183" s="150" t="str">
        <f>IF(X183="","",X183&amp;COUNTIF(X$2:$X183,X183))</f>
        <v>juin27</v>
      </c>
    </row>
    <row r="184" spans="24:26" x14ac:dyDescent="0.25">
      <c r="X184" s="139" t="s">
        <v>127</v>
      </c>
      <c r="Y184" s="142">
        <f t="shared" ca="1" si="14"/>
        <v>45471</v>
      </c>
      <c r="Z184" s="150" t="str">
        <f>IF(X184="","",X184&amp;COUNTIF(X$2:$X184,X184))</f>
        <v>juin28</v>
      </c>
    </row>
    <row r="185" spans="24:26" x14ac:dyDescent="0.25">
      <c r="X185" s="139" t="s">
        <v>127</v>
      </c>
      <c r="Y185" s="142">
        <f t="shared" ca="1" si="14"/>
        <v>45472</v>
      </c>
      <c r="Z185" s="150" t="str">
        <f>IF(X185="","",X185&amp;COUNTIF(X$2:$X185,X185))</f>
        <v>juin29</v>
      </c>
    </row>
    <row r="186" spans="24:26" x14ac:dyDescent="0.25">
      <c r="X186" s="139" t="s">
        <v>127</v>
      </c>
      <c r="Y186" s="142">
        <f t="shared" ca="1" si="14"/>
        <v>45473</v>
      </c>
      <c r="Z186" s="150" t="str">
        <f>IF(X186="","",X186&amp;COUNTIF(X$2:$X186,X186))</f>
        <v>juin30</v>
      </c>
    </row>
    <row r="187" spans="24:26" x14ac:dyDescent="0.25">
      <c r="X187" s="139" t="s">
        <v>127</v>
      </c>
      <c r="Y187" s="144" t="s">
        <v>123</v>
      </c>
      <c r="Z187" s="150" t="str">
        <f>IF(X187="","",X187&amp;COUNTIF(X$2:$X187,X187))</f>
        <v>juin31</v>
      </c>
    </row>
    <row r="188" spans="24:26" x14ac:dyDescent="0.25">
      <c r="X188" s="138" t="s">
        <v>128</v>
      </c>
      <c r="Y188" s="142">
        <f ca="1">DATE(D1,7,1)</f>
        <v>45474</v>
      </c>
      <c r="Z188" s="150" t="str">
        <f>IF(X188="","",X188&amp;COUNTIF(X$2:$X188,X188))</f>
        <v>juillet1</v>
      </c>
    </row>
    <row r="189" spans="24:26" x14ac:dyDescent="0.25">
      <c r="X189" s="138" t="s">
        <v>128</v>
      </c>
      <c r="Y189" s="142">
        <f ca="1">IF(EOMONTH(Y188,0)&gt;Y188,Y188+1,"")</f>
        <v>45475</v>
      </c>
      <c r="Z189" s="150" t="str">
        <f>IF(X189="","",X189&amp;COUNTIF(X$2:$X189,X189))</f>
        <v>juillet2</v>
      </c>
    </row>
    <row r="190" spans="24:26" x14ac:dyDescent="0.25">
      <c r="X190" s="138" t="s">
        <v>128</v>
      </c>
      <c r="Y190" s="142">
        <f t="shared" ref="Y190:Y218" ca="1" si="15">IF(EOMONTH(Y189,0)&gt;Y189,Y189+1,"")</f>
        <v>45476</v>
      </c>
      <c r="Z190" s="150" t="str">
        <f>IF(X190="","",X190&amp;COUNTIF(X$2:$X190,X190))</f>
        <v>juillet3</v>
      </c>
    </row>
    <row r="191" spans="24:26" x14ac:dyDescent="0.25">
      <c r="X191" s="138" t="s">
        <v>128</v>
      </c>
      <c r="Y191" s="142">
        <f t="shared" ca="1" si="15"/>
        <v>45477</v>
      </c>
      <c r="Z191" s="150" t="str">
        <f>IF(X191="","",X191&amp;COUNTIF(X$2:$X191,X191))</f>
        <v>juillet4</v>
      </c>
    </row>
    <row r="192" spans="24:26" x14ac:dyDescent="0.25">
      <c r="X192" s="138" t="s">
        <v>128</v>
      </c>
      <c r="Y192" s="142">
        <f t="shared" ca="1" si="15"/>
        <v>45478</v>
      </c>
      <c r="Z192" s="150" t="str">
        <f>IF(X192="","",X192&amp;COUNTIF(X$2:$X192,X192))</f>
        <v>juillet5</v>
      </c>
    </row>
    <row r="193" spans="24:26" x14ac:dyDescent="0.25">
      <c r="X193" s="138" t="s">
        <v>128</v>
      </c>
      <c r="Y193" s="142">
        <f t="shared" ca="1" si="15"/>
        <v>45479</v>
      </c>
      <c r="Z193" s="150" t="str">
        <f>IF(X193="","",X193&amp;COUNTIF(X$2:$X193,X193))</f>
        <v>juillet6</v>
      </c>
    </row>
    <row r="194" spans="24:26" x14ac:dyDescent="0.25">
      <c r="X194" s="138" t="s">
        <v>128</v>
      </c>
      <c r="Y194" s="142">
        <f t="shared" ca="1" si="15"/>
        <v>45480</v>
      </c>
      <c r="Z194" s="150" t="str">
        <f>IF(X194="","",X194&amp;COUNTIF(X$2:$X194,X194))</f>
        <v>juillet7</v>
      </c>
    </row>
    <row r="195" spans="24:26" x14ac:dyDescent="0.25">
      <c r="X195" s="138" t="s">
        <v>128</v>
      </c>
      <c r="Y195" s="142">
        <f t="shared" ca="1" si="15"/>
        <v>45481</v>
      </c>
      <c r="Z195" s="150" t="str">
        <f>IF(X195="","",X195&amp;COUNTIF(X$2:$X195,X195))</f>
        <v>juillet8</v>
      </c>
    </row>
    <row r="196" spans="24:26" x14ac:dyDescent="0.25">
      <c r="X196" s="138" t="s">
        <v>128</v>
      </c>
      <c r="Y196" s="142">
        <f t="shared" ca="1" si="15"/>
        <v>45482</v>
      </c>
      <c r="Z196" s="150" t="str">
        <f>IF(X196="","",X196&amp;COUNTIF(X$2:$X196,X196))</f>
        <v>juillet9</v>
      </c>
    </row>
    <row r="197" spans="24:26" x14ac:dyDescent="0.25">
      <c r="X197" s="138" t="s">
        <v>128</v>
      </c>
      <c r="Y197" s="142">
        <f t="shared" ca="1" si="15"/>
        <v>45483</v>
      </c>
      <c r="Z197" s="150" t="str">
        <f>IF(X197="","",X197&amp;COUNTIF(X$2:$X197,X197))</f>
        <v>juillet10</v>
      </c>
    </row>
    <row r="198" spans="24:26" x14ac:dyDescent="0.25">
      <c r="X198" s="138" t="s">
        <v>128</v>
      </c>
      <c r="Y198" s="142">
        <f t="shared" ca="1" si="15"/>
        <v>45484</v>
      </c>
      <c r="Z198" s="150" t="str">
        <f>IF(X198="","",X198&amp;COUNTIF(X$2:$X198,X198))</f>
        <v>juillet11</v>
      </c>
    </row>
    <row r="199" spans="24:26" x14ac:dyDescent="0.25">
      <c r="X199" s="138" t="s">
        <v>128</v>
      </c>
      <c r="Y199" s="142">
        <f t="shared" ca="1" si="15"/>
        <v>45485</v>
      </c>
      <c r="Z199" s="150" t="str">
        <f>IF(X199="","",X199&amp;COUNTIF(X$2:$X199,X199))</f>
        <v>juillet12</v>
      </c>
    </row>
    <row r="200" spans="24:26" x14ac:dyDescent="0.25">
      <c r="X200" s="138" t="s">
        <v>128</v>
      </c>
      <c r="Y200" s="142">
        <f t="shared" ca="1" si="15"/>
        <v>45486</v>
      </c>
      <c r="Z200" s="150" t="str">
        <f>IF(X200="","",X200&amp;COUNTIF(X$2:$X200,X200))</f>
        <v>juillet13</v>
      </c>
    </row>
    <row r="201" spans="24:26" x14ac:dyDescent="0.25">
      <c r="X201" s="138" t="s">
        <v>128</v>
      </c>
      <c r="Y201" s="142">
        <f t="shared" ca="1" si="15"/>
        <v>45487</v>
      </c>
      <c r="Z201" s="150" t="str">
        <f>IF(X201="","",X201&amp;COUNTIF(X$2:$X201,X201))</f>
        <v>juillet14</v>
      </c>
    </row>
    <row r="202" spans="24:26" x14ac:dyDescent="0.25">
      <c r="X202" s="138" t="s">
        <v>128</v>
      </c>
      <c r="Y202" s="142">
        <f t="shared" ca="1" si="15"/>
        <v>45488</v>
      </c>
      <c r="Z202" s="150" t="str">
        <f>IF(X202="","",X202&amp;COUNTIF(X$2:$X202,X202))</f>
        <v>juillet15</v>
      </c>
    </row>
    <row r="203" spans="24:26" x14ac:dyDescent="0.25">
      <c r="X203" s="138" t="s">
        <v>128</v>
      </c>
      <c r="Y203" s="142">
        <f t="shared" ca="1" si="15"/>
        <v>45489</v>
      </c>
      <c r="Z203" s="150" t="str">
        <f>IF(X203="","",X203&amp;COUNTIF(X$2:$X203,X203))</f>
        <v>juillet16</v>
      </c>
    </row>
    <row r="204" spans="24:26" x14ac:dyDescent="0.25">
      <c r="X204" s="138" t="s">
        <v>128</v>
      </c>
      <c r="Y204" s="142">
        <f t="shared" ca="1" si="15"/>
        <v>45490</v>
      </c>
      <c r="Z204" s="150" t="str">
        <f>IF(X204="","",X204&amp;COUNTIF(X$2:$X204,X204))</f>
        <v>juillet17</v>
      </c>
    </row>
    <row r="205" spans="24:26" x14ac:dyDescent="0.25">
      <c r="X205" s="138" t="s">
        <v>128</v>
      </c>
      <c r="Y205" s="142">
        <f t="shared" ca="1" si="15"/>
        <v>45491</v>
      </c>
      <c r="Z205" s="150" t="str">
        <f>IF(X205="","",X205&amp;COUNTIF(X$2:$X205,X205))</f>
        <v>juillet18</v>
      </c>
    </row>
    <row r="206" spans="24:26" x14ac:dyDescent="0.25">
      <c r="X206" s="138" t="s">
        <v>128</v>
      </c>
      <c r="Y206" s="142">
        <f t="shared" ca="1" si="15"/>
        <v>45492</v>
      </c>
      <c r="Z206" s="150" t="str">
        <f>IF(X206="","",X206&amp;COUNTIF(X$2:$X206,X206))</f>
        <v>juillet19</v>
      </c>
    </row>
    <row r="207" spans="24:26" x14ac:dyDescent="0.25">
      <c r="X207" s="138" t="s">
        <v>128</v>
      </c>
      <c r="Y207" s="142">
        <f t="shared" ca="1" si="15"/>
        <v>45493</v>
      </c>
      <c r="Z207" s="150" t="str">
        <f>IF(X207="","",X207&amp;COUNTIF(X$2:$X207,X207))</f>
        <v>juillet20</v>
      </c>
    </row>
    <row r="208" spans="24:26" x14ac:dyDescent="0.25">
      <c r="X208" s="138" t="s">
        <v>128</v>
      </c>
      <c r="Y208" s="142">
        <f t="shared" ca="1" si="15"/>
        <v>45494</v>
      </c>
      <c r="Z208" s="150" t="str">
        <f>IF(X208="","",X208&amp;COUNTIF(X$2:$X208,X208))</f>
        <v>juillet21</v>
      </c>
    </row>
    <row r="209" spans="24:26" x14ac:dyDescent="0.25">
      <c r="X209" s="138" t="s">
        <v>128</v>
      </c>
      <c r="Y209" s="142">
        <f t="shared" ca="1" si="15"/>
        <v>45495</v>
      </c>
      <c r="Z209" s="150" t="str">
        <f>IF(X209="","",X209&amp;COUNTIF(X$2:$X209,X209))</f>
        <v>juillet22</v>
      </c>
    </row>
    <row r="210" spans="24:26" x14ac:dyDescent="0.25">
      <c r="X210" s="138" t="s">
        <v>128</v>
      </c>
      <c r="Y210" s="142">
        <f t="shared" ca="1" si="15"/>
        <v>45496</v>
      </c>
      <c r="Z210" s="150" t="str">
        <f>IF(X210="","",X210&amp;COUNTIF(X$2:$X210,X210))</f>
        <v>juillet23</v>
      </c>
    </row>
    <row r="211" spans="24:26" x14ac:dyDescent="0.25">
      <c r="X211" s="138" t="s">
        <v>128</v>
      </c>
      <c r="Y211" s="142">
        <f t="shared" ca="1" si="15"/>
        <v>45497</v>
      </c>
      <c r="Z211" s="150" t="str">
        <f>IF(X211="","",X211&amp;COUNTIF(X$2:$X211,X211))</f>
        <v>juillet24</v>
      </c>
    </row>
    <row r="212" spans="24:26" x14ac:dyDescent="0.25">
      <c r="X212" s="138" t="s">
        <v>128</v>
      </c>
      <c r="Y212" s="142">
        <f t="shared" ca="1" si="15"/>
        <v>45498</v>
      </c>
      <c r="Z212" s="150" t="str">
        <f>IF(X212="","",X212&amp;COUNTIF(X$2:$X212,X212))</f>
        <v>juillet25</v>
      </c>
    </row>
    <row r="213" spans="24:26" x14ac:dyDescent="0.25">
      <c r="X213" s="138" t="s">
        <v>128</v>
      </c>
      <c r="Y213" s="142">
        <f t="shared" ca="1" si="15"/>
        <v>45499</v>
      </c>
      <c r="Z213" s="150" t="str">
        <f>IF(X213="","",X213&amp;COUNTIF(X$2:$X213,X213))</f>
        <v>juillet26</v>
      </c>
    </row>
    <row r="214" spans="24:26" x14ac:dyDescent="0.25">
      <c r="X214" s="138" t="s">
        <v>128</v>
      </c>
      <c r="Y214" s="142">
        <f t="shared" ca="1" si="15"/>
        <v>45500</v>
      </c>
      <c r="Z214" s="150" t="str">
        <f>IF(X214="","",X214&amp;COUNTIF(X$2:$X214,X214))</f>
        <v>juillet27</v>
      </c>
    </row>
    <row r="215" spans="24:26" x14ac:dyDescent="0.25">
      <c r="X215" s="138" t="s">
        <v>128</v>
      </c>
      <c r="Y215" s="142">
        <f t="shared" ca="1" si="15"/>
        <v>45501</v>
      </c>
      <c r="Z215" s="150" t="str">
        <f>IF(X215="","",X215&amp;COUNTIF(X$2:$X215,X215))</f>
        <v>juillet28</v>
      </c>
    </row>
    <row r="216" spans="24:26" x14ac:dyDescent="0.25">
      <c r="X216" s="138" t="s">
        <v>128</v>
      </c>
      <c r="Y216" s="142">
        <f t="shared" ca="1" si="15"/>
        <v>45502</v>
      </c>
      <c r="Z216" s="150" t="str">
        <f>IF(X216="","",X216&amp;COUNTIF(X$2:$X216,X216))</f>
        <v>juillet29</v>
      </c>
    </row>
    <row r="217" spans="24:26" x14ac:dyDescent="0.25">
      <c r="X217" s="138" t="s">
        <v>128</v>
      </c>
      <c r="Y217" s="142">
        <f t="shared" ca="1" si="15"/>
        <v>45503</v>
      </c>
      <c r="Z217" s="150" t="str">
        <f>IF(X217="","",X217&amp;COUNTIF(X$2:$X217,X217))</f>
        <v>juillet30</v>
      </c>
    </row>
    <row r="218" spans="24:26" x14ac:dyDescent="0.25">
      <c r="X218" s="138" t="s">
        <v>128</v>
      </c>
      <c r="Y218" s="142">
        <f t="shared" ca="1" si="15"/>
        <v>45504</v>
      </c>
      <c r="Z218" s="150" t="str">
        <f>IF(X218="","",X218&amp;COUNTIF(X$2:$X218,X218))</f>
        <v>juillet31</v>
      </c>
    </row>
    <row r="219" spans="24:26" x14ac:dyDescent="0.25">
      <c r="X219" s="139" t="s">
        <v>129</v>
      </c>
      <c r="Y219" s="142">
        <f ca="1">DATE(D1,8,1)</f>
        <v>45505</v>
      </c>
      <c r="Z219" s="150" t="str">
        <f>IF(X219="","",X219&amp;COUNTIF(X$2:$X219,X219))</f>
        <v>août1</v>
      </c>
    </row>
    <row r="220" spans="24:26" x14ac:dyDescent="0.25">
      <c r="X220" s="139" t="s">
        <v>129</v>
      </c>
      <c r="Y220" s="142">
        <f ca="1">IF(EOMONTH(Y219,0)&gt;Y219,Y219+1,"")</f>
        <v>45506</v>
      </c>
      <c r="Z220" s="150" t="str">
        <f>IF(X220="","",X220&amp;COUNTIF(X$2:$X220,X220))</f>
        <v>août2</v>
      </c>
    </row>
    <row r="221" spans="24:26" x14ac:dyDescent="0.25">
      <c r="X221" s="139" t="s">
        <v>129</v>
      </c>
      <c r="Y221" s="142">
        <f t="shared" ref="Y221:Y249" ca="1" si="16">IF(EOMONTH(Y220,0)&gt;Y220,Y220+1,"")</f>
        <v>45507</v>
      </c>
      <c r="Z221" s="150" t="str">
        <f>IF(X221="","",X221&amp;COUNTIF(X$2:$X221,X221))</f>
        <v>août3</v>
      </c>
    </row>
    <row r="222" spans="24:26" x14ac:dyDescent="0.25">
      <c r="X222" s="139" t="s">
        <v>129</v>
      </c>
      <c r="Y222" s="142">
        <f t="shared" ca="1" si="16"/>
        <v>45508</v>
      </c>
      <c r="Z222" s="150" t="str">
        <f>IF(X222="","",X222&amp;COUNTIF(X$2:$X222,X222))</f>
        <v>août4</v>
      </c>
    </row>
    <row r="223" spans="24:26" x14ac:dyDescent="0.25">
      <c r="X223" s="139" t="s">
        <v>129</v>
      </c>
      <c r="Y223" s="142">
        <f t="shared" ca="1" si="16"/>
        <v>45509</v>
      </c>
      <c r="Z223" s="150" t="str">
        <f>IF(X223="","",X223&amp;COUNTIF(X$2:$X223,X223))</f>
        <v>août5</v>
      </c>
    </row>
    <row r="224" spans="24:26" x14ac:dyDescent="0.25">
      <c r="X224" s="139" t="s">
        <v>129</v>
      </c>
      <c r="Y224" s="142">
        <f t="shared" ca="1" si="16"/>
        <v>45510</v>
      </c>
      <c r="Z224" s="150" t="str">
        <f>IF(X224="","",X224&amp;COUNTIF(X$2:$X224,X224))</f>
        <v>août6</v>
      </c>
    </row>
    <row r="225" spans="24:26" x14ac:dyDescent="0.25">
      <c r="X225" s="139" t="s">
        <v>129</v>
      </c>
      <c r="Y225" s="142">
        <f t="shared" ca="1" si="16"/>
        <v>45511</v>
      </c>
      <c r="Z225" s="150" t="str">
        <f>IF(X225="","",X225&amp;COUNTIF(X$2:$X225,X225))</f>
        <v>août7</v>
      </c>
    </row>
    <row r="226" spans="24:26" x14ac:dyDescent="0.25">
      <c r="X226" s="139" t="s">
        <v>129</v>
      </c>
      <c r="Y226" s="142">
        <f t="shared" ca="1" si="16"/>
        <v>45512</v>
      </c>
      <c r="Z226" s="150" t="str">
        <f>IF(X226="","",X226&amp;COUNTIF(X$2:$X226,X226))</f>
        <v>août8</v>
      </c>
    </row>
    <row r="227" spans="24:26" x14ac:dyDescent="0.25">
      <c r="X227" s="139" t="s">
        <v>129</v>
      </c>
      <c r="Y227" s="142">
        <f t="shared" ca="1" si="16"/>
        <v>45513</v>
      </c>
      <c r="Z227" s="150" t="str">
        <f>IF(X227="","",X227&amp;COUNTIF(X$2:$X227,X227))</f>
        <v>août9</v>
      </c>
    </row>
    <row r="228" spans="24:26" x14ac:dyDescent="0.25">
      <c r="X228" s="139" t="s">
        <v>129</v>
      </c>
      <c r="Y228" s="142">
        <f t="shared" ca="1" si="16"/>
        <v>45514</v>
      </c>
      <c r="Z228" s="150" t="str">
        <f>IF(X228="","",X228&amp;COUNTIF(X$2:$X228,X228))</f>
        <v>août10</v>
      </c>
    </row>
    <row r="229" spans="24:26" x14ac:dyDescent="0.25">
      <c r="X229" s="139" t="s">
        <v>129</v>
      </c>
      <c r="Y229" s="142">
        <f t="shared" ca="1" si="16"/>
        <v>45515</v>
      </c>
      <c r="Z229" s="150" t="str">
        <f>IF(X229="","",X229&amp;COUNTIF(X$2:$X229,X229))</f>
        <v>août11</v>
      </c>
    </row>
    <row r="230" spans="24:26" x14ac:dyDescent="0.25">
      <c r="X230" s="139" t="s">
        <v>129</v>
      </c>
      <c r="Y230" s="142">
        <f t="shared" ca="1" si="16"/>
        <v>45516</v>
      </c>
      <c r="Z230" s="150" t="str">
        <f>IF(X230="","",X230&amp;COUNTIF(X$2:$X230,X230))</f>
        <v>août12</v>
      </c>
    </row>
    <row r="231" spans="24:26" x14ac:dyDescent="0.25">
      <c r="X231" s="139" t="s">
        <v>129</v>
      </c>
      <c r="Y231" s="142">
        <f t="shared" ca="1" si="16"/>
        <v>45517</v>
      </c>
      <c r="Z231" s="150" t="str">
        <f>IF(X231="","",X231&amp;COUNTIF(X$2:$X231,X231))</f>
        <v>août13</v>
      </c>
    </row>
    <row r="232" spans="24:26" x14ac:dyDescent="0.25">
      <c r="X232" s="139" t="s">
        <v>129</v>
      </c>
      <c r="Y232" s="142">
        <f t="shared" ca="1" si="16"/>
        <v>45518</v>
      </c>
      <c r="Z232" s="150" t="str">
        <f>IF(X232="","",X232&amp;COUNTIF(X$2:$X232,X232))</f>
        <v>août14</v>
      </c>
    </row>
    <row r="233" spans="24:26" x14ac:dyDescent="0.25">
      <c r="X233" s="139" t="s">
        <v>129</v>
      </c>
      <c r="Y233" s="142">
        <f t="shared" ca="1" si="16"/>
        <v>45519</v>
      </c>
      <c r="Z233" s="150" t="str">
        <f>IF(X233="","",X233&amp;COUNTIF(X$2:$X233,X233))</f>
        <v>août15</v>
      </c>
    </row>
    <row r="234" spans="24:26" x14ac:dyDescent="0.25">
      <c r="X234" s="139" t="s">
        <v>129</v>
      </c>
      <c r="Y234" s="142">
        <f t="shared" ca="1" si="16"/>
        <v>45520</v>
      </c>
      <c r="Z234" s="150" t="str">
        <f>IF(X234="","",X234&amp;COUNTIF(X$2:$X234,X234))</f>
        <v>août16</v>
      </c>
    </row>
    <row r="235" spans="24:26" x14ac:dyDescent="0.25">
      <c r="X235" s="139" t="s">
        <v>129</v>
      </c>
      <c r="Y235" s="142">
        <f t="shared" ca="1" si="16"/>
        <v>45521</v>
      </c>
      <c r="Z235" s="150" t="str">
        <f>IF(X235="","",X235&amp;COUNTIF(X$2:$X235,X235))</f>
        <v>août17</v>
      </c>
    </row>
    <row r="236" spans="24:26" x14ac:dyDescent="0.25">
      <c r="X236" s="139" t="s">
        <v>129</v>
      </c>
      <c r="Y236" s="142">
        <f t="shared" ca="1" si="16"/>
        <v>45522</v>
      </c>
      <c r="Z236" s="150" t="str">
        <f>IF(X236="","",X236&amp;COUNTIF(X$2:$X236,X236))</f>
        <v>août18</v>
      </c>
    </row>
    <row r="237" spans="24:26" x14ac:dyDescent="0.25">
      <c r="X237" s="139" t="s">
        <v>129</v>
      </c>
      <c r="Y237" s="142">
        <f t="shared" ca="1" si="16"/>
        <v>45523</v>
      </c>
      <c r="Z237" s="150" t="str">
        <f>IF(X237="","",X237&amp;COUNTIF(X$2:$X237,X237))</f>
        <v>août19</v>
      </c>
    </row>
    <row r="238" spans="24:26" x14ac:dyDescent="0.25">
      <c r="X238" s="139" t="s">
        <v>129</v>
      </c>
      <c r="Y238" s="142">
        <f t="shared" ca="1" si="16"/>
        <v>45524</v>
      </c>
      <c r="Z238" s="150" t="str">
        <f>IF(X238="","",X238&amp;COUNTIF(X$2:$X238,X238))</f>
        <v>août20</v>
      </c>
    </row>
    <row r="239" spans="24:26" x14ac:dyDescent="0.25">
      <c r="X239" s="139" t="s">
        <v>129</v>
      </c>
      <c r="Y239" s="142">
        <f t="shared" ca="1" si="16"/>
        <v>45525</v>
      </c>
      <c r="Z239" s="150" t="str">
        <f>IF(X239="","",X239&amp;COUNTIF(X$2:$X239,X239))</f>
        <v>août21</v>
      </c>
    </row>
    <row r="240" spans="24:26" x14ac:dyDescent="0.25">
      <c r="X240" s="139" t="s">
        <v>129</v>
      </c>
      <c r="Y240" s="142">
        <f t="shared" ca="1" si="16"/>
        <v>45526</v>
      </c>
      <c r="Z240" s="150" t="str">
        <f>IF(X240="","",X240&amp;COUNTIF(X$2:$X240,X240))</f>
        <v>août22</v>
      </c>
    </row>
    <row r="241" spans="24:26" x14ac:dyDescent="0.25">
      <c r="X241" s="139" t="s">
        <v>129</v>
      </c>
      <c r="Y241" s="142">
        <f t="shared" ca="1" si="16"/>
        <v>45527</v>
      </c>
      <c r="Z241" s="150" t="str">
        <f>IF(X241="","",X241&amp;COUNTIF(X$2:$X241,X241))</f>
        <v>août23</v>
      </c>
    </row>
    <row r="242" spans="24:26" x14ac:dyDescent="0.25">
      <c r="X242" s="139" t="s">
        <v>129</v>
      </c>
      <c r="Y242" s="142">
        <f t="shared" ca="1" si="16"/>
        <v>45528</v>
      </c>
      <c r="Z242" s="150" t="str">
        <f>IF(X242="","",X242&amp;COUNTIF(X$2:$X242,X242))</f>
        <v>août24</v>
      </c>
    </row>
    <row r="243" spans="24:26" x14ac:dyDescent="0.25">
      <c r="X243" s="139" t="s">
        <v>129</v>
      </c>
      <c r="Y243" s="142">
        <f t="shared" ca="1" si="16"/>
        <v>45529</v>
      </c>
      <c r="Z243" s="150" t="str">
        <f>IF(X243="","",X243&amp;COUNTIF(X$2:$X243,X243))</f>
        <v>août25</v>
      </c>
    </row>
    <row r="244" spans="24:26" x14ac:dyDescent="0.25">
      <c r="X244" s="139" t="s">
        <v>129</v>
      </c>
      <c r="Y244" s="142">
        <f t="shared" ca="1" si="16"/>
        <v>45530</v>
      </c>
      <c r="Z244" s="150" t="str">
        <f>IF(X244="","",X244&amp;COUNTIF(X$2:$X244,X244))</f>
        <v>août26</v>
      </c>
    </row>
    <row r="245" spans="24:26" x14ac:dyDescent="0.25">
      <c r="X245" s="139" t="s">
        <v>129</v>
      </c>
      <c r="Y245" s="142">
        <f t="shared" ca="1" si="16"/>
        <v>45531</v>
      </c>
      <c r="Z245" s="150" t="str">
        <f>IF(X245="","",X245&amp;COUNTIF(X$2:$X245,X245))</f>
        <v>août27</v>
      </c>
    </row>
    <row r="246" spans="24:26" x14ac:dyDescent="0.25">
      <c r="X246" s="139" t="s">
        <v>129</v>
      </c>
      <c r="Y246" s="142">
        <f t="shared" ca="1" si="16"/>
        <v>45532</v>
      </c>
      <c r="Z246" s="150" t="str">
        <f>IF(X246="","",X246&amp;COUNTIF(X$2:$X246,X246))</f>
        <v>août28</v>
      </c>
    </row>
    <row r="247" spans="24:26" x14ac:dyDescent="0.25">
      <c r="X247" s="139" t="s">
        <v>129</v>
      </c>
      <c r="Y247" s="142">
        <f t="shared" ca="1" si="16"/>
        <v>45533</v>
      </c>
      <c r="Z247" s="150" t="str">
        <f>IF(X247="","",X247&amp;COUNTIF(X$2:$X247,X247))</f>
        <v>août29</v>
      </c>
    </row>
    <row r="248" spans="24:26" x14ac:dyDescent="0.25">
      <c r="X248" s="139" t="s">
        <v>129</v>
      </c>
      <c r="Y248" s="142">
        <f t="shared" ca="1" si="16"/>
        <v>45534</v>
      </c>
      <c r="Z248" s="150" t="str">
        <f>IF(X248="","",X248&amp;COUNTIF(X$2:$X248,X248))</f>
        <v>août30</v>
      </c>
    </row>
    <row r="249" spans="24:26" x14ac:dyDescent="0.25">
      <c r="X249" s="139" t="s">
        <v>129</v>
      </c>
      <c r="Y249" s="142">
        <f t="shared" ca="1" si="16"/>
        <v>45535</v>
      </c>
      <c r="Z249" s="150" t="str">
        <f>IF(X249="","",X249&amp;COUNTIF(X$2:$X249,X249))</f>
        <v>août31</v>
      </c>
    </row>
    <row r="250" spans="24:26" x14ac:dyDescent="0.25">
      <c r="X250" s="138" t="s">
        <v>130</v>
      </c>
      <c r="Y250" s="142">
        <f ca="1">DATE(D1,9,1)</f>
        <v>45536</v>
      </c>
      <c r="Z250" s="150" t="str">
        <f>IF(X250="","",X250&amp;COUNTIF(X$2:$X250,X250))</f>
        <v>septembre1</v>
      </c>
    </row>
    <row r="251" spans="24:26" x14ac:dyDescent="0.25">
      <c r="X251" s="138" t="s">
        <v>130</v>
      </c>
      <c r="Y251" s="142">
        <f ca="1">IF(EOMONTH(Y250,0)&gt;Y250,Y250+1,"")</f>
        <v>45537</v>
      </c>
      <c r="Z251" s="150" t="str">
        <f>IF(X251="","",X251&amp;COUNTIF(X$2:$X251,X251))</f>
        <v>septembre2</v>
      </c>
    </row>
    <row r="252" spans="24:26" x14ac:dyDescent="0.25">
      <c r="X252" s="138" t="s">
        <v>130</v>
      </c>
      <c r="Y252" s="142">
        <f t="shared" ref="Y252:Y279" ca="1" si="17">IF(EOMONTH(Y251,0)&gt;Y251,Y251+1,"")</f>
        <v>45538</v>
      </c>
      <c r="Z252" s="150" t="str">
        <f>IF(X252="","",X252&amp;COUNTIF(X$2:$X252,X252))</f>
        <v>septembre3</v>
      </c>
    </row>
    <row r="253" spans="24:26" x14ac:dyDescent="0.25">
      <c r="X253" s="138" t="s">
        <v>130</v>
      </c>
      <c r="Y253" s="142">
        <f t="shared" ca="1" si="17"/>
        <v>45539</v>
      </c>
      <c r="Z253" s="150" t="str">
        <f>IF(X253="","",X253&amp;COUNTIF(X$2:$X253,X253))</f>
        <v>septembre4</v>
      </c>
    </row>
    <row r="254" spans="24:26" x14ac:dyDescent="0.25">
      <c r="X254" s="138" t="s">
        <v>130</v>
      </c>
      <c r="Y254" s="142">
        <f t="shared" ca="1" si="17"/>
        <v>45540</v>
      </c>
      <c r="Z254" s="150" t="str">
        <f>IF(X254="","",X254&amp;COUNTIF(X$2:$X254,X254))</f>
        <v>septembre5</v>
      </c>
    </row>
    <row r="255" spans="24:26" x14ac:dyDescent="0.25">
      <c r="X255" s="138" t="s">
        <v>130</v>
      </c>
      <c r="Y255" s="142">
        <f t="shared" ca="1" si="17"/>
        <v>45541</v>
      </c>
      <c r="Z255" s="150" t="str">
        <f>IF(X255="","",X255&amp;COUNTIF(X$2:$X255,X255))</f>
        <v>septembre6</v>
      </c>
    </row>
    <row r="256" spans="24:26" x14ac:dyDescent="0.25">
      <c r="X256" s="138" t="s">
        <v>130</v>
      </c>
      <c r="Y256" s="142">
        <f t="shared" ca="1" si="17"/>
        <v>45542</v>
      </c>
      <c r="Z256" s="150" t="str">
        <f>IF(X256="","",X256&amp;COUNTIF(X$2:$X256,X256))</f>
        <v>septembre7</v>
      </c>
    </row>
    <row r="257" spans="24:26" x14ac:dyDescent="0.25">
      <c r="X257" s="138" t="s">
        <v>130</v>
      </c>
      <c r="Y257" s="142">
        <f t="shared" ca="1" si="17"/>
        <v>45543</v>
      </c>
      <c r="Z257" s="150" t="str">
        <f>IF(X257="","",X257&amp;COUNTIF(X$2:$X257,X257))</f>
        <v>septembre8</v>
      </c>
    </row>
    <row r="258" spans="24:26" x14ac:dyDescent="0.25">
      <c r="X258" s="138" t="s">
        <v>130</v>
      </c>
      <c r="Y258" s="142">
        <f t="shared" ca="1" si="17"/>
        <v>45544</v>
      </c>
      <c r="Z258" s="150" t="str">
        <f>IF(X258="","",X258&amp;COUNTIF(X$2:$X258,X258))</f>
        <v>septembre9</v>
      </c>
    </row>
    <row r="259" spans="24:26" x14ac:dyDescent="0.25">
      <c r="X259" s="138" t="s">
        <v>130</v>
      </c>
      <c r="Y259" s="142">
        <f t="shared" ca="1" si="17"/>
        <v>45545</v>
      </c>
      <c r="Z259" s="150" t="str">
        <f>IF(X259="","",X259&amp;COUNTIF(X$2:$X259,X259))</f>
        <v>septembre10</v>
      </c>
    </row>
    <row r="260" spans="24:26" x14ac:dyDescent="0.25">
      <c r="X260" s="138" t="s">
        <v>130</v>
      </c>
      <c r="Y260" s="142">
        <f t="shared" ca="1" si="17"/>
        <v>45546</v>
      </c>
      <c r="Z260" s="150" t="str">
        <f>IF(X260="","",X260&amp;COUNTIF(X$2:$X260,X260))</f>
        <v>septembre11</v>
      </c>
    </row>
    <row r="261" spans="24:26" x14ac:dyDescent="0.25">
      <c r="X261" s="138" t="s">
        <v>130</v>
      </c>
      <c r="Y261" s="142">
        <f t="shared" ca="1" si="17"/>
        <v>45547</v>
      </c>
      <c r="Z261" s="150" t="str">
        <f>IF(X261="","",X261&amp;COUNTIF(X$2:$X261,X261))</f>
        <v>septembre12</v>
      </c>
    </row>
    <row r="262" spans="24:26" x14ac:dyDescent="0.25">
      <c r="X262" s="138" t="s">
        <v>130</v>
      </c>
      <c r="Y262" s="142">
        <f t="shared" ca="1" si="17"/>
        <v>45548</v>
      </c>
      <c r="Z262" s="150" t="str">
        <f>IF(X262="","",X262&amp;COUNTIF(X$2:$X262,X262))</f>
        <v>septembre13</v>
      </c>
    </row>
    <row r="263" spans="24:26" x14ac:dyDescent="0.25">
      <c r="X263" s="138" t="s">
        <v>130</v>
      </c>
      <c r="Y263" s="142">
        <f t="shared" ca="1" si="17"/>
        <v>45549</v>
      </c>
      <c r="Z263" s="150" t="str">
        <f>IF(X263="","",X263&amp;COUNTIF(X$2:$X263,X263))</f>
        <v>septembre14</v>
      </c>
    </row>
    <row r="264" spans="24:26" x14ac:dyDescent="0.25">
      <c r="X264" s="138" t="s">
        <v>130</v>
      </c>
      <c r="Y264" s="142">
        <f t="shared" ca="1" si="17"/>
        <v>45550</v>
      </c>
      <c r="Z264" s="150" t="str">
        <f>IF(X264="","",X264&amp;COUNTIF(X$2:$X264,X264))</f>
        <v>septembre15</v>
      </c>
    </row>
    <row r="265" spans="24:26" x14ac:dyDescent="0.25">
      <c r="X265" s="138" t="s">
        <v>130</v>
      </c>
      <c r="Y265" s="142">
        <f t="shared" ca="1" si="17"/>
        <v>45551</v>
      </c>
      <c r="Z265" s="150" t="str">
        <f>IF(X265="","",X265&amp;COUNTIF(X$2:$X265,X265))</f>
        <v>septembre16</v>
      </c>
    </row>
    <row r="266" spans="24:26" x14ac:dyDescent="0.25">
      <c r="X266" s="138" t="s">
        <v>130</v>
      </c>
      <c r="Y266" s="142">
        <f t="shared" ca="1" si="17"/>
        <v>45552</v>
      </c>
      <c r="Z266" s="150" t="str">
        <f>IF(X266="","",X266&amp;COUNTIF(X$2:$X266,X266))</f>
        <v>septembre17</v>
      </c>
    </row>
    <row r="267" spans="24:26" x14ac:dyDescent="0.25">
      <c r="X267" s="138" t="s">
        <v>130</v>
      </c>
      <c r="Y267" s="142">
        <f t="shared" ca="1" si="17"/>
        <v>45553</v>
      </c>
      <c r="Z267" s="150" t="str">
        <f>IF(X267="","",X267&amp;COUNTIF(X$2:$X267,X267))</f>
        <v>septembre18</v>
      </c>
    </row>
    <row r="268" spans="24:26" x14ac:dyDescent="0.25">
      <c r="X268" s="138" t="s">
        <v>130</v>
      </c>
      <c r="Y268" s="142">
        <f t="shared" ca="1" si="17"/>
        <v>45554</v>
      </c>
      <c r="Z268" s="150" t="str">
        <f>IF(X268="","",X268&amp;COUNTIF(X$2:$X268,X268))</f>
        <v>septembre19</v>
      </c>
    </row>
    <row r="269" spans="24:26" x14ac:dyDescent="0.25">
      <c r="X269" s="138" t="s">
        <v>130</v>
      </c>
      <c r="Y269" s="142">
        <f t="shared" ca="1" si="17"/>
        <v>45555</v>
      </c>
      <c r="Z269" s="150" t="str">
        <f>IF(X269="","",X269&amp;COUNTIF(X$2:$X269,X269))</f>
        <v>septembre20</v>
      </c>
    </row>
    <row r="270" spans="24:26" x14ac:dyDescent="0.25">
      <c r="X270" s="138" t="s">
        <v>130</v>
      </c>
      <c r="Y270" s="142">
        <f t="shared" ca="1" si="17"/>
        <v>45556</v>
      </c>
      <c r="Z270" s="150" t="str">
        <f>IF(X270="","",X270&amp;COUNTIF(X$2:$X270,X270))</f>
        <v>septembre21</v>
      </c>
    </row>
    <row r="271" spans="24:26" x14ac:dyDescent="0.25">
      <c r="X271" s="138" t="s">
        <v>130</v>
      </c>
      <c r="Y271" s="142">
        <f t="shared" ca="1" si="17"/>
        <v>45557</v>
      </c>
      <c r="Z271" s="150" t="str">
        <f>IF(X271="","",X271&amp;COUNTIF(X$2:$X271,X271))</f>
        <v>septembre22</v>
      </c>
    </row>
    <row r="272" spans="24:26" x14ac:dyDescent="0.25">
      <c r="X272" s="138" t="s">
        <v>130</v>
      </c>
      <c r="Y272" s="142">
        <f t="shared" ca="1" si="17"/>
        <v>45558</v>
      </c>
      <c r="Z272" s="150" t="str">
        <f>IF(X272="","",X272&amp;COUNTIF(X$2:$X272,X272))</f>
        <v>septembre23</v>
      </c>
    </row>
    <row r="273" spans="24:26" x14ac:dyDescent="0.25">
      <c r="X273" s="138" t="s">
        <v>130</v>
      </c>
      <c r="Y273" s="142">
        <f t="shared" ca="1" si="17"/>
        <v>45559</v>
      </c>
      <c r="Z273" s="150" t="str">
        <f>IF(X273="","",X273&amp;COUNTIF(X$2:$X273,X273))</f>
        <v>septembre24</v>
      </c>
    </row>
    <row r="274" spans="24:26" x14ac:dyDescent="0.25">
      <c r="X274" s="138" t="s">
        <v>130</v>
      </c>
      <c r="Y274" s="142">
        <f t="shared" ca="1" si="17"/>
        <v>45560</v>
      </c>
      <c r="Z274" s="150" t="str">
        <f>IF(X274="","",X274&amp;COUNTIF(X$2:$X274,X274))</f>
        <v>septembre25</v>
      </c>
    </row>
    <row r="275" spans="24:26" x14ac:dyDescent="0.25">
      <c r="X275" s="138" t="s">
        <v>130</v>
      </c>
      <c r="Y275" s="142">
        <f t="shared" ca="1" si="17"/>
        <v>45561</v>
      </c>
      <c r="Z275" s="150" t="str">
        <f>IF(X275="","",X275&amp;COUNTIF(X$2:$X275,X275))</f>
        <v>septembre26</v>
      </c>
    </row>
    <row r="276" spans="24:26" x14ac:dyDescent="0.25">
      <c r="X276" s="138" t="s">
        <v>130</v>
      </c>
      <c r="Y276" s="142">
        <f t="shared" ca="1" si="17"/>
        <v>45562</v>
      </c>
      <c r="Z276" s="150" t="str">
        <f>IF(X276="","",X276&amp;COUNTIF(X$2:$X276,X276))</f>
        <v>septembre27</v>
      </c>
    </row>
    <row r="277" spans="24:26" x14ac:dyDescent="0.25">
      <c r="X277" s="138" t="s">
        <v>130</v>
      </c>
      <c r="Y277" s="142">
        <f t="shared" ca="1" si="17"/>
        <v>45563</v>
      </c>
      <c r="Z277" s="150" t="str">
        <f>IF(X277="","",X277&amp;COUNTIF(X$2:$X277,X277))</f>
        <v>septembre28</v>
      </c>
    </row>
    <row r="278" spans="24:26" x14ac:dyDescent="0.25">
      <c r="X278" s="138" t="s">
        <v>130</v>
      </c>
      <c r="Y278" s="142">
        <f t="shared" ca="1" si="17"/>
        <v>45564</v>
      </c>
      <c r="Z278" s="150" t="str">
        <f>IF(X278="","",X278&amp;COUNTIF(X$2:$X278,X278))</f>
        <v>septembre29</v>
      </c>
    </row>
    <row r="279" spans="24:26" x14ac:dyDescent="0.25">
      <c r="X279" s="138" t="s">
        <v>130</v>
      </c>
      <c r="Y279" s="142">
        <f t="shared" ca="1" si="17"/>
        <v>45565</v>
      </c>
      <c r="Z279" s="150" t="str">
        <f>IF(X279="","",X279&amp;COUNTIF(X$2:$X279,X279))</f>
        <v>septembre30</v>
      </c>
    </row>
    <row r="280" spans="24:26" x14ac:dyDescent="0.25">
      <c r="X280" s="138" t="s">
        <v>130</v>
      </c>
      <c r="Y280" s="143" t="s">
        <v>123</v>
      </c>
      <c r="Z280" s="150" t="str">
        <f>IF(X280="","",X280&amp;COUNTIF(X$2:$X280,X280))</f>
        <v>septembre31</v>
      </c>
    </row>
    <row r="281" spans="24:26" x14ac:dyDescent="0.25">
      <c r="X281" s="139" t="s">
        <v>131</v>
      </c>
      <c r="Y281" s="142">
        <f ca="1">DATE(D1,10,1)</f>
        <v>45566</v>
      </c>
      <c r="Z281" s="150" t="str">
        <f>IF(X281="","",X281&amp;COUNTIF(X$2:$X281,X281))</f>
        <v>octobre1</v>
      </c>
    </row>
    <row r="282" spans="24:26" x14ac:dyDescent="0.25">
      <c r="X282" s="139" t="s">
        <v>131</v>
      </c>
      <c r="Y282" s="142">
        <f ca="1">IF(EOMONTH(Y281,0)&gt;Y281,Y281+1,"")</f>
        <v>45567</v>
      </c>
      <c r="Z282" s="150" t="str">
        <f>IF(X282="","",X282&amp;COUNTIF(X$2:$X282,X282))</f>
        <v>octobre2</v>
      </c>
    </row>
    <row r="283" spans="24:26" x14ac:dyDescent="0.25">
      <c r="X283" s="139" t="s">
        <v>131</v>
      </c>
      <c r="Y283" s="142">
        <f t="shared" ref="Y283:Y311" ca="1" si="18">IF(EOMONTH(Y282,0)&gt;Y282,Y282+1,"")</f>
        <v>45568</v>
      </c>
      <c r="Z283" s="150" t="str">
        <f>IF(X283="","",X283&amp;COUNTIF(X$2:$X283,X283))</f>
        <v>octobre3</v>
      </c>
    </row>
    <row r="284" spans="24:26" x14ac:dyDescent="0.25">
      <c r="X284" s="139" t="s">
        <v>131</v>
      </c>
      <c r="Y284" s="142">
        <f t="shared" ca="1" si="18"/>
        <v>45569</v>
      </c>
      <c r="Z284" s="150" t="str">
        <f>IF(X284="","",X284&amp;COUNTIF(X$2:$X284,X284))</f>
        <v>octobre4</v>
      </c>
    </row>
    <row r="285" spans="24:26" x14ac:dyDescent="0.25">
      <c r="X285" s="139" t="s">
        <v>131</v>
      </c>
      <c r="Y285" s="142">
        <f t="shared" ca="1" si="18"/>
        <v>45570</v>
      </c>
      <c r="Z285" s="150" t="str">
        <f>IF(X285="","",X285&amp;COUNTIF(X$2:$X285,X285))</f>
        <v>octobre5</v>
      </c>
    </row>
    <row r="286" spans="24:26" x14ac:dyDescent="0.25">
      <c r="X286" s="139" t="s">
        <v>131</v>
      </c>
      <c r="Y286" s="142">
        <f t="shared" ca="1" si="18"/>
        <v>45571</v>
      </c>
      <c r="Z286" s="150" t="str">
        <f>IF(X286="","",X286&amp;COUNTIF(X$2:$X286,X286))</f>
        <v>octobre6</v>
      </c>
    </row>
    <row r="287" spans="24:26" x14ac:dyDescent="0.25">
      <c r="X287" s="139" t="s">
        <v>131</v>
      </c>
      <c r="Y287" s="142">
        <f t="shared" ca="1" si="18"/>
        <v>45572</v>
      </c>
      <c r="Z287" s="150" t="str">
        <f>IF(X287="","",X287&amp;COUNTIF(X$2:$X287,X287))</f>
        <v>octobre7</v>
      </c>
    </row>
    <row r="288" spans="24:26" x14ac:dyDescent="0.25">
      <c r="X288" s="139" t="s">
        <v>131</v>
      </c>
      <c r="Y288" s="142">
        <f t="shared" ca="1" si="18"/>
        <v>45573</v>
      </c>
      <c r="Z288" s="150" t="str">
        <f>IF(X288="","",X288&amp;COUNTIF(X$2:$X288,X288))</f>
        <v>octobre8</v>
      </c>
    </row>
    <row r="289" spans="24:26" x14ac:dyDescent="0.25">
      <c r="X289" s="139" t="s">
        <v>131</v>
      </c>
      <c r="Y289" s="142">
        <f t="shared" ca="1" si="18"/>
        <v>45574</v>
      </c>
      <c r="Z289" s="150" t="str">
        <f>IF(X289="","",X289&amp;COUNTIF(X$2:$X289,X289))</f>
        <v>octobre9</v>
      </c>
    </row>
    <row r="290" spans="24:26" x14ac:dyDescent="0.25">
      <c r="X290" s="139" t="s">
        <v>131</v>
      </c>
      <c r="Y290" s="142">
        <f t="shared" ca="1" si="18"/>
        <v>45575</v>
      </c>
      <c r="Z290" s="150" t="str">
        <f>IF(X290="","",X290&amp;COUNTIF(X$2:$X290,X290))</f>
        <v>octobre10</v>
      </c>
    </row>
    <row r="291" spans="24:26" x14ac:dyDescent="0.25">
      <c r="X291" s="139" t="s">
        <v>131</v>
      </c>
      <c r="Y291" s="142">
        <f t="shared" ca="1" si="18"/>
        <v>45576</v>
      </c>
      <c r="Z291" s="150" t="str">
        <f>IF(X291="","",X291&amp;COUNTIF(X$2:$X291,X291))</f>
        <v>octobre11</v>
      </c>
    </row>
    <row r="292" spans="24:26" x14ac:dyDescent="0.25">
      <c r="X292" s="139" t="s">
        <v>131</v>
      </c>
      <c r="Y292" s="142">
        <f t="shared" ca="1" si="18"/>
        <v>45577</v>
      </c>
      <c r="Z292" s="150" t="str">
        <f>IF(X292="","",X292&amp;COUNTIF(X$2:$X292,X292))</f>
        <v>octobre12</v>
      </c>
    </row>
    <row r="293" spans="24:26" x14ac:dyDescent="0.25">
      <c r="X293" s="139" t="s">
        <v>131</v>
      </c>
      <c r="Y293" s="142">
        <f t="shared" ca="1" si="18"/>
        <v>45578</v>
      </c>
      <c r="Z293" s="150" t="str">
        <f>IF(X293="","",X293&amp;COUNTIF(X$2:$X293,X293))</f>
        <v>octobre13</v>
      </c>
    </row>
    <row r="294" spans="24:26" x14ac:dyDescent="0.25">
      <c r="X294" s="139" t="s">
        <v>131</v>
      </c>
      <c r="Y294" s="142">
        <f t="shared" ca="1" si="18"/>
        <v>45579</v>
      </c>
      <c r="Z294" s="150" t="str">
        <f>IF(X294="","",X294&amp;COUNTIF(X$2:$X294,X294))</f>
        <v>octobre14</v>
      </c>
    </row>
    <row r="295" spans="24:26" x14ac:dyDescent="0.25">
      <c r="X295" s="139" t="s">
        <v>131</v>
      </c>
      <c r="Y295" s="142">
        <f t="shared" ca="1" si="18"/>
        <v>45580</v>
      </c>
      <c r="Z295" s="150" t="str">
        <f>IF(X295="","",X295&amp;COUNTIF(X$2:$X295,X295))</f>
        <v>octobre15</v>
      </c>
    </row>
    <row r="296" spans="24:26" x14ac:dyDescent="0.25">
      <c r="X296" s="139" t="s">
        <v>131</v>
      </c>
      <c r="Y296" s="142">
        <f t="shared" ca="1" si="18"/>
        <v>45581</v>
      </c>
      <c r="Z296" s="150" t="str">
        <f>IF(X296="","",X296&amp;COUNTIF(X$2:$X296,X296))</f>
        <v>octobre16</v>
      </c>
    </row>
    <row r="297" spans="24:26" x14ac:dyDescent="0.25">
      <c r="X297" s="139" t="s">
        <v>131</v>
      </c>
      <c r="Y297" s="142">
        <f t="shared" ca="1" si="18"/>
        <v>45582</v>
      </c>
      <c r="Z297" s="150" t="str">
        <f>IF(X297="","",X297&amp;COUNTIF(X$2:$X297,X297))</f>
        <v>octobre17</v>
      </c>
    </row>
    <row r="298" spans="24:26" x14ac:dyDescent="0.25">
      <c r="X298" s="139" t="s">
        <v>131</v>
      </c>
      <c r="Y298" s="142">
        <f t="shared" ca="1" si="18"/>
        <v>45583</v>
      </c>
      <c r="Z298" s="150" t="str">
        <f>IF(X298="","",X298&amp;COUNTIF(X$2:$X298,X298))</f>
        <v>octobre18</v>
      </c>
    </row>
    <row r="299" spans="24:26" x14ac:dyDescent="0.25">
      <c r="X299" s="139" t="s">
        <v>131</v>
      </c>
      <c r="Y299" s="142">
        <f t="shared" ca="1" si="18"/>
        <v>45584</v>
      </c>
      <c r="Z299" s="150" t="str">
        <f>IF(X299="","",X299&amp;COUNTIF(X$2:$X299,X299))</f>
        <v>octobre19</v>
      </c>
    </row>
    <row r="300" spans="24:26" x14ac:dyDescent="0.25">
      <c r="X300" s="139" t="s">
        <v>131</v>
      </c>
      <c r="Y300" s="142">
        <f t="shared" ca="1" si="18"/>
        <v>45585</v>
      </c>
      <c r="Z300" s="150" t="str">
        <f>IF(X300="","",X300&amp;COUNTIF(X$2:$X300,X300))</f>
        <v>octobre20</v>
      </c>
    </row>
    <row r="301" spans="24:26" x14ac:dyDescent="0.25">
      <c r="X301" s="139" t="s">
        <v>131</v>
      </c>
      <c r="Y301" s="142">
        <f t="shared" ca="1" si="18"/>
        <v>45586</v>
      </c>
      <c r="Z301" s="150" t="str">
        <f>IF(X301="","",X301&amp;COUNTIF(X$2:$X301,X301))</f>
        <v>octobre21</v>
      </c>
    </row>
    <row r="302" spans="24:26" x14ac:dyDescent="0.25">
      <c r="X302" s="139" t="s">
        <v>131</v>
      </c>
      <c r="Y302" s="142">
        <f t="shared" ca="1" si="18"/>
        <v>45587</v>
      </c>
      <c r="Z302" s="150" t="str">
        <f>IF(X302="","",X302&amp;COUNTIF(X$2:$X302,X302))</f>
        <v>octobre22</v>
      </c>
    </row>
    <row r="303" spans="24:26" x14ac:dyDescent="0.25">
      <c r="X303" s="139" t="s">
        <v>131</v>
      </c>
      <c r="Y303" s="142">
        <f t="shared" ca="1" si="18"/>
        <v>45588</v>
      </c>
      <c r="Z303" s="150" t="str">
        <f>IF(X303="","",X303&amp;COUNTIF(X$2:$X303,X303))</f>
        <v>octobre23</v>
      </c>
    </row>
    <row r="304" spans="24:26" x14ac:dyDescent="0.25">
      <c r="X304" s="139" t="s">
        <v>131</v>
      </c>
      <c r="Y304" s="142">
        <f t="shared" ca="1" si="18"/>
        <v>45589</v>
      </c>
      <c r="Z304" s="150" t="str">
        <f>IF(X304="","",X304&amp;COUNTIF(X$2:$X304,X304))</f>
        <v>octobre24</v>
      </c>
    </row>
    <row r="305" spans="24:26" x14ac:dyDescent="0.25">
      <c r="X305" s="139" t="s">
        <v>131</v>
      </c>
      <c r="Y305" s="142">
        <f t="shared" ca="1" si="18"/>
        <v>45590</v>
      </c>
      <c r="Z305" s="150" t="str">
        <f>IF(X305="","",X305&amp;COUNTIF(X$2:$X305,X305))</f>
        <v>octobre25</v>
      </c>
    </row>
    <row r="306" spans="24:26" x14ac:dyDescent="0.25">
      <c r="X306" s="139" t="s">
        <v>131</v>
      </c>
      <c r="Y306" s="142">
        <f t="shared" ca="1" si="18"/>
        <v>45591</v>
      </c>
      <c r="Z306" s="150" t="str">
        <f>IF(X306="","",X306&amp;COUNTIF(X$2:$X306,X306))</f>
        <v>octobre26</v>
      </c>
    </row>
    <row r="307" spans="24:26" x14ac:dyDescent="0.25">
      <c r="X307" s="139" t="s">
        <v>131</v>
      </c>
      <c r="Y307" s="142">
        <f t="shared" ca="1" si="18"/>
        <v>45592</v>
      </c>
      <c r="Z307" s="150" t="str">
        <f>IF(X307="","",X307&amp;COUNTIF(X$2:$X307,X307))</f>
        <v>octobre27</v>
      </c>
    </row>
    <row r="308" spans="24:26" x14ac:dyDescent="0.25">
      <c r="X308" s="139" t="s">
        <v>131</v>
      </c>
      <c r="Y308" s="142">
        <f t="shared" ca="1" si="18"/>
        <v>45593</v>
      </c>
      <c r="Z308" s="150" t="str">
        <f>IF(X308="","",X308&amp;COUNTIF(X$2:$X308,X308))</f>
        <v>octobre28</v>
      </c>
    </row>
    <row r="309" spans="24:26" x14ac:dyDescent="0.25">
      <c r="X309" s="139" t="s">
        <v>131</v>
      </c>
      <c r="Y309" s="142">
        <f t="shared" ca="1" si="18"/>
        <v>45594</v>
      </c>
      <c r="Z309" s="150" t="str">
        <f>IF(X309="","",X309&amp;COUNTIF(X$2:$X309,X309))</f>
        <v>octobre29</v>
      </c>
    </row>
    <row r="310" spans="24:26" x14ac:dyDescent="0.25">
      <c r="X310" s="139" t="s">
        <v>131</v>
      </c>
      <c r="Y310" s="142">
        <f t="shared" ca="1" si="18"/>
        <v>45595</v>
      </c>
      <c r="Z310" s="150" t="str">
        <f>IF(X310="","",X310&amp;COUNTIF(X$2:$X310,X310))</f>
        <v>octobre30</v>
      </c>
    </row>
    <row r="311" spans="24:26" x14ac:dyDescent="0.25">
      <c r="X311" s="139" t="s">
        <v>131</v>
      </c>
      <c r="Y311" s="142">
        <f t="shared" ca="1" si="18"/>
        <v>45596</v>
      </c>
      <c r="Z311" s="150" t="str">
        <f>IF(X311="","",X311&amp;COUNTIF(X$2:$X311,X311))</f>
        <v>octobre31</v>
      </c>
    </row>
    <row r="312" spans="24:26" x14ac:dyDescent="0.25">
      <c r="X312" s="138" t="s">
        <v>132</v>
      </c>
      <c r="Y312" s="142">
        <f ca="1">DATE(D1,11,1)</f>
        <v>45597</v>
      </c>
      <c r="Z312" s="150" t="str">
        <f>IF(X312="","",X312&amp;COUNTIF(X$2:$X312,X312))</f>
        <v>novembre1</v>
      </c>
    </row>
    <row r="313" spans="24:26" x14ac:dyDescent="0.25">
      <c r="X313" s="138" t="s">
        <v>132</v>
      </c>
      <c r="Y313" s="142">
        <f ca="1">IF(EOMONTH(Y312,0)&gt;Y312,Y312+1,"")</f>
        <v>45598</v>
      </c>
      <c r="Z313" s="150" t="str">
        <f>IF(X313="","",X313&amp;COUNTIF(X$2:$X313,X313))</f>
        <v>novembre2</v>
      </c>
    </row>
    <row r="314" spans="24:26" x14ac:dyDescent="0.25">
      <c r="X314" s="138" t="s">
        <v>132</v>
      </c>
      <c r="Y314" s="142">
        <f t="shared" ref="Y314:Y341" ca="1" si="19">IF(EOMONTH(Y313,0)&gt;Y313,Y313+1,"")</f>
        <v>45599</v>
      </c>
      <c r="Z314" s="150" t="str">
        <f>IF(X314="","",X314&amp;COUNTIF(X$2:$X314,X314))</f>
        <v>novembre3</v>
      </c>
    </row>
    <row r="315" spans="24:26" x14ac:dyDescent="0.25">
      <c r="X315" s="138" t="s">
        <v>132</v>
      </c>
      <c r="Y315" s="142">
        <f t="shared" ca="1" si="19"/>
        <v>45600</v>
      </c>
      <c r="Z315" s="150" t="str">
        <f>IF(X315="","",X315&amp;COUNTIF(X$2:$X315,X315))</f>
        <v>novembre4</v>
      </c>
    </row>
    <row r="316" spans="24:26" x14ac:dyDescent="0.25">
      <c r="X316" s="138" t="s">
        <v>132</v>
      </c>
      <c r="Y316" s="142">
        <f t="shared" ca="1" si="19"/>
        <v>45601</v>
      </c>
      <c r="Z316" s="150" t="str">
        <f>IF(X316="","",X316&amp;COUNTIF(X$2:$X316,X316))</f>
        <v>novembre5</v>
      </c>
    </row>
    <row r="317" spans="24:26" x14ac:dyDescent="0.25">
      <c r="X317" s="138" t="s">
        <v>132</v>
      </c>
      <c r="Y317" s="142">
        <f t="shared" ca="1" si="19"/>
        <v>45602</v>
      </c>
      <c r="Z317" s="150" t="str">
        <f>IF(X317="","",X317&amp;COUNTIF(X$2:$X317,X317))</f>
        <v>novembre6</v>
      </c>
    </row>
    <row r="318" spans="24:26" x14ac:dyDescent="0.25">
      <c r="X318" s="138" t="s">
        <v>132</v>
      </c>
      <c r="Y318" s="142">
        <f t="shared" ca="1" si="19"/>
        <v>45603</v>
      </c>
      <c r="Z318" s="150" t="str">
        <f>IF(X318="","",X318&amp;COUNTIF(X$2:$X318,X318))</f>
        <v>novembre7</v>
      </c>
    </row>
    <row r="319" spans="24:26" x14ac:dyDescent="0.25">
      <c r="X319" s="138" t="s">
        <v>132</v>
      </c>
      <c r="Y319" s="142">
        <f t="shared" ca="1" si="19"/>
        <v>45604</v>
      </c>
      <c r="Z319" s="150" t="str">
        <f>IF(X319="","",X319&amp;COUNTIF(X$2:$X319,X319))</f>
        <v>novembre8</v>
      </c>
    </row>
    <row r="320" spans="24:26" x14ac:dyDescent="0.25">
      <c r="X320" s="138" t="s">
        <v>132</v>
      </c>
      <c r="Y320" s="142">
        <f t="shared" ca="1" si="19"/>
        <v>45605</v>
      </c>
      <c r="Z320" s="150" t="str">
        <f>IF(X320="","",X320&amp;COUNTIF(X$2:$X320,X320))</f>
        <v>novembre9</v>
      </c>
    </row>
    <row r="321" spans="24:26" x14ac:dyDescent="0.25">
      <c r="X321" s="138" t="s">
        <v>132</v>
      </c>
      <c r="Y321" s="142">
        <f t="shared" ca="1" si="19"/>
        <v>45606</v>
      </c>
      <c r="Z321" s="150" t="str">
        <f>IF(X321="","",X321&amp;COUNTIF(X$2:$X321,X321))</f>
        <v>novembre10</v>
      </c>
    </row>
    <row r="322" spans="24:26" x14ac:dyDescent="0.25">
      <c r="X322" s="138" t="s">
        <v>132</v>
      </c>
      <c r="Y322" s="142">
        <f t="shared" ca="1" si="19"/>
        <v>45607</v>
      </c>
      <c r="Z322" s="150" t="str">
        <f>IF(X322="","",X322&amp;COUNTIF(X$2:$X322,X322))</f>
        <v>novembre11</v>
      </c>
    </row>
    <row r="323" spans="24:26" x14ac:dyDescent="0.25">
      <c r="X323" s="138" t="s">
        <v>132</v>
      </c>
      <c r="Y323" s="142">
        <f t="shared" ca="1" si="19"/>
        <v>45608</v>
      </c>
      <c r="Z323" s="150" t="str">
        <f>IF(X323="","",X323&amp;COUNTIF(X$2:$X323,X323))</f>
        <v>novembre12</v>
      </c>
    </row>
    <row r="324" spans="24:26" x14ac:dyDescent="0.25">
      <c r="X324" s="138" t="s">
        <v>132</v>
      </c>
      <c r="Y324" s="142">
        <f t="shared" ca="1" si="19"/>
        <v>45609</v>
      </c>
      <c r="Z324" s="150" t="str">
        <f>IF(X324="","",X324&amp;COUNTIF(X$2:$X324,X324))</f>
        <v>novembre13</v>
      </c>
    </row>
    <row r="325" spans="24:26" x14ac:dyDescent="0.25">
      <c r="X325" s="138" t="s">
        <v>132</v>
      </c>
      <c r="Y325" s="142">
        <f t="shared" ca="1" si="19"/>
        <v>45610</v>
      </c>
      <c r="Z325" s="150" t="str">
        <f>IF(X325="","",X325&amp;COUNTIF(X$2:$X325,X325))</f>
        <v>novembre14</v>
      </c>
    </row>
    <row r="326" spans="24:26" x14ac:dyDescent="0.25">
      <c r="X326" s="138" t="s">
        <v>132</v>
      </c>
      <c r="Y326" s="142">
        <f t="shared" ca="1" si="19"/>
        <v>45611</v>
      </c>
      <c r="Z326" s="150" t="str">
        <f>IF(X326="","",X326&amp;COUNTIF(X$2:$X326,X326))</f>
        <v>novembre15</v>
      </c>
    </row>
    <row r="327" spans="24:26" x14ac:dyDescent="0.25">
      <c r="X327" s="138" t="s">
        <v>132</v>
      </c>
      <c r="Y327" s="142">
        <f t="shared" ca="1" si="19"/>
        <v>45612</v>
      </c>
      <c r="Z327" s="150" t="str">
        <f>IF(X327="","",X327&amp;COUNTIF(X$2:$X327,X327))</f>
        <v>novembre16</v>
      </c>
    </row>
    <row r="328" spans="24:26" x14ac:dyDescent="0.25">
      <c r="X328" s="138" t="s">
        <v>132</v>
      </c>
      <c r="Y328" s="142">
        <f t="shared" ca="1" si="19"/>
        <v>45613</v>
      </c>
      <c r="Z328" s="150" t="str">
        <f>IF(X328="","",X328&amp;COUNTIF(X$2:$X328,X328))</f>
        <v>novembre17</v>
      </c>
    </row>
    <row r="329" spans="24:26" x14ac:dyDescent="0.25">
      <c r="X329" s="138" t="s">
        <v>132</v>
      </c>
      <c r="Y329" s="142">
        <f t="shared" ca="1" si="19"/>
        <v>45614</v>
      </c>
      <c r="Z329" s="150" t="str">
        <f>IF(X329="","",X329&amp;COUNTIF(X$2:$X329,X329))</f>
        <v>novembre18</v>
      </c>
    </row>
    <row r="330" spans="24:26" x14ac:dyDescent="0.25">
      <c r="X330" s="138" t="s">
        <v>132</v>
      </c>
      <c r="Y330" s="142">
        <f t="shared" ca="1" si="19"/>
        <v>45615</v>
      </c>
      <c r="Z330" s="150" t="str">
        <f>IF(X330="","",X330&amp;COUNTIF(X$2:$X330,X330))</f>
        <v>novembre19</v>
      </c>
    </row>
    <row r="331" spans="24:26" x14ac:dyDescent="0.25">
      <c r="X331" s="138" t="s">
        <v>132</v>
      </c>
      <c r="Y331" s="142">
        <f t="shared" ca="1" si="19"/>
        <v>45616</v>
      </c>
      <c r="Z331" s="150" t="str">
        <f>IF(X331="","",X331&amp;COUNTIF(X$2:$X331,X331))</f>
        <v>novembre20</v>
      </c>
    </row>
    <row r="332" spans="24:26" x14ac:dyDescent="0.25">
      <c r="X332" s="138" t="s">
        <v>132</v>
      </c>
      <c r="Y332" s="142">
        <f t="shared" ca="1" si="19"/>
        <v>45617</v>
      </c>
      <c r="Z332" s="150" t="str">
        <f>IF(X332="","",X332&amp;COUNTIF(X$2:$X332,X332))</f>
        <v>novembre21</v>
      </c>
    </row>
    <row r="333" spans="24:26" x14ac:dyDescent="0.25">
      <c r="X333" s="138" t="s">
        <v>132</v>
      </c>
      <c r="Y333" s="142">
        <f t="shared" ca="1" si="19"/>
        <v>45618</v>
      </c>
      <c r="Z333" s="150" t="str">
        <f>IF(X333="","",X333&amp;COUNTIF(X$2:$X333,X333))</f>
        <v>novembre22</v>
      </c>
    </row>
    <row r="334" spans="24:26" x14ac:dyDescent="0.25">
      <c r="X334" s="138" t="s">
        <v>132</v>
      </c>
      <c r="Y334" s="142">
        <f t="shared" ca="1" si="19"/>
        <v>45619</v>
      </c>
      <c r="Z334" s="150" t="str">
        <f>IF(X334="","",X334&amp;COUNTIF(X$2:$X334,X334))</f>
        <v>novembre23</v>
      </c>
    </row>
    <row r="335" spans="24:26" x14ac:dyDescent="0.25">
      <c r="X335" s="138" t="s">
        <v>132</v>
      </c>
      <c r="Y335" s="142">
        <f t="shared" ca="1" si="19"/>
        <v>45620</v>
      </c>
      <c r="Z335" s="150" t="str">
        <f>IF(X335="","",X335&amp;COUNTIF(X$2:$X335,X335))</f>
        <v>novembre24</v>
      </c>
    </row>
    <row r="336" spans="24:26" x14ac:dyDescent="0.25">
      <c r="X336" s="138" t="s">
        <v>132</v>
      </c>
      <c r="Y336" s="142">
        <f t="shared" ca="1" si="19"/>
        <v>45621</v>
      </c>
      <c r="Z336" s="150" t="str">
        <f>IF(X336="","",X336&amp;COUNTIF(X$2:$X336,X336))</f>
        <v>novembre25</v>
      </c>
    </row>
    <row r="337" spans="24:26" x14ac:dyDescent="0.25">
      <c r="X337" s="138" t="s">
        <v>132</v>
      </c>
      <c r="Y337" s="142">
        <f t="shared" ca="1" si="19"/>
        <v>45622</v>
      </c>
      <c r="Z337" s="150" t="str">
        <f>IF(X337="","",X337&amp;COUNTIF(X$2:$X337,X337))</f>
        <v>novembre26</v>
      </c>
    </row>
    <row r="338" spans="24:26" x14ac:dyDescent="0.25">
      <c r="X338" s="138" t="s">
        <v>132</v>
      </c>
      <c r="Y338" s="142">
        <f t="shared" ca="1" si="19"/>
        <v>45623</v>
      </c>
      <c r="Z338" s="150" t="str">
        <f>IF(X338="","",X338&amp;COUNTIF(X$2:$X338,X338))</f>
        <v>novembre27</v>
      </c>
    </row>
    <row r="339" spans="24:26" x14ac:dyDescent="0.25">
      <c r="X339" s="138" t="s">
        <v>132</v>
      </c>
      <c r="Y339" s="142">
        <f t="shared" ca="1" si="19"/>
        <v>45624</v>
      </c>
      <c r="Z339" s="150" t="str">
        <f>IF(X339="","",X339&amp;COUNTIF(X$2:$X339,X339))</f>
        <v>novembre28</v>
      </c>
    </row>
    <row r="340" spans="24:26" x14ac:dyDescent="0.25">
      <c r="X340" s="138" t="s">
        <v>132</v>
      </c>
      <c r="Y340" s="142">
        <f t="shared" ca="1" si="19"/>
        <v>45625</v>
      </c>
      <c r="Z340" s="150" t="str">
        <f>IF(X340="","",X340&amp;COUNTIF(X$2:$X340,X340))</f>
        <v>novembre29</v>
      </c>
    </row>
    <row r="341" spans="24:26" x14ac:dyDescent="0.25">
      <c r="X341" s="138" t="s">
        <v>132</v>
      </c>
      <c r="Y341" s="142">
        <f t="shared" ca="1" si="19"/>
        <v>45626</v>
      </c>
      <c r="Z341" s="150" t="str">
        <f>IF(X341="","",X341&amp;COUNTIF(X$2:$X341,X341))</f>
        <v>novembre30</v>
      </c>
    </row>
    <row r="342" spans="24:26" x14ac:dyDescent="0.25">
      <c r="X342" s="138" t="s">
        <v>132</v>
      </c>
      <c r="Y342" s="143" t="s">
        <v>123</v>
      </c>
      <c r="Z342" s="150" t="str">
        <f>IF(X342="","",X342&amp;COUNTIF(X$2:$X342,X342))</f>
        <v>novembre31</v>
      </c>
    </row>
    <row r="343" spans="24:26" x14ac:dyDescent="0.25">
      <c r="X343" s="139" t="s">
        <v>133</v>
      </c>
      <c r="Y343" s="142">
        <f ca="1">DATE(D1,12,1)</f>
        <v>45627</v>
      </c>
      <c r="Z343" s="150" t="str">
        <f>IF(X343="","",X343&amp;COUNTIF(X$2:$X343,X343))</f>
        <v>décembre1</v>
      </c>
    </row>
    <row r="344" spans="24:26" x14ac:dyDescent="0.25">
      <c r="X344" s="139" t="s">
        <v>133</v>
      </c>
      <c r="Y344" s="142">
        <f ca="1">IF(EOMONTH(Y343,0)&gt;Y343,Y343+1,"")</f>
        <v>45628</v>
      </c>
      <c r="Z344" s="150" t="str">
        <f>IF(X344="","",X344&amp;COUNTIF(X$2:$X344,X344))</f>
        <v>décembre2</v>
      </c>
    </row>
    <row r="345" spans="24:26" x14ac:dyDescent="0.25">
      <c r="X345" s="139" t="s">
        <v>133</v>
      </c>
      <c r="Y345" s="142">
        <f t="shared" ref="Y345:Y373" ca="1" si="20">IF(EOMONTH(Y344,0)&gt;Y344,Y344+1,"")</f>
        <v>45629</v>
      </c>
      <c r="Z345" s="150" t="str">
        <f>IF(X345="","",X345&amp;COUNTIF(X$2:$X345,X345))</f>
        <v>décembre3</v>
      </c>
    </row>
    <row r="346" spans="24:26" x14ac:dyDescent="0.25">
      <c r="X346" s="139" t="s">
        <v>133</v>
      </c>
      <c r="Y346" s="142">
        <f t="shared" ca="1" si="20"/>
        <v>45630</v>
      </c>
      <c r="Z346" s="150" t="str">
        <f>IF(X346="","",X346&amp;COUNTIF(X$2:$X346,X346))</f>
        <v>décembre4</v>
      </c>
    </row>
    <row r="347" spans="24:26" x14ac:dyDescent="0.25">
      <c r="X347" s="139" t="s">
        <v>133</v>
      </c>
      <c r="Y347" s="142">
        <f t="shared" ca="1" si="20"/>
        <v>45631</v>
      </c>
      <c r="Z347" s="150" t="str">
        <f>IF(X347="","",X347&amp;COUNTIF(X$2:$X347,X347))</f>
        <v>décembre5</v>
      </c>
    </row>
    <row r="348" spans="24:26" x14ac:dyDescent="0.25">
      <c r="X348" s="139" t="s">
        <v>133</v>
      </c>
      <c r="Y348" s="142">
        <f t="shared" ca="1" si="20"/>
        <v>45632</v>
      </c>
      <c r="Z348" s="150" t="str">
        <f>IF(X348="","",X348&amp;COUNTIF(X$2:$X348,X348))</f>
        <v>décembre6</v>
      </c>
    </row>
    <row r="349" spans="24:26" x14ac:dyDescent="0.25">
      <c r="X349" s="139" t="s">
        <v>133</v>
      </c>
      <c r="Y349" s="142">
        <f t="shared" ca="1" si="20"/>
        <v>45633</v>
      </c>
      <c r="Z349" s="150" t="str">
        <f>IF(X349="","",X349&amp;COUNTIF(X$2:$X349,X349))</f>
        <v>décembre7</v>
      </c>
    </row>
    <row r="350" spans="24:26" x14ac:dyDescent="0.25">
      <c r="X350" s="139" t="s">
        <v>133</v>
      </c>
      <c r="Y350" s="142">
        <f t="shared" ca="1" si="20"/>
        <v>45634</v>
      </c>
      <c r="Z350" s="150" t="str">
        <f>IF(X350="","",X350&amp;COUNTIF(X$2:$X350,X350))</f>
        <v>décembre8</v>
      </c>
    </row>
    <row r="351" spans="24:26" x14ac:dyDescent="0.25">
      <c r="X351" s="139" t="s">
        <v>133</v>
      </c>
      <c r="Y351" s="142">
        <f t="shared" ca="1" si="20"/>
        <v>45635</v>
      </c>
      <c r="Z351" s="150" t="str">
        <f>IF(X351="","",X351&amp;COUNTIF(X$2:$X351,X351))</f>
        <v>décembre9</v>
      </c>
    </row>
    <row r="352" spans="24:26" x14ac:dyDescent="0.25">
      <c r="X352" s="139" t="s">
        <v>133</v>
      </c>
      <c r="Y352" s="142">
        <f t="shared" ca="1" si="20"/>
        <v>45636</v>
      </c>
      <c r="Z352" s="150" t="str">
        <f>IF(X352="","",X352&amp;COUNTIF(X$2:$X352,X352))</f>
        <v>décembre10</v>
      </c>
    </row>
    <row r="353" spans="24:26" x14ac:dyDescent="0.25">
      <c r="X353" s="139" t="s">
        <v>133</v>
      </c>
      <c r="Y353" s="142">
        <f t="shared" ca="1" si="20"/>
        <v>45637</v>
      </c>
      <c r="Z353" s="150" t="str">
        <f>IF(X353="","",X353&amp;COUNTIF(X$2:$X353,X353))</f>
        <v>décembre11</v>
      </c>
    </row>
    <row r="354" spans="24:26" x14ac:dyDescent="0.25">
      <c r="X354" s="139" t="s">
        <v>133</v>
      </c>
      <c r="Y354" s="142">
        <f t="shared" ca="1" si="20"/>
        <v>45638</v>
      </c>
      <c r="Z354" s="150" t="str">
        <f>IF(X354="","",X354&amp;COUNTIF(X$2:$X354,X354))</f>
        <v>décembre12</v>
      </c>
    </row>
    <row r="355" spans="24:26" x14ac:dyDescent="0.25">
      <c r="X355" s="139" t="s">
        <v>133</v>
      </c>
      <c r="Y355" s="142">
        <f t="shared" ca="1" si="20"/>
        <v>45639</v>
      </c>
      <c r="Z355" s="150" t="str">
        <f>IF(X355="","",X355&amp;COUNTIF(X$2:$X355,X355))</f>
        <v>décembre13</v>
      </c>
    </row>
    <row r="356" spans="24:26" x14ac:dyDescent="0.25">
      <c r="X356" s="139" t="s">
        <v>133</v>
      </c>
      <c r="Y356" s="142">
        <f t="shared" ca="1" si="20"/>
        <v>45640</v>
      </c>
      <c r="Z356" s="150" t="str">
        <f>IF(X356="","",X356&amp;COUNTIF(X$2:$X356,X356))</f>
        <v>décembre14</v>
      </c>
    </row>
    <row r="357" spans="24:26" x14ac:dyDescent="0.25">
      <c r="X357" s="139" t="s">
        <v>133</v>
      </c>
      <c r="Y357" s="142">
        <f t="shared" ca="1" si="20"/>
        <v>45641</v>
      </c>
      <c r="Z357" s="150" t="str">
        <f>IF(X357="","",X357&amp;COUNTIF(X$2:$X357,X357))</f>
        <v>décembre15</v>
      </c>
    </row>
    <row r="358" spans="24:26" x14ac:dyDescent="0.25">
      <c r="X358" s="139" t="s">
        <v>133</v>
      </c>
      <c r="Y358" s="142">
        <f t="shared" ca="1" si="20"/>
        <v>45642</v>
      </c>
      <c r="Z358" s="150" t="str">
        <f>IF(X358="","",X358&amp;COUNTIF(X$2:$X358,X358))</f>
        <v>décembre16</v>
      </c>
    </row>
    <row r="359" spans="24:26" x14ac:dyDescent="0.25">
      <c r="X359" s="139" t="s">
        <v>133</v>
      </c>
      <c r="Y359" s="142">
        <f t="shared" ca="1" si="20"/>
        <v>45643</v>
      </c>
      <c r="Z359" s="150" t="str">
        <f>IF(X359="","",X359&amp;COUNTIF(X$2:$X359,X359))</f>
        <v>décembre17</v>
      </c>
    </row>
    <row r="360" spans="24:26" x14ac:dyDescent="0.25">
      <c r="X360" s="139" t="s">
        <v>133</v>
      </c>
      <c r="Y360" s="142">
        <f t="shared" ca="1" si="20"/>
        <v>45644</v>
      </c>
      <c r="Z360" s="150" t="str">
        <f>IF(X360="","",X360&amp;COUNTIF(X$2:$X360,X360))</f>
        <v>décembre18</v>
      </c>
    </row>
    <row r="361" spans="24:26" x14ac:dyDescent="0.25">
      <c r="X361" s="139" t="s">
        <v>133</v>
      </c>
      <c r="Y361" s="142">
        <f t="shared" ca="1" si="20"/>
        <v>45645</v>
      </c>
      <c r="Z361" s="150" t="str">
        <f>IF(X361="","",X361&amp;COUNTIF(X$2:$X361,X361))</f>
        <v>décembre19</v>
      </c>
    </row>
    <row r="362" spans="24:26" x14ac:dyDescent="0.25">
      <c r="X362" s="139" t="s">
        <v>133</v>
      </c>
      <c r="Y362" s="142">
        <f t="shared" ca="1" si="20"/>
        <v>45646</v>
      </c>
      <c r="Z362" s="150" t="str">
        <f>IF(X362="","",X362&amp;COUNTIF(X$2:$X362,X362))</f>
        <v>décembre20</v>
      </c>
    </row>
    <row r="363" spans="24:26" x14ac:dyDescent="0.25">
      <c r="X363" s="139" t="s">
        <v>133</v>
      </c>
      <c r="Y363" s="142">
        <f t="shared" ca="1" si="20"/>
        <v>45647</v>
      </c>
      <c r="Z363" s="150" t="str">
        <f>IF(X363="","",X363&amp;COUNTIF(X$2:$X363,X363))</f>
        <v>décembre21</v>
      </c>
    </row>
    <row r="364" spans="24:26" x14ac:dyDescent="0.25">
      <c r="X364" s="139" t="s">
        <v>133</v>
      </c>
      <c r="Y364" s="142">
        <f t="shared" ca="1" si="20"/>
        <v>45648</v>
      </c>
      <c r="Z364" s="150" t="str">
        <f>IF(X364="","",X364&amp;COUNTIF(X$2:$X364,X364))</f>
        <v>décembre22</v>
      </c>
    </row>
    <row r="365" spans="24:26" x14ac:dyDescent="0.25">
      <c r="X365" s="139" t="s">
        <v>133</v>
      </c>
      <c r="Y365" s="142">
        <f t="shared" ca="1" si="20"/>
        <v>45649</v>
      </c>
      <c r="Z365" s="150" t="str">
        <f>IF(X365="","",X365&amp;COUNTIF(X$2:$X365,X365))</f>
        <v>décembre23</v>
      </c>
    </row>
    <row r="366" spans="24:26" x14ac:dyDescent="0.25">
      <c r="X366" s="139" t="s">
        <v>133</v>
      </c>
      <c r="Y366" s="142">
        <f t="shared" ca="1" si="20"/>
        <v>45650</v>
      </c>
      <c r="Z366" s="150" t="str">
        <f>IF(X366="","",X366&amp;COUNTIF(X$2:$X366,X366))</f>
        <v>décembre24</v>
      </c>
    </row>
    <row r="367" spans="24:26" x14ac:dyDescent="0.25">
      <c r="X367" s="139" t="s">
        <v>133</v>
      </c>
      <c r="Y367" s="142">
        <f t="shared" ca="1" si="20"/>
        <v>45651</v>
      </c>
      <c r="Z367" s="150" t="str">
        <f>IF(X367="","",X367&amp;COUNTIF(X$2:$X367,X367))</f>
        <v>décembre25</v>
      </c>
    </row>
    <row r="368" spans="24:26" x14ac:dyDescent="0.25">
      <c r="X368" s="139" t="s">
        <v>133</v>
      </c>
      <c r="Y368" s="142">
        <f t="shared" ca="1" si="20"/>
        <v>45652</v>
      </c>
      <c r="Z368" s="150" t="str">
        <f>IF(X368="","",X368&amp;COUNTIF(X$2:$X368,X368))</f>
        <v>décembre26</v>
      </c>
    </row>
    <row r="369" spans="24:26" x14ac:dyDescent="0.25">
      <c r="X369" s="139" t="s">
        <v>133</v>
      </c>
      <c r="Y369" s="142">
        <f t="shared" ca="1" si="20"/>
        <v>45653</v>
      </c>
      <c r="Z369" s="150" t="str">
        <f>IF(X369="","",X369&amp;COUNTIF(X$2:$X369,X369))</f>
        <v>décembre27</v>
      </c>
    </row>
    <row r="370" spans="24:26" x14ac:dyDescent="0.25">
      <c r="X370" s="139" t="s">
        <v>133</v>
      </c>
      <c r="Y370" s="142">
        <f t="shared" ca="1" si="20"/>
        <v>45654</v>
      </c>
      <c r="Z370" s="150" t="str">
        <f>IF(X370="","",X370&amp;COUNTIF(X$2:$X370,X370))</f>
        <v>décembre28</v>
      </c>
    </row>
    <row r="371" spans="24:26" x14ac:dyDescent="0.25">
      <c r="X371" s="139" t="s">
        <v>133</v>
      </c>
      <c r="Y371" s="142">
        <f t="shared" ca="1" si="20"/>
        <v>45655</v>
      </c>
      <c r="Z371" s="150" t="str">
        <f>IF(X371="","",X371&amp;COUNTIF(X$2:$X371,X371))</f>
        <v>décembre29</v>
      </c>
    </row>
    <row r="372" spans="24:26" x14ac:dyDescent="0.25">
      <c r="X372" s="139" t="s">
        <v>133</v>
      </c>
      <c r="Y372" s="142">
        <f t="shared" ca="1" si="20"/>
        <v>45656</v>
      </c>
      <c r="Z372" s="150" t="str">
        <f>IF(X372="","",X372&amp;COUNTIF(X$2:$X372,X372))</f>
        <v>décembre30</v>
      </c>
    </row>
    <row r="373" spans="24:26" x14ac:dyDescent="0.25">
      <c r="X373" s="139" t="s">
        <v>133</v>
      </c>
      <c r="Y373" s="142">
        <f t="shared" ca="1" si="20"/>
        <v>45657</v>
      </c>
      <c r="Z373" s="150" t="str">
        <f>IF(X373="","",X373&amp;COUNTIF(X$2:$X373,X373))</f>
        <v>décembre31</v>
      </c>
    </row>
  </sheetData>
  <mergeCells count="2">
    <mergeCell ref="K1:L1"/>
    <mergeCell ref="B3:C3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</vt:i4>
      </vt:variant>
    </vt:vector>
  </HeadingPairs>
  <TitlesOfParts>
    <vt:vector size="12" baseType="lpstr">
      <vt:lpstr>USERS</vt:lpstr>
      <vt:lpstr>Imprim</vt:lpstr>
      <vt:lpstr>Recap</vt:lpstr>
      <vt:lpstr>&gt;</vt:lpstr>
      <vt:lpstr>Histo</vt:lpstr>
      <vt:lpstr>&lt;</vt:lpstr>
      <vt:lpstr>Temp</vt:lpstr>
      <vt:lpstr>BDD</vt:lpstr>
      <vt:lpstr>Dispo</vt:lpstr>
      <vt:lpstr>QF</vt:lpstr>
      <vt:lpstr>RecapJ</vt:lpstr>
      <vt:lpstr>Utilisateurs</vt:lpstr>
    </vt:vector>
  </TitlesOfParts>
  <Company>LGCF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BRUANT Philippe</dc:creator>
  <cp:lastModifiedBy>Philippe BRUANT</cp:lastModifiedBy>
  <cp:lastPrinted>2022-08-10T07:40:38Z</cp:lastPrinted>
  <dcterms:created xsi:type="dcterms:W3CDTF">2016-02-08T14:41:50Z</dcterms:created>
  <dcterms:modified xsi:type="dcterms:W3CDTF">2024-10-10T14:26:47Z</dcterms:modified>
</cp:coreProperties>
</file>